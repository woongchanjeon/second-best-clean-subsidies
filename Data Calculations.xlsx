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pc2/Dropbox/Research/Second Best/Clean Energy Subsidies/Replication/"/>
    </mc:Choice>
  </mc:AlternateContent>
  <xr:revisionPtr revIDLastSave="0" documentId="13_ncr:1_{C77660E3-4394-174E-9D49-ACC060F02885}" xr6:coauthVersionLast="47" xr6:coauthVersionMax="47" xr10:uidLastSave="{00000000-0000-0000-0000-000000000000}"/>
  <bookViews>
    <workbookView xWindow="-37140" yWindow="500" windowWidth="31180" windowHeight="19400" xr2:uid="{4DBB979F-4910-694D-B5B1-8D8AD606DC49}"/>
  </bookViews>
  <sheets>
    <sheet name="Audit" sheetId="40" r:id="rId1"/>
    <sheet name="Results --&gt;" sheetId="34" r:id="rId2"/>
    <sheet name="Calibration" sheetId="32" r:id="rId3"/>
    <sheet name="Data --&gt;" sheetId="1" r:id="rId4"/>
    <sheet name="MER GDP Data" sheetId="13" r:id="rId5"/>
    <sheet name="MER Quantity Data" sheetId="39" r:id="rId6"/>
    <sheet name="MER Environment Data" sheetId="31" r:id="rId7"/>
    <sheet name="To be deleted --&gt;" sheetId="36" r:id="rId8"/>
    <sheet name="Carbon Intensity" sheetId="37" r:id="rId9"/>
    <sheet name="EIA SEDS Codes" sheetId="2" r:id="rId10"/>
    <sheet name="SEDS Quantities" sheetId="17" r:id="rId11"/>
    <sheet name="Intermediate (old)" sheetId="35" r:id="rId12"/>
    <sheet name="SEDS Prices and Expenditures" sheetId="3" r:id="rId13"/>
    <sheet name="SEDS Data Processed" sheetId="6" r:id="rId14"/>
  </sheets>
  <definedNames>
    <definedName name="carbon">'MER Environment Data'!$A$11:$O$62</definedName>
    <definedName name="carbon_col">'MER Environment Data'!$A$11:$O$11</definedName>
    <definedName name="code">'EIA SEDS Codes'!$B$11:$D$770</definedName>
    <definedName name="code_col">'EIA SEDS Codes'!$B$11:$D$11</definedName>
    <definedName name="emissions">Calibration!$A$6:$A$55</definedName>
    <definedName name="emissions_col">Calibration!$A$4:$A$4</definedName>
    <definedName name="forstata_cd">#REF!</definedName>
    <definedName name="forstata_cd_col">#REF!</definedName>
    <definedName name="forstata_ee">#REF!</definedName>
    <definedName name="forstata_ee_col">#REF!</definedName>
    <definedName name="gdp">'MER GDP Data'!$A$11:$H$86</definedName>
    <definedName name="gdp_col">'MER GDP Data'!$A$11:$H$11</definedName>
    <definedName name="sedsAnalysis" localSheetId="8">'Carbon Intensity'!$A$4:$AO$54</definedName>
    <definedName name="sedsAnalysis" localSheetId="11">'Intermediate (old)'!$A$5:$AT$64</definedName>
    <definedName name="sedsAnalysis">'SEDS Data Processed'!$A$5:$DC$64</definedName>
    <definedName name="sedsAnalysis_col" localSheetId="8">'Carbon Intensity'!#REF!</definedName>
    <definedName name="sedsAnalysis_col" localSheetId="11">'Intermediate (old)'!$A$5:$AT$5</definedName>
    <definedName name="sedsAnalysis_col">'SEDS Data Processed'!$A$5:$DC$5</definedName>
    <definedName name="sedsPE">'SEDS Prices and Expenditures'!$C$1:$BC$310</definedName>
    <definedName name="sedsPE_col">'SEDS Prices and Expenditures'!$C$1:$BC$1</definedName>
    <definedName name="sedsQ">'SEDS Quantities'!$C$1:$BM$432</definedName>
    <definedName name="sedsQ_col">'SEDS Quantities'!$C$1:$BM$1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32" l="1"/>
  <c r="A4" i="13"/>
  <c r="A4" i="31"/>
  <c r="B54" i="32" l="1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M12" i="37"/>
  <c r="M10" i="37"/>
  <c r="M11" i="37" s="1"/>
  <c r="M13" i="37" s="1"/>
  <c r="M9" i="37"/>
  <c r="M8" i="37"/>
  <c r="C9" i="37"/>
  <c r="C37" i="32"/>
  <c r="C23" i="37"/>
  <c r="C37" i="37"/>
  <c r="C40" i="37"/>
  <c r="C32" i="32"/>
  <c r="C20" i="32"/>
  <c r="C6" i="37"/>
  <c r="C24" i="32"/>
  <c r="C18" i="32"/>
  <c r="C17" i="37"/>
  <c r="C33" i="37"/>
  <c r="C40" i="32"/>
  <c r="C30" i="37"/>
  <c r="C46" i="32"/>
  <c r="C36" i="37"/>
  <c r="C31" i="32"/>
  <c r="C54" i="32"/>
  <c r="C41" i="32"/>
  <c r="C43" i="37"/>
  <c r="C15" i="37"/>
  <c r="C53" i="32"/>
  <c r="C15" i="32"/>
  <c r="C7" i="32"/>
  <c r="C25" i="32"/>
  <c r="C54" i="37"/>
  <c r="C45" i="32"/>
  <c r="C27" i="37"/>
  <c r="C10" i="37"/>
  <c r="C7" i="37"/>
  <c r="C51" i="32"/>
  <c r="C21" i="32"/>
  <c r="C14" i="32"/>
  <c r="C25" i="37"/>
  <c r="C34" i="37"/>
  <c r="C8" i="32"/>
  <c r="C35" i="32"/>
  <c r="C47" i="37"/>
  <c r="C28" i="32"/>
  <c r="C22" i="37"/>
  <c r="C47" i="32"/>
  <c r="C48" i="37"/>
  <c r="C18" i="37"/>
  <c r="C27" i="32"/>
  <c r="C49" i="37"/>
  <c r="C11" i="37"/>
  <c r="C19" i="37"/>
  <c r="C39" i="37"/>
  <c r="C26" i="32"/>
  <c r="C5" i="32"/>
  <c r="C44" i="32"/>
  <c r="C16" i="37"/>
  <c r="C42" i="32"/>
  <c r="C20" i="37"/>
  <c r="C33" i="32"/>
  <c r="C5" i="37"/>
  <c r="C35" i="37"/>
  <c r="C23" i="32"/>
  <c r="C30" i="32"/>
  <c r="C34" i="32"/>
  <c r="C24" i="37"/>
  <c r="C50" i="37"/>
  <c r="C29" i="37"/>
  <c r="C19" i="32"/>
  <c r="C50" i="32"/>
  <c r="C46" i="37"/>
  <c r="C13" i="32"/>
  <c r="C39" i="32"/>
  <c r="C10" i="32"/>
  <c r="C13" i="37"/>
  <c r="C22" i="32"/>
  <c r="C42" i="37"/>
  <c r="C14" i="37"/>
  <c r="C48" i="32"/>
  <c r="C21" i="37"/>
  <c r="C32" i="37"/>
  <c r="C41" i="37"/>
  <c r="C12" i="37"/>
  <c r="C36" i="32"/>
  <c r="C38" i="32"/>
  <c r="C11" i="32"/>
  <c r="C26" i="37"/>
  <c r="C31" i="37"/>
  <c r="C43" i="32"/>
  <c r="C38" i="37"/>
  <c r="C51" i="37"/>
  <c r="C52" i="32"/>
  <c r="C29" i="32"/>
  <c r="C12" i="32"/>
  <c r="C44" i="37"/>
  <c r="C17" i="32"/>
  <c r="C16" i="32"/>
  <c r="C8" i="37"/>
  <c r="C53" i="37"/>
  <c r="C45" i="37"/>
  <c r="C9" i="32"/>
  <c r="C6" i="32"/>
  <c r="C52" i="37"/>
  <c r="C49" i="32"/>
  <c r="C28" i="37"/>
  <c r="D28" i="32" l="1"/>
  <c r="D7" i="32"/>
  <c r="D42" i="32"/>
  <c r="D13" i="32"/>
  <c r="D20" i="32"/>
  <c r="D35" i="32"/>
  <c r="D50" i="32"/>
  <c r="D45" i="32"/>
  <c r="D17" i="32"/>
  <c r="D27" i="32"/>
  <c r="D21" i="32"/>
  <c r="D15" i="32"/>
  <c r="D10" i="32"/>
  <c r="D41" i="32"/>
  <c r="D8" i="32"/>
  <c r="D52" i="32"/>
  <c r="D34" i="32"/>
  <c r="D22" i="32"/>
  <c r="D51" i="32"/>
  <c r="D48" i="32"/>
  <c r="D29" i="32"/>
  <c r="D14" i="32"/>
  <c r="D43" i="32"/>
  <c r="D9" i="32"/>
  <c r="D44" i="32"/>
  <c r="D49" i="32"/>
  <c r="D23" i="32"/>
  <c r="D37" i="32"/>
  <c r="D38" i="32"/>
  <c r="D39" i="32"/>
  <c r="D16" i="32"/>
  <c r="D31" i="32"/>
  <c r="D25" i="32"/>
  <c r="D46" i="32"/>
  <c r="D19" i="32"/>
  <c r="D54" i="32"/>
  <c r="D36" i="32"/>
  <c r="D30" i="32"/>
  <c r="D24" i="32"/>
  <c r="D11" i="32"/>
  <c r="D18" i="32"/>
  <c r="D32" i="32"/>
  <c r="D53" i="32"/>
  <c r="D6" i="32"/>
  <c r="D12" i="32"/>
  <c r="D26" i="32"/>
  <c r="D33" i="32"/>
  <c r="D40" i="32"/>
  <c r="D47" i="32"/>
  <c r="G6" i="32" l="1" a="1"/>
  <c r="G6" i="32" s="1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A4" i="39"/>
  <c r="H13" i="35"/>
  <c r="A14" i="35" l="1"/>
  <c r="D11" i="35"/>
  <c r="C11" i="35"/>
  <c r="B11" i="35"/>
  <c r="AR3" i="35"/>
  <c r="AQ3" i="35"/>
  <c r="AP3" i="35"/>
  <c r="AO3" i="35"/>
  <c r="AN3" i="35"/>
  <c r="AM3" i="35"/>
  <c r="AL3" i="35"/>
  <c r="AK3" i="35"/>
  <c r="AJ3" i="35"/>
  <c r="AI3" i="35"/>
  <c r="AH3" i="35"/>
  <c r="AG3" i="35"/>
  <c r="AF3" i="35"/>
  <c r="AE3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G3" i="35"/>
  <c r="E3" i="35"/>
  <c r="D3" i="35"/>
  <c r="C3" i="35"/>
  <c r="B3" i="35"/>
  <c r="K12" i="32"/>
  <c r="K8" i="32"/>
  <c r="K9" i="32" s="1"/>
  <c r="BC11" i="6"/>
  <c r="BD11" i="6"/>
  <c r="BB11" i="6"/>
  <c r="BC3" i="6"/>
  <c r="AU3" i="6"/>
  <c r="AU11" i="6"/>
  <c r="AV11" i="6"/>
  <c r="AT11" i="6"/>
  <c r="F11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V3" i="6"/>
  <c r="AW3" i="6"/>
  <c r="AX3" i="6"/>
  <c r="AY3" i="6"/>
  <c r="AZ3" i="6"/>
  <c r="BA3" i="6"/>
  <c r="BB3" i="6"/>
  <c r="BD3" i="6"/>
  <c r="BE3" i="6"/>
  <c r="BG3" i="6"/>
  <c r="BH3" i="6"/>
  <c r="BJ3" i="6"/>
  <c r="BK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DA3" i="6"/>
  <c r="F3" i="6"/>
  <c r="C3" i="6"/>
  <c r="D3" i="6"/>
  <c r="B3" i="6"/>
  <c r="E12" i="6"/>
  <c r="M12" i="6"/>
  <c r="R12" i="6"/>
  <c r="W12" i="6"/>
  <c r="AB12" i="6"/>
  <c r="AG12" i="6"/>
  <c r="O11" i="6"/>
  <c r="P11" i="6"/>
  <c r="Q11" i="6"/>
  <c r="S11" i="6"/>
  <c r="T11" i="6"/>
  <c r="U11" i="6"/>
  <c r="V11" i="6"/>
  <c r="N11" i="6"/>
  <c r="G11" i="6"/>
  <c r="H11" i="6"/>
  <c r="H13" i="6"/>
  <c r="B14" i="35"/>
  <c r="O13" i="6"/>
  <c r="S13" i="6"/>
  <c r="BE13" i="6"/>
  <c r="D14" i="35"/>
  <c r="BB13" i="6"/>
  <c r="P13" i="6"/>
  <c r="V13" i="6"/>
  <c r="B13" i="6"/>
  <c r="U13" i="6"/>
  <c r="BD13" i="6"/>
  <c r="E13" i="35"/>
  <c r="T13" i="6"/>
  <c r="D13" i="6"/>
  <c r="G13" i="6"/>
  <c r="N13" i="6"/>
  <c r="C11" i="6"/>
  <c r="H14" i="35"/>
  <c r="D11" i="6"/>
  <c r="D13" i="35"/>
  <c r="BC13" i="6"/>
  <c r="C13" i="6"/>
  <c r="C14" i="35"/>
  <c r="AV13" i="6"/>
  <c r="F13" i="6"/>
  <c r="E14" i="35"/>
  <c r="Q13" i="6"/>
  <c r="B11" i="6"/>
  <c r="AT13" i="6"/>
  <c r="B13" i="35"/>
  <c r="AU13" i="6"/>
  <c r="C13" i="35"/>
  <c r="A7" i="37" l="1"/>
  <c r="A15" i="35"/>
  <c r="G14" i="35"/>
  <c r="I14" i="35" s="1"/>
  <c r="G13" i="35"/>
  <c r="A16" i="35"/>
  <c r="K11" i="32"/>
  <c r="K13" i="32" s="1"/>
  <c r="BM13" i="6"/>
  <c r="BI13" i="6"/>
  <c r="BG13" i="6"/>
  <c r="BO13" i="6" s="1"/>
  <c r="AZ13" i="6"/>
  <c r="AY13" i="6"/>
  <c r="AX13" i="6"/>
  <c r="I13" i="6"/>
  <c r="AN13" i="6"/>
  <c r="AA13" i="6"/>
  <c r="Z13" i="6"/>
  <c r="Y13" i="6"/>
  <c r="X13" i="6"/>
  <c r="L13" i="6"/>
  <c r="J13" i="6"/>
  <c r="K13" i="6"/>
  <c r="A14" i="6"/>
  <c r="AV14" i="6"/>
  <c r="AU14" i="6"/>
  <c r="BE14" i="6"/>
  <c r="E15" i="35"/>
  <c r="T14" i="6"/>
  <c r="D14" i="6"/>
  <c r="O14" i="6"/>
  <c r="V14" i="6"/>
  <c r="H14" i="6"/>
  <c r="H16" i="35"/>
  <c r="B14" i="6"/>
  <c r="C15" i="35"/>
  <c r="BB14" i="6"/>
  <c r="C14" i="6"/>
  <c r="H15" i="35"/>
  <c r="G14" i="6"/>
  <c r="BC14" i="6"/>
  <c r="P14" i="6"/>
  <c r="AT14" i="6"/>
  <c r="F14" i="6"/>
  <c r="D15" i="35"/>
  <c r="S14" i="6"/>
  <c r="N14" i="6"/>
  <c r="BD14" i="6"/>
  <c r="U14" i="6"/>
  <c r="B15" i="35"/>
  <c r="Q14" i="6"/>
  <c r="D6" i="37" l="1"/>
  <c r="A8" i="37"/>
  <c r="I13" i="35"/>
  <c r="G15" i="35"/>
  <c r="I15" i="35" s="1"/>
  <c r="A17" i="35"/>
  <c r="BM14" i="6"/>
  <c r="BJ13" i="6"/>
  <c r="BK13" i="6" s="1"/>
  <c r="BI14" i="6"/>
  <c r="BG14" i="6"/>
  <c r="BO14" i="6" s="1"/>
  <c r="BH13" i="6"/>
  <c r="AX14" i="6"/>
  <c r="AY14" i="6"/>
  <c r="AZ14" i="6"/>
  <c r="I14" i="6"/>
  <c r="AO13" i="6"/>
  <c r="AF13" i="6"/>
  <c r="AR13" i="6"/>
  <c r="AN14" i="6"/>
  <c r="AP13" i="6"/>
  <c r="AC13" i="6"/>
  <c r="AD13" i="6"/>
  <c r="AE13" i="6"/>
  <c r="X14" i="6"/>
  <c r="AA14" i="6"/>
  <c r="Y14" i="6"/>
  <c r="Z14" i="6"/>
  <c r="L14" i="6"/>
  <c r="J14" i="6"/>
  <c r="K14" i="6"/>
  <c r="A15" i="6"/>
  <c r="B16" i="35"/>
  <c r="AU15" i="6"/>
  <c r="AT15" i="6"/>
  <c r="BE15" i="6"/>
  <c r="U15" i="6"/>
  <c r="H17" i="35"/>
  <c r="P15" i="6"/>
  <c r="D15" i="6"/>
  <c r="Q15" i="6"/>
  <c r="G15" i="6"/>
  <c r="V15" i="6"/>
  <c r="S15" i="6"/>
  <c r="C15" i="6"/>
  <c r="AV15" i="6"/>
  <c r="E16" i="35"/>
  <c r="B15" i="6"/>
  <c r="BB15" i="6"/>
  <c r="N15" i="6"/>
  <c r="C16" i="35"/>
  <c r="BC15" i="6"/>
  <c r="D16" i="35"/>
  <c r="BD15" i="6"/>
  <c r="O15" i="6"/>
  <c r="D7" i="37" l="1"/>
  <c r="A9" i="37"/>
  <c r="G16" i="35"/>
  <c r="I16" i="35" s="1"/>
  <c r="A18" i="35"/>
  <c r="BM15" i="6"/>
  <c r="AF14" i="6"/>
  <c r="BH14" i="6"/>
  <c r="BJ14" i="6"/>
  <c r="BK14" i="6" s="1"/>
  <c r="BI15" i="6"/>
  <c r="BG15" i="6"/>
  <c r="BO15" i="6" s="1"/>
  <c r="AZ15" i="6"/>
  <c r="AX15" i="6"/>
  <c r="AY15" i="6"/>
  <c r="AR14" i="6"/>
  <c r="AO14" i="6"/>
  <c r="AP14" i="6"/>
  <c r="AE14" i="6"/>
  <c r="AD14" i="6"/>
  <c r="AC14" i="6"/>
  <c r="X15" i="6"/>
  <c r="AA15" i="6"/>
  <c r="Z15" i="6"/>
  <c r="L15" i="6"/>
  <c r="J15" i="6"/>
  <c r="A16" i="6"/>
  <c r="Q16" i="6"/>
  <c r="BE16" i="6"/>
  <c r="U16" i="6"/>
  <c r="E17" i="35"/>
  <c r="P16" i="6"/>
  <c r="T15" i="6"/>
  <c r="H18" i="35"/>
  <c r="BC16" i="6"/>
  <c r="AV16" i="6"/>
  <c r="G16" i="6"/>
  <c r="AT16" i="6"/>
  <c r="T16" i="6"/>
  <c r="C16" i="6"/>
  <c r="B17" i="35"/>
  <c r="F15" i="6"/>
  <c r="C17" i="35"/>
  <c r="BD16" i="6"/>
  <c r="D17" i="35"/>
  <c r="BB16" i="6"/>
  <c r="AU16" i="6"/>
  <c r="H15" i="6"/>
  <c r="O16" i="6"/>
  <c r="D8" i="37" l="1"/>
  <c r="A10" i="37"/>
  <c r="G17" i="35"/>
  <c r="I17" i="35" s="1"/>
  <c r="A19" i="35"/>
  <c r="BM16" i="6"/>
  <c r="BJ15" i="6"/>
  <c r="BK15" i="6" s="1"/>
  <c r="BI16" i="6"/>
  <c r="BG16" i="6"/>
  <c r="BH15" i="6"/>
  <c r="I15" i="6"/>
  <c r="AN15" i="6"/>
  <c r="AO15" i="6" s="1"/>
  <c r="Y15" i="6"/>
  <c r="AP15" i="6" s="1"/>
  <c r="K15" i="6"/>
  <c r="AF15" i="6"/>
  <c r="AE15" i="6"/>
  <c r="AC15" i="6"/>
  <c r="A17" i="6"/>
  <c r="BE17" i="6"/>
  <c r="H16" i="6"/>
  <c r="N17" i="6"/>
  <c r="AT17" i="6"/>
  <c r="B16" i="6"/>
  <c r="BD17" i="6"/>
  <c r="G17" i="6"/>
  <c r="D18" i="35"/>
  <c r="E18" i="35"/>
  <c r="AU17" i="6"/>
  <c r="Q17" i="6"/>
  <c r="N16" i="6"/>
  <c r="B18" i="35"/>
  <c r="F16" i="6"/>
  <c r="C18" i="35"/>
  <c r="H19" i="35"/>
  <c r="S16" i="6"/>
  <c r="D16" i="6"/>
  <c r="V16" i="6"/>
  <c r="T17" i="6"/>
  <c r="AV17" i="6"/>
  <c r="U17" i="6"/>
  <c r="BB17" i="6"/>
  <c r="BC17" i="6"/>
  <c r="D9" i="37" l="1"/>
  <c r="A11" i="37"/>
  <c r="G18" i="35"/>
  <c r="I18" i="35" s="1"/>
  <c r="A20" i="35"/>
  <c r="BO16" i="6"/>
  <c r="BM17" i="6"/>
  <c r="BH16" i="6"/>
  <c r="BJ16" i="6"/>
  <c r="BK16" i="6" s="1"/>
  <c r="BI17" i="6"/>
  <c r="BG17" i="6"/>
  <c r="AZ16" i="6"/>
  <c r="AX16" i="6"/>
  <c r="AY16" i="6"/>
  <c r="AR15" i="6"/>
  <c r="AA16" i="6"/>
  <c r="I16" i="6"/>
  <c r="L16" i="6"/>
  <c r="X16" i="6"/>
  <c r="AN16" i="6"/>
  <c r="AR16" i="6" s="1"/>
  <c r="K16" i="6"/>
  <c r="J16" i="6"/>
  <c r="Y16" i="6"/>
  <c r="Z16" i="6"/>
  <c r="AD15" i="6"/>
  <c r="A18" i="6"/>
  <c r="BC18" i="6"/>
  <c r="V17" i="6"/>
  <c r="C17" i="6"/>
  <c r="F17" i="6"/>
  <c r="AU18" i="6"/>
  <c r="BD18" i="6"/>
  <c r="BE18" i="6"/>
  <c r="C19" i="35"/>
  <c r="S18" i="6"/>
  <c r="B19" i="35"/>
  <c r="P17" i="6"/>
  <c r="S17" i="6"/>
  <c r="BB18" i="6"/>
  <c r="B17" i="6"/>
  <c r="E19" i="35"/>
  <c r="O17" i="6"/>
  <c r="P18" i="6"/>
  <c r="G18" i="6"/>
  <c r="AT18" i="6"/>
  <c r="D19" i="35"/>
  <c r="H20" i="35"/>
  <c r="AV18" i="6"/>
  <c r="D17" i="6"/>
  <c r="H17" i="6"/>
  <c r="D10" i="37" l="1"/>
  <c r="A12" i="37"/>
  <c r="G19" i="35"/>
  <c r="A21" i="35"/>
  <c r="BO17" i="6"/>
  <c r="BM18" i="6"/>
  <c r="AF16" i="6"/>
  <c r="BJ17" i="6"/>
  <c r="BK17" i="6" s="1"/>
  <c r="BI18" i="6"/>
  <c r="BG18" i="6"/>
  <c r="BH17" i="6"/>
  <c r="AX17" i="6"/>
  <c r="AZ17" i="6"/>
  <c r="AY17" i="6"/>
  <c r="AE16" i="6"/>
  <c r="AC16" i="6"/>
  <c r="AD16" i="6"/>
  <c r="AO16" i="6"/>
  <c r="I17" i="6"/>
  <c r="X17" i="6"/>
  <c r="AN17" i="6"/>
  <c r="AR17" i="6" s="1"/>
  <c r="AA17" i="6"/>
  <c r="K17" i="6"/>
  <c r="L17" i="6"/>
  <c r="J17" i="6"/>
  <c r="Z17" i="6"/>
  <c r="Y17" i="6"/>
  <c r="AP16" i="6"/>
  <c r="A19" i="6"/>
  <c r="B19" i="6"/>
  <c r="N19" i="6"/>
  <c r="G19" i="6"/>
  <c r="H19" i="6"/>
  <c r="V18" i="6"/>
  <c r="BC19" i="6"/>
  <c r="H18" i="6"/>
  <c r="C19" i="6"/>
  <c r="S19" i="6"/>
  <c r="V19" i="6"/>
  <c r="H21" i="35"/>
  <c r="D18" i="6"/>
  <c r="C20" i="35"/>
  <c r="B20" i="35"/>
  <c r="BB19" i="6"/>
  <c r="AT19" i="6"/>
  <c r="Q19" i="6"/>
  <c r="B18" i="6"/>
  <c r="BE19" i="6"/>
  <c r="U18" i="6"/>
  <c r="D20" i="35"/>
  <c r="AV19" i="6"/>
  <c r="AU19" i="6"/>
  <c r="P19" i="6"/>
  <c r="N18" i="6"/>
  <c r="O18" i="6"/>
  <c r="BD19" i="6"/>
  <c r="C18" i="6"/>
  <c r="T19" i="6"/>
  <c r="O19" i="6"/>
  <c r="Q18" i="6"/>
  <c r="D19" i="6"/>
  <c r="T18" i="6"/>
  <c r="F19" i="6"/>
  <c r="U19" i="6"/>
  <c r="E20" i="35"/>
  <c r="F18" i="6"/>
  <c r="D11" i="37" l="1"/>
  <c r="A13" i="37"/>
  <c r="I19" i="35"/>
  <c r="G20" i="35"/>
  <c r="I20" i="35" s="1"/>
  <c r="A22" i="35"/>
  <c r="BO18" i="6"/>
  <c r="BM19" i="6"/>
  <c r="AF17" i="6"/>
  <c r="BH18" i="6"/>
  <c r="BJ18" i="6"/>
  <c r="BK18" i="6" s="1"/>
  <c r="BI19" i="6"/>
  <c r="BG19" i="6"/>
  <c r="BO19" i="6" s="1"/>
  <c r="AY18" i="6"/>
  <c r="AX18" i="6"/>
  <c r="AZ18" i="6"/>
  <c r="AY19" i="6"/>
  <c r="AZ19" i="6"/>
  <c r="AX19" i="6"/>
  <c r="AC17" i="6"/>
  <c r="AD17" i="6"/>
  <c r="AE17" i="6"/>
  <c r="AA18" i="6"/>
  <c r="Z18" i="6"/>
  <c r="I18" i="6"/>
  <c r="K18" i="6"/>
  <c r="X18" i="6"/>
  <c r="J18" i="6"/>
  <c r="AN18" i="6"/>
  <c r="AO18" i="6" s="1"/>
  <c r="Y18" i="6"/>
  <c r="L18" i="6"/>
  <c r="AP17" i="6"/>
  <c r="AO17" i="6"/>
  <c r="I19" i="6"/>
  <c r="AN19" i="6"/>
  <c r="Z19" i="6"/>
  <c r="X19" i="6"/>
  <c r="AA19" i="6"/>
  <c r="Y19" i="6"/>
  <c r="L19" i="6"/>
  <c r="J19" i="6"/>
  <c r="K19" i="6"/>
  <c r="A20" i="6"/>
  <c r="V20" i="6"/>
  <c r="AT20" i="6"/>
  <c r="BC20" i="6"/>
  <c r="O20" i="6"/>
  <c r="AV20" i="6"/>
  <c r="BE20" i="6"/>
  <c r="U20" i="6"/>
  <c r="H22" i="35"/>
  <c r="AU20" i="6"/>
  <c r="Q20" i="6"/>
  <c r="BB20" i="6"/>
  <c r="D21" i="35"/>
  <c r="BD20" i="6"/>
  <c r="C21" i="35"/>
  <c r="N20" i="6"/>
  <c r="E21" i="35"/>
  <c r="B21" i="35"/>
  <c r="G20" i="6"/>
  <c r="D12" i="37" l="1"/>
  <c r="A14" i="37"/>
  <c r="G21" i="35"/>
  <c r="I21" i="35" s="1"/>
  <c r="A23" i="35"/>
  <c r="BM20" i="6"/>
  <c r="BJ19" i="6"/>
  <c r="BK19" i="6" s="1"/>
  <c r="AF18" i="6"/>
  <c r="AF19" i="6"/>
  <c r="BI20" i="6"/>
  <c r="BG20" i="6"/>
  <c r="BH19" i="6"/>
  <c r="AC18" i="6"/>
  <c r="AD18" i="6"/>
  <c r="AE18" i="6"/>
  <c r="AR18" i="6"/>
  <c r="AP18" i="6"/>
  <c r="AR19" i="6"/>
  <c r="AO19" i="6"/>
  <c r="AP19" i="6"/>
  <c r="AD19" i="6"/>
  <c r="AC19" i="6"/>
  <c r="AE19" i="6"/>
  <c r="A21" i="6"/>
  <c r="C22" i="35"/>
  <c r="B22" i="35"/>
  <c r="B20" i="6"/>
  <c r="G21" i="6"/>
  <c r="S20" i="6"/>
  <c r="BB21" i="6"/>
  <c r="AU21" i="6"/>
  <c r="T20" i="6"/>
  <c r="BC21" i="6"/>
  <c r="D22" i="35"/>
  <c r="AV21" i="6"/>
  <c r="BE21" i="6"/>
  <c r="BD21" i="6"/>
  <c r="D20" i="6"/>
  <c r="C20" i="6"/>
  <c r="H20" i="6"/>
  <c r="Q21" i="6"/>
  <c r="H23" i="35"/>
  <c r="D21" i="6"/>
  <c r="T21" i="6"/>
  <c r="P20" i="6"/>
  <c r="S21" i="6"/>
  <c r="O21" i="6"/>
  <c r="E22" i="35"/>
  <c r="P21" i="6"/>
  <c r="AT21" i="6"/>
  <c r="F20" i="6"/>
  <c r="D13" i="37" l="1"/>
  <c r="A15" i="37"/>
  <c r="G22" i="35"/>
  <c r="I22" i="35" s="1"/>
  <c r="A24" i="35"/>
  <c r="BO20" i="6"/>
  <c r="BM21" i="6"/>
  <c r="BH20" i="6"/>
  <c r="BJ20" i="6"/>
  <c r="BK20" i="6" s="1"/>
  <c r="BI21" i="6"/>
  <c r="BG21" i="6"/>
  <c r="AY20" i="6"/>
  <c r="AZ20" i="6"/>
  <c r="AX20" i="6"/>
  <c r="AX21" i="6"/>
  <c r="AY21" i="6"/>
  <c r="AZ21" i="6"/>
  <c r="I20" i="6"/>
  <c r="X20" i="6"/>
  <c r="AN20" i="6"/>
  <c r="AR20" i="6" s="1"/>
  <c r="Y20" i="6"/>
  <c r="K20" i="6"/>
  <c r="L20" i="6"/>
  <c r="J20" i="6"/>
  <c r="Z20" i="6"/>
  <c r="AA20" i="6"/>
  <c r="Y21" i="6"/>
  <c r="X21" i="6"/>
  <c r="J21" i="6"/>
  <c r="A22" i="6"/>
  <c r="E23" i="35"/>
  <c r="BE22" i="6"/>
  <c r="AV22" i="6"/>
  <c r="O22" i="6"/>
  <c r="T22" i="6"/>
  <c r="P22" i="6"/>
  <c r="D23" i="35"/>
  <c r="BC22" i="6"/>
  <c r="C23" i="35"/>
  <c r="U21" i="6"/>
  <c r="D22" i="6"/>
  <c r="B23" i="35"/>
  <c r="Q22" i="6"/>
  <c r="H24" i="35"/>
  <c r="AT22" i="6"/>
  <c r="H21" i="6"/>
  <c r="V21" i="6"/>
  <c r="B21" i="6"/>
  <c r="F21" i="6"/>
  <c r="C22" i="6"/>
  <c r="S22" i="6"/>
  <c r="U22" i="6"/>
  <c r="BB22" i="6"/>
  <c r="N22" i="6"/>
  <c r="AU22" i="6"/>
  <c r="G22" i="6"/>
  <c r="C21" i="6"/>
  <c r="N21" i="6"/>
  <c r="BD22" i="6"/>
  <c r="D14" i="37" l="1"/>
  <c r="A16" i="37"/>
  <c r="G23" i="35"/>
  <c r="I23" i="35" s="1"/>
  <c r="A25" i="35"/>
  <c r="BO21" i="6"/>
  <c r="BM22" i="6"/>
  <c r="BJ21" i="6"/>
  <c r="BK21" i="6" s="1"/>
  <c r="AF20" i="6"/>
  <c r="BI22" i="6"/>
  <c r="BG22" i="6"/>
  <c r="BH21" i="6"/>
  <c r="AX22" i="6"/>
  <c r="AY22" i="6"/>
  <c r="AZ22" i="6"/>
  <c r="AD20" i="6"/>
  <c r="AE20" i="6"/>
  <c r="AC20" i="6"/>
  <c r="AO20" i="6"/>
  <c r="AP20" i="6"/>
  <c r="L21" i="6"/>
  <c r="AA21" i="6"/>
  <c r="K21" i="6"/>
  <c r="AN21" i="6"/>
  <c r="AR21" i="6" s="1"/>
  <c r="Z21" i="6"/>
  <c r="I21" i="6"/>
  <c r="X22" i="6"/>
  <c r="Y22" i="6"/>
  <c r="Z22" i="6"/>
  <c r="J22" i="6"/>
  <c r="A23" i="6"/>
  <c r="C24" i="35"/>
  <c r="S23" i="6"/>
  <c r="BD23" i="6"/>
  <c r="BE23" i="6"/>
  <c r="D24" i="35"/>
  <c r="B24" i="35"/>
  <c r="N23" i="6"/>
  <c r="AT23" i="6"/>
  <c r="AU23" i="6"/>
  <c r="O23" i="6"/>
  <c r="H25" i="35"/>
  <c r="E24" i="35"/>
  <c r="AV23" i="6"/>
  <c r="H22" i="6"/>
  <c r="V23" i="6"/>
  <c r="V22" i="6"/>
  <c r="BC23" i="6"/>
  <c r="P23" i="6"/>
  <c r="B22" i="6"/>
  <c r="BB23" i="6"/>
  <c r="F22" i="6"/>
  <c r="G23" i="6"/>
  <c r="D15" i="37" l="1"/>
  <c r="A17" i="37"/>
  <c r="G24" i="35"/>
  <c r="I24" i="35" s="1"/>
  <c r="A26" i="35"/>
  <c r="BO22" i="6"/>
  <c r="BM23" i="6"/>
  <c r="AF21" i="6"/>
  <c r="BH22" i="6"/>
  <c r="BJ22" i="6"/>
  <c r="BK22" i="6" s="1"/>
  <c r="BI23" i="6"/>
  <c r="BG23" i="6"/>
  <c r="AD21" i="6"/>
  <c r="AC21" i="6"/>
  <c r="AO21" i="6"/>
  <c r="AP21" i="6"/>
  <c r="AA22" i="6"/>
  <c r="K22" i="6"/>
  <c r="L22" i="6"/>
  <c r="AN22" i="6"/>
  <c r="AR22" i="6" s="1"/>
  <c r="I22" i="6"/>
  <c r="AE21" i="6"/>
  <c r="A24" i="6"/>
  <c r="AV24" i="6"/>
  <c r="D25" i="35"/>
  <c r="D24" i="6"/>
  <c r="N24" i="6"/>
  <c r="AT24" i="6"/>
  <c r="V24" i="6"/>
  <c r="Q23" i="6"/>
  <c r="E25" i="35"/>
  <c r="T24" i="6"/>
  <c r="F23" i="6"/>
  <c r="BD24" i="6"/>
  <c r="C25" i="35"/>
  <c r="T23" i="6"/>
  <c r="H26" i="35"/>
  <c r="BB24" i="6"/>
  <c r="U23" i="6"/>
  <c r="U24" i="6"/>
  <c r="O24" i="6"/>
  <c r="H23" i="6"/>
  <c r="C24" i="6"/>
  <c r="H24" i="6"/>
  <c r="F24" i="6"/>
  <c r="S24" i="6"/>
  <c r="Q24" i="6"/>
  <c r="D23" i="6"/>
  <c r="C23" i="6"/>
  <c r="BC24" i="6"/>
  <c r="B25" i="35"/>
  <c r="B23" i="6"/>
  <c r="BE24" i="6"/>
  <c r="P24" i="6"/>
  <c r="B24" i="6"/>
  <c r="AU24" i="6"/>
  <c r="D16" i="37" l="1"/>
  <c r="A18" i="37"/>
  <c r="G25" i="35"/>
  <c r="I25" i="35" s="1"/>
  <c r="A27" i="35"/>
  <c r="BO23" i="6"/>
  <c r="BM24" i="6"/>
  <c r="AF22" i="6"/>
  <c r="BJ23" i="6"/>
  <c r="BK23" i="6" s="1"/>
  <c r="BI24" i="6"/>
  <c r="BG24" i="6"/>
  <c r="BO24" i="6" s="1"/>
  <c r="BH23" i="6"/>
  <c r="AX23" i="6"/>
  <c r="AY23" i="6"/>
  <c r="AZ23" i="6"/>
  <c r="AZ24" i="6"/>
  <c r="AX24" i="6"/>
  <c r="AY24" i="6"/>
  <c r="AP22" i="6"/>
  <c r="AE22" i="6"/>
  <c r="AC22" i="6"/>
  <c r="AD22" i="6"/>
  <c r="J23" i="6"/>
  <c r="X23" i="6"/>
  <c r="AA23" i="6"/>
  <c r="L23" i="6"/>
  <c r="AN23" i="6"/>
  <c r="AR23" i="6" s="1"/>
  <c r="Y23" i="6"/>
  <c r="Z23" i="6"/>
  <c r="I23" i="6"/>
  <c r="K23" i="6"/>
  <c r="AO22" i="6"/>
  <c r="AN24" i="6"/>
  <c r="Y24" i="6"/>
  <c r="X24" i="6"/>
  <c r="Z24" i="6"/>
  <c r="AA24" i="6"/>
  <c r="K24" i="6"/>
  <c r="A25" i="6"/>
  <c r="BB25" i="6"/>
  <c r="B26" i="35"/>
  <c r="N25" i="6"/>
  <c r="G25" i="6"/>
  <c r="BC25" i="6"/>
  <c r="C26" i="35"/>
  <c r="E26" i="35"/>
  <c r="Q25" i="6"/>
  <c r="G24" i="6"/>
  <c r="AU25" i="6"/>
  <c r="AT25" i="6"/>
  <c r="BD25" i="6"/>
  <c r="BE25" i="6"/>
  <c r="T25" i="6"/>
  <c r="H27" i="35"/>
  <c r="AV25" i="6"/>
  <c r="D26" i="35"/>
  <c r="D17" i="37" l="1"/>
  <c r="A19" i="37"/>
  <c r="G26" i="35"/>
  <c r="I26" i="35" s="1"/>
  <c r="A28" i="35"/>
  <c r="BM25" i="6"/>
  <c r="AF23" i="6"/>
  <c r="AF24" i="6"/>
  <c r="BJ24" i="6"/>
  <c r="BK24" i="6" s="1"/>
  <c r="BI25" i="6"/>
  <c r="BG25" i="6"/>
  <c r="BH24" i="6"/>
  <c r="AC23" i="6"/>
  <c r="AD23" i="6"/>
  <c r="AO23" i="6"/>
  <c r="AP23" i="6"/>
  <c r="AE23" i="6"/>
  <c r="L24" i="6"/>
  <c r="I24" i="6"/>
  <c r="J24" i="6"/>
  <c r="AR24" i="6"/>
  <c r="AO24" i="6"/>
  <c r="AP24" i="6"/>
  <c r="AE24" i="6"/>
  <c r="AC24" i="6"/>
  <c r="AD24" i="6"/>
  <c r="A26" i="6"/>
  <c r="BD26" i="6"/>
  <c r="S26" i="6"/>
  <c r="D27" i="35"/>
  <c r="C25" i="6"/>
  <c r="BE26" i="6"/>
  <c r="E27" i="35"/>
  <c r="D25" i="6"/>
  <c r="BC26" i="6"/>
  <c r="B25" i="6"/>
  <c r="P26" i="6"/>
  <c r="U25" i="6"/>
  <c r="S25" i="6"/>
  <c r="P25" i="6"/>
  <c r="AV26" i="6"/>
  <c r="BB26" i="6"/>
  <c r="AT26" i="6"/>
  <c r="V25" i="6"/>
  <c r="H28" i="35"/>
  <c r="C27" i="35"/>
  <c r="F25" i="6"/>
  <c r="O25" i="6"/>
  <c r="B27" i="35"/>
  <c r="H25" i="6"/>
  <c r="AU26" i="6"/>
  <c r="D18" i="37" l="1"/>
  <c r="A20" i="37"/>
  <c r="G27" i="35"/>
  <c r="I27" i="35" s="1"/>
  <c r="A29" i="35"/>
  <c r="BO25" i="6"/>
  <c r="BM26" i="6"/>
  <c r="BH25" i="6"/>
  <c r="BJ25" i="6"/>
  <c r="BK25" i="6" s="1"/>
  <c r="BI26" i="6"/>
  <c r="BG26" i="6"/>
  <c r="AX25" i="6"/>
  <c r="AY25" i="6"/>
  <c r="AZ25" i="6"/>
  <c r="AA25" i="6"/>
  <c r="Z25" i="6"/>
  <c r="I25" i="6"/>
  <c r="K25" i="6"/>
  <c r="AN25" i="6"/>
  <c r="AR25" i="6" s="1"/>
  <c r="X25" i="6"/>
  <c r="Y25" i="6"/>
  <c r="J25" i="6"/>
  <c r="L25" i="6"/>
  <c r="A27" i="6"/>
  <c r="AU27" i="6"/>
  <c r="D28" i="35"/>
  <c r="D26" i="6"/>
  <c r="F26" i="6"/>
  <c r="D27" i="6"/>
  <c r="S27" i="6"/>
  <c r="G27" i="6"/>
  <c r="V27" i="6"/>
  <c r="V26" i="6"/>
  <c r="B27" i="6"/>
  <c r="BB27" i="6"/>
  <c r="T26" i="6"/>
  <c r="O27" i="6"/>
  <c r="C26" i="6"/>
  <c r="BC27" i="6"/>
  <c r="N27" i="6"/>
  <c r="G26" i="6"/>
  <c r="BE27" i="6"/>
  <c r="C28" i="35"/>
  <c r="O26" i="6"/>
  <c r="B28" i="35"/>
  <c r="Q26" i="6"/>
  <c r="N26" i="6"/>
  <c r="H26" i="6"/>
  <c r="AV27" i="6"/>
  <c r="AT27" i="6"/>
  <c r="F27" i="6"/>
  <c r="U26" i="6"/>
  <c r="T27" i="6"/>
  <c r="Q27" i="6"/>
  <c r="P27" i="6"/>
  <c r="E28" i="35"/>
  <c r="U27" i="6"/>
  <c r="BD27" i="6"/>
  <c r="C27" i="6"/>
  <c r="H27" i="6"/>
  <c r="B26" i="6"/>
  <c r="H29" i="35"/>
  <c r="D19" i="37" l="1"/>
  <c r="A21" i="37"/>
  <c r="G28" i="35"/>
  <c r="I28" i="35" s="1"/>
  <c r="A30" i="35"/>
  <c r="BO26" i="6"/>
  <c r="BM27" i="6"/>
  <c r="AF25" i="6"/>
  <c r="BJ26" i="6"/>
  <c r="BK26" i="6" s="1"/>
  <c r="BI27" i="6"/>
  <c r="BG27" i="6"/>
  <c r="BO27" i="6" s="1"/>
  <c r="BH26" i="6"/>
  <c r="AX26" i="6"/>
  <c r="AY26" i="6"/>
  <c r="AZ26" i="6"/>
  <c r="AY27" i="6"/>
  <c r="AZ27" i="6"/>
  <c r="AX27" i="6"/>
  <c r="AD25" i="6"/>
  <c r="AE25" i="6"/>
  <c r="AP25" i="6"/>
  <c r="AC25" i="6"/>
  <c r="AN26" i="6"/>
  <c r="AO26" i="6" s="1"/>
  <c r="Y26" i="6"/>
  <c r="I26" i="6"/>
  <c r="Z26" i="6"/>
  <c r="X26" i="6"/>
  <c r="L26" i="6"/>
  <c r="J26" i="6"/>
  <c r="AA26" i="6"/>
  <c r="K26" i="6"/>
  <c r="AO25" i="6"/>
  <c r="I27" i="6"/>
  <c r="Z27" i="6"/>
  <c r="AA27" i="6"/>
  <c r="X27" i="6"/>
  <c r="Y27" i="6"/>
  <c r="L27" i="6"/>
  <c r="K27" i="6"/>
  <c r="J27" i="6"/>
  <c r="A28" i="6"/>
  <c r="B29" i="35"/>
  <c r="BE28" i="6"/>
  <c r="D29" i="35"/>
  <c r="N28" i="6"/>
  <c r="H30" i="35"/>
  <c r="V28" i="6"/>
  <c r="BD28" i="6"/>
  <c r="E29" i="35"/>
  <c r="AT28" i="6"/>
  <c r="AU28" i="6"/>
  <c r="Q28" i="6"/>
  <c r="BC28" i="6"/>
  <c r="BB28" i="6"/>
  <c r="O28" i="6"/>
  <c r="C29" i="35"/>
  <c r="AV28" i="6"/>
  <c r="U28" i="6"/>
  <c r="G28" i="6"/>
  <c r="D20" i="37" l="1"/>
  <c r="A22" i="37"/>
  <c r="G29" i="35"/>
  <c r="I29" i="35" s="1"/>
  <c r="A31" i="35"/>
  <c r="BM28" i="6"/>
  <c r="AF26" i="6"/>
  <c r="AF27" i="6"/>
  <c r="BH27" i="6"/>
  <c r="BJ27" i="6"/>
  <c r="BK27" i="6" s="1"/>
  <c r="BI28" i="6"/>
  <c r="BG28" i="6"/>
  <c r="AD26" i="6"/>
  <c r="AR26" i="6"/>
  <c r="AP26" i="6"/>
  <c r="AE26" i="6"/>
  <c r="AC26" i="6"/>
  <c r="AP27" i="6"/>
  <c r="AN27" i="6"/>
  <c r="AR27" i="6" s="1"/>
  <c r="AD27" i="6"/>
  <c r="AC27" i="6"/>
  <c r="AE27" i="6"/>
  <c r="A29" i="6"/>
  <c r="H31" i="35"/>
  <c r="B30" i="35"/>
  <c r="T28" i="6"/>
  <c r="D30" i="35"/>
  <c r="T29" i="6"/>
  <c r="S28" i="6"/>
  <c r="P28" i="6"/>
  <c r="B28" i="6"/>
  <c r="H29" i="6"/>
  <c r="AV29" i="6"/>
  <c r="D28" i="6"/>
  <c r="F28" i="6"/>
  <c r="E30" i="35"/>
  <c r="C28" i="6"/>
  <c r="H28" i="6"/>
  <c r="P29" i="6"/>
  <c r="AT29" i="6"/>
  <c r="BC29" i="6"/>
  <c r="AU29" i="6"/>
  <c r="BB29" i="6"/>
  <c r="D29" i="6"/>
  <c r="C30" i="35"/>
  <c r="BD29" i="6"/>
  <c r="O29" i="6"/>
  <c r="Q29" i="6"/>
  <c r="BE29" i="6"/>
  <c r="S29" i="6"/>
  <c r="D21" i="37" l="1"/>
  <c r="A23" i="37"/>
  <c r="G30" i="35"/>
  <c r="I30" i="35" s="1"/>
  <c r="A32" i="35"/>
  <c r="BO28" i="6"/>
  <c r="BM29" i="6"/>
  <c r="BH28" i="6"/>
  <c r="BJ28" i="6"/>
  <c r="BK28" i="6" s="1"/>
  <c r="BI29" i="6"/>
  <c r="BG29" i="6"/>
  <c r="AY28" i="6"/>
  <c r="AZ28" i="6"/>
  <c r="AX28" i="6"/>
  <c r="AX29" i="6"/>
  <c r="AY29" i="6"/>
  <c r="AZ29" i="6"/>
  <c r="AO27" i="6"/>
  <c r="Y28" i="6"/>
  <c r="AN28" i="6"/>
  <c r="AR28" i="6" s="1"/>
  <c r="X28" i="6"/>
  <c r="I28" i="6"/>
  <c r="J28" i="6"/>
  <c r="Z28" i="6"/>
  <c r="AA28" i="6"/>
  <c r="K28" i="6"/>
  <c r="L28" i="6"/>
  <c r="X29" i="6"/>
  <c r="Y29" i="6"/>
  <c r="K29" i="6"/>
  <c r="A30" i="6"/>
  <c r="O30" i="6"/>
  <c r="V29" i="6"/>
  <c r="N30" i="6"/>
  <c r="C29" i="6"/>
  <c r="F29" i="6"/>
  <c r="BD30" i="6"/>
  <c r="BE30" i="6"/>
  <c r="C30" i="6"/>
  <c r="E31" i="35"/>
  <c r="P30" i="6"/>
  <c r="S30" i="6"/>
  <c r="H32" i="35"/>
  <c r="U29" i="6"/>
  <c r="U30" i="6"/>
  <c r="AU30" i="6"/>
  <c r="BB30" i="6"/>
  <c r="AV30" i="6"/>
  <c r="AT30" i="6"/>
  <c r="D31" i="35"/>
  <c r="G29" i="6"/>
  <c r="Q30" i="6"/>
  <c r="G30" i="6"/>
  <c r="D30" i="6"/>
  <c r="C31" i="35"/>
  <c r="N29" i="6"/>
  <c r="B29" i="6"/>
  <c r="B31" i="35"/>
  <c r="T30" i="6"/>
  <c r="BC30" i="6"/>
  <c r="D22" i="37" l="1"/>
  <c r="A24" i="37"/>
  <c r="G31" i="35"/>
  <c r="I31" i="35" s="1"/>
  <c r="A33" i="35"/>
  <c r="BO29" i="6"/>
  <c r="BM30" i="6"/>
  <c r="AF28" i="6"/>
  <c r="BJ29" i="6"/>
  <c r="BK29" i="6" s="1"/>
  <c r="BI30" i="6"/>
  <c r="BG30" i="6"/>
  <c r="BH29" i="6"/>
  <c r="AX30" i="6"/>
  <c r="AY30" i="6"/>
  <c r="AZ30" i="6"/>
  <c r="AC28" i="6"/>
  <c r="AE28" i="6"/>
  <c r="AO28" i="6"/>
  <c r="AA29" i="6"/>
  <c r="I29" i="6"/>
  <c r="AN29" i="6"/>
  <c r="AR29" i="6" s="1"/>
  <c r="Z29" i="6"/>
  <c r="L29" i="6"/>
  <c r="J29" i="6"/>
  <c r="AP28" i="6"/>
  <c r="AD28" i="6"/>
  <c r="X30" i="6"/>
  <c r="Z30" i="6"/>
  <c r="Y30" i="6"/>
  <c r="J30" i="6"/>
  <c r="A31" i="6"/>
  <c r="S31" i="6"/>
  <c r="BE31" i="6"/>
  <c r="AU31" i="6"/>
  <c r="C32" i="35"/>
  <c r="P31" i="6"/>
  <c r="V30" i="6"/>
  <c r="E32" i="35"/>
  <c r="F30" i="6"/>
  <c r="BB31" i="6"/>
  <c r="H30" i="6"/>
  <c r="AT31" i="6"/>
  <c r="BC31" i="6"/>
  <c r="D32" i="35"/>
  <c r="AV31" i="6"/>
  <c r="B32" i="35"/>
  <c r="H33" i="35"/>
  <c r="G31" i="6"/>
  <c r="BD31" i="6"/>
  <c r="B30" i="6"/>
  <c r="D23" i="37" l="1"/>
  <c r="A25" i="37"/>
  <c r="G32" i="35"/>
  <c r="I32" i="35" s="1"/>
  <c r="A34" i="35"/>
  <c r="BO30" i="6"/>
  <c r="BM31" i="6"/>
  <c r="AF29" i="6"/>
  <c r="BH30" i="6"/>
  <c r="BJ30" i="6"/>
  <c r="BK30" i="6" s="1"/>
  <c r="BI31" i="6"/>
  <c r="BG31" i="6"/>
  <c r="AP29" i="6"/>
  <c r="AD29" i="6"/>
  <c r="AC29" i="6"/>
  <c r="AE29" i="6"/>
  <c r="I30" i="6"/>
  <c r="AA30" i="6"/>
  <c r="L30" i="6"/>
  <c r="AN30" i="6"/>
  <c r="AR30" i="6" s="1"/>
  <c r="K30" i="6"/>
  <c r="AO29" i="6"/>
  <c r="A32" i="6"/>
  <c r="Q31" i="6"/>
  <c r="E33" i="35"/>
  <c r="U32" i="6"/>
  <c r="Q32" i="6"/>
  <c r="V31" i="6"/>
  <c r="B33" i="35"/>
  <c r="BD32" i="6"/>
  <c r="BE32" i="6"/>
  <c r="BC32" i="6"/>
  <c r="T32" i="6"/>
  <c r="G32" i="6"/>
  <c r="O31" i="6"/>
  <c r="D31" i="6"/>
  <c r="AT32" i="6"/>
  <c r="AU32" i="6"/>
  <c r="H31" i="6"/>
  <c r="B31" i="6"/>
  <c r="H34" i="35"/>
  <c r="AV32" i="6"/>
  <c r="N31" i="6"/>
  <c r="BB32" i="6"/>
  <c r="F31" i="6"/>
  <c r="C33" i="35"/>
  <c r="U31" i="6"/>
  <c r="S32" i="6"/>
  <c r="T31" i="6"/>
  <c r="C31" i="6"/>
  <c r="P32" i="6"/>
  <c r="D33" i="35"/>
  <c r="D24" i="37" l="1"/>
  <c r="A26" i="37"/>
  <c r="G33" i="35"/>
  <c r="I33" i="35" s="1"/>
  <c r="A35" i="35"/>
  <c r="BO31" i="6"/>
  <c r="BM32" i="6"/>
  <c r="AF30" i="6"/>
  <c r="BH31" i="6"/>
  <c r="BJ31" i="6"/>
  <c r="BK31" i="6" s="1"/>
  <c r="BI32" i="6"/>
  <c r="BG32" i="6"/>
  <c r="AZ31" i="6"/>
  <c r="AX31" i="6"/>
  <c r="AY31" i="6"/>
  <c r="AP30" i="6"/>
  <c r="AC30" i="6"/>
  <c r="AD30" i="6"/>
  <c r="AE30" i="6"/>
  <c r="AO30" i="6"/>
  <c r="K31" i="6"/>
  <c r="J31" i="6"/>
  <c r="X31" i="6"/>
  <c r="Y31" i="6"/>
  <c r="AN31" i="6"/>
  <c r="AR31" i="6" s="1"/>
  <c r="I31" i="6"/>
  <c r="AA31" i="6"/>
  <c r="L31" i="6"/>
  <c r="Z31" i="6"/>
  <c r="A33" i="6"/>
  <c r="BD33" i="6"/>
  <c r="C34" i="35"/>
  <c r="F32" i="6"/>
  <c r="T33" i="6"/>
  <c r="U33" i="6"/>
  <c r="BC33" i="6"/>
  <c r="C32" i="6"/>
  <c r="N32" i="6"/>
  <c r="AU33" i="6"/>
  <c r="BE33" i="6"/>
  <c r="V32" i="6"/>
  <c r="B34" i="35"/>
  <c r="D32" i="6"/>
  <c r="B32" i="6"/>
  <c r="G33" i="6"/>
  <c r="Q33" i="6"/>
  <c r="O32" i="6"/>
  <c r="N33" i="6"/>
  <c r="D34" i="35"/>
  <c r="H35" i="35"/>
  <c r="AT33" i="6"/>
  <c r="BB33" i="6"/>
  <c r="H32" i="6"/>
  <c r="AV33" i="6"/>
  <c r="E34" i="35"/>
  <c r="D25" i="37" l="1"/>
  <c r="A27" i="37"/>
  <c r="G34" i="35"/>
  <c r="I34" i="35" s="1"/>
  <c r="A36" i="35"/>
  <c r="BO32" i="6"/>
  <c r="BM33" i="6"/>
  <c r="AF31" i="6"/>
  <c r="BH32" i="6"/>
  <c r="BJ32" i="6"/>
  <c r="BK32" i="6" s="1"/>
  <c r="BI33" i="6"/>
  <c r="BG33" i="6"/>
  <c r="AZ32" i="6"/>
  <c r="AX32" i="6"/>
  <c r="AY32" i="6"/>
  <c r="AO31" i="6"/>
  <c r="AP31" i="6"/>
  <c r="Y32" i="6"/>
  <c r="J32" i="6"/>
  <c r="Z32" i="6"/>
  <c r="X32" i="6"/>
  <c r="AA32" i="6"/>
  <c r="I32" i="6"/>
  <c r="K32" i="6"/>
  <c r="AN32" i="6"/>
  <c r="AR32" i="6" s="1"/>
  <c r="L32" i="6"/>
  <c r="AD31" i="6"/>
  <c r="AE31" i="6"/>
  <c r="AC31" i="6"/>
  <c r="A34" i="6"/>
  <c r="D33" i="6"/>
  <c r="H33" i="6"/>
  <c r="N34" i="6"/>
  <c r="S34" i="6"/>
  <c r="H36" i="35"/>
  <c r="S33" i="6"/>
  <c r="BD34" i="6"/>
  <c r="F33" i="6"/>
  <c r="BE34" i="6"/>
  <c r="AU34" i="6"/>
  <c r="V33" i="6"/>
  <c r="V34" i="6"/>
  <c r="O34" i="6"/>
  <c r="O33" i="6"/>
  <c r="G34" i="6"/>
  <c r="AV34" i="6"/>
  <c r="C35" i="35"/>
  <c r="P33" i="6"/>
  <c r="B35" i="35"/>
  <c r="H34" i="6"/>
  <c r="BB34" i="6"/>
  <c r="B33" i="6"/>
  <c r="P34" i="6"/>
  <c r="Q34" i="6"/>
  <c r="E35" i="35"/>
  <c r="U34" i="6"/>
  <c r="F34" i="6"/>
  <c r="T34" i="6"/>
  <c r="D34" i="6"/>
  <c r="AT34" i="6"/>
  <c r="C33" i="6"/>
  <c r="C34" i="6"/>
  <c r="BC34" i="6"/>
  <c r="D35" i="35"/>
  <c r="B34" i="6"/>
  <c r="D26" i="37" l="1"/>
  <c r="A28" i="37"/>
  <c r="G35" i="35"/>
  <c r="I35" i="35" s="1"/>
  <c r="A37" i="35"/>
  <c r="BO33" i="6"/>
  <c r="BM34" i="6"/>
  <c r="AF32" i="6"/>
  <c r="BH33" i="6"/>
  <c r="BJ33" i="6"/>
  <c r="BK33" i="6" s="1"/>
  <c r="BI34" i="6"/>
  <c r="BG34" i="6"/>
  <c r="BO34" i="6" s="1"/>
  <c r="AX33" i="6"/>
  <c r="AZ33" i="6"/>
  <c r="AY33" i="6"/>
  <c r="AX34" i="6"/>
  <c r="AY34" i="6"/>
  <c r="AZ34" i="6"/>
  <c r="AD32" i="6"/>
  <c r="AC32" i="6"/>
  <c r="AE32" i="6"/>
  <c r="AO32" i="6"/>
  <c r="AA33" i="6"/>
  <c r="Y33" i="6"/>
  <c r="Z33" i="6"/>
  <c r="J33" i="6"/>
  <c r="I33" i="6"/>
  <c r="L33" i="6"/>
  <c r="K33" i="6"/>
  <c r="AN33" i="6"/>
  <c r="AR33" i="6" s="1"/>
  <c r="X33" i="6"/>
  <c r="AP32" i="6"/>
  <c r="I34" i="6"/>
  <c r="AN34" i="6"/>
  <c r="AA34" i="6"/>
  <c r="Y34" i="6"/>
  <c r="X34" i="6"/>
  <c r="Z34" i="6"/>
  <c r="L34" i="6"/>
  <c r="J34" i="6"/>
  <c r="K34" i="6"/>
  <c r="A35" i="6"/>
  <c r="B36" i="35"/>
  <c r="Q35" i="6"/>
  <c r="BC35" i="6"/>
  <c r="U35" i="6"/>
  <c r="BD35" i="6"/>
  <c r="AU35" i="6"/>
  <c r="BB35" i="6"/>
  <c r="E36" i="35"/>
  <c r="B35" i="6"/>
  <c r="C36" i="35"/>
  <c r="O35" i="6"/>
  <c r="H37" i="35"/>
  <c r="AT35" i="6"/>
  <c r="H35" i="6"/>
  <c r="T35" i="6"/>
  <c r="P35" i="6"/>
  <c r="AV35" i="6"/>
  <c r="D36" i="35"/>
  <c r="BE35" i="6"/>
  <c r="D27" i="37" l="1"/>
  <c r="A29" i="37"/>
  <c r="G36" i="35"/>
  <c r="I36" i="35" s="1"/>
  <c r="A38" i="35"/>
  <c r="BM35" i="6"/>
  <c r="AF33" i="6"/>
  <c r="AF34" i="6"/>
  <c r="BH34" i="6"/>
  <c r="BJ34" i="6"/>
  <c r="BK34" i="6" s="1"/>
  <c r="BI35" i="6"/>
  <c r="BG35" i="6"/>
  <c r="BO35" i="6" s="1"/>
  <c r="AE33" i="6"/>
  <c r="AD33" i="6"/>
  <c r="AP33" i="6"/>
  <c r="AO33" i="6"/>
  <c r="AC33" i="6"/>
  <c r="AR34" i="6"/>
  <c r="AO34" i="6"/>
  <c r="AP34" i="6"/>
  <c r="AC34" i="6"/>
  <c r="AE34" i="6"/>
  <c r="AD34" i="6"/>
  <c r="A36" i="6"/>
  <c r="V36" i="6"/>
  <c r="BD36" i="6"/>
  <c r="H36" i="6"/>
  <c r="C36" i="6"/>
  <c r="AU36" i="6"/>
  <c r="E37" i="35"/>
  <c r="V35" i="6"/>
  <c r="F36" i="6"/>
  <c r="S35" i="6"/>
  <c r="BE36" i="6"/>
  <c r="BB36" i="6"/>
  <c r="H38" i="35"/>
  <c r="C37" i="35"/>
  <c r="N36" i="6"/>
  <c r="D36" i="6"/>
  <c r="D37" i="35"/>
  <c r="O36" i="6"/>
  <c r="U36" i="6"/>
  <c r="N35" i="6"/>
  <c r="C35" i="6"/>
  <c r="BC36" i="6"/>
  <c r="AV36" i="6"/>
  <c r="F35" i="6"/>
  <c r="P36" i="6"/>
  <c r="S36" i="6"/>
  <c r="T36" i="6"/>
  <c r="G36" i="6"/>
  <c r="AT36" i="6"/>
  <c r="B37" i="35"/>
  <c r="D35" i="6"/>
  <c r="Q36" i="6"/>
  <c r="G35" i="6"/>
  <c r="B36" i="6"/>
  <c r="D28" i="37" l="1"/>
  <c r="A30" i="37"/>
  <c r="G37" i="35"/>
  <c r="I37" i="35" s="1"/>
  <c r="A39" i="35"/>
  <c r="BM36" i="6"/>
  <c r="BJ35" i="6"/>
  <c r="BK35" i="6" s="1"/>
  <c r="BI36" i="6"/>
  <c r="BG36" i="6"/>
  <c r="BO36" i="6" s="1"/>
  <c r="BH35" i="6"/>
  <c r="AY35" i="6"/>
  <c r="AZ35" i="6"/>
  <c r="AX35" i="6"/>
  <c r="AY36" i="6"/>
  <c r="AZ36" i="6"/>
  <c r="AX36" i="6"/>
  <c r="Y35" i="6"/>
  <c r="Z35" i="6"/>
  <c r="K35" i="6"/>
  <c r="I35" i="6"/>
  <c r="AN35" i="6"/>
  <c r="AR35" i="6" s="1"/>
  <c r="X35" i="6"/>
  <c r="L35" i="6"/>
  <c r="J35" i="6"/>
  <c r="AA35" i="6"/>
  <c r="I36" i="6"/>
  <c r="AN36" i="6"/>
  <c r="Z36" i="6"/>
  <c r="AA36" i="6"/>
  <c r="X36" i="6"/>
  <c r="Y36" i="6"/>
  <c r="L36" i="6"/>
  <c r="J36" i="6"/>
  <c r="K36" i="6"/>
  <c r="A37" i="6"/>
  <c r="C38" i="35"/>
  <c r="D38" i="35"/>
  <c r="C37" i="6"/>
  <c r="P37" i="6"/>
  <c r="T37" i="6"/>
  <c r="O37" i="6"/>
  <c r="BB37" i="6"/>
  <c r="B38" i="35"/>
  <c r="BD37" i="6"/>
  <c r="D37" i="6"/>
  <c r="E38" i="35"/>
  <c r="AV37" i="6"/>
  <c r="BC37" i="6"/>
  <c r="AU37" i="6"/>
  <c r="S37" i="6"/>
  <c r="BE37" i="6"/>
  <c r="U37" i="6"/>
  <c r="H39" i="35"/>
  <c r="H37" i="6"/>
  <c r="AT37" i="6"/>
  <c r="N37" i="6"/>
  <c r="Q37" i="6"/>
  <c r="D29" i="37" l="1"/>
  <c r="A31" i="37"/>
  <c r="G38" i="35"/>
  <c r="I38" i="35" s="1"/>
  <c r="A40" i="35"/>
  <c r="BM37" i="6"/>
  <c r="AF36" i="6"/>
  <c r="AF35" i="6"/>
  <c r="BH36" i="6"/>
  <c r="BJ36" i="6"/>
  <c r="BK36" i="6" s="1"/>
  <c r="BI37" i="6"/>
  <c r="BG37" i="6"/>
  <c r="AX37" i="6"/>
  <c r="AY37" i="6"/>
  <c r="AZ37" i="6"/>
  <c r="AC35" i="6"/>
  <c r="AD35" i="6"/>
  <c r="AP35" i="6"/>
  <c r="AE35" i="6"/>
  <c r="AO35" i="6"/>
  <c r="AR36" i="6"/>
  <c r="AO36" i="6"/>
  <c r="AP36" i="6"/>
  <c r="AC36" i="6"/>
  <c r="AD36" i="6"/>
  <c r="AE36" i="6"/>
  <c r="X37" i="6"/>
  <c r="Y37" i="6"/>
  <c r="Z37" i="6"/>
  <c r="K37" i="6"/>
  <c r="A38" i="6"/>
  <c r="H40" i="35"/>
  <c r="C39" i="35"/>
  <c r="BD38" i="6"/>
  <c r="AV38" i="6"/>
  <c r="D39" i="35"/>
  <c r="E39" i="35"/>
  <c r="B37" i="6"/>
  <c r="G37" i="6"/>
  <c r="F37" i="6"/>
  <c r="AU38" i="6"/>
  <c r="B39" i="35"/>
  <c r="AT38" i="6"/>
  <c r="BE38" i="6"/>
  <c r="U38" i="6"/>
  <c r="BC38" i="6"/>
  <c r="BB38" i="6"/>
  <c r="G38" i="6"/>
  <c r="V37" i="6"/>
  <c r="D30" i="37" l="1"/>
  <c r="A32" i="37"/>
  <c r="G39" i="35"/>
  <c r="I39" i="35" s="1"/>
  <c r="A41" i="35"/>
  <c r="BO37" i="6"/>
  <c r="BM38" i="6"/>
  <c r="BJ37" i="6"/>
  <c r="BK37" i="6" s="1"/>
  <c r="BI38" i="6"/>
  <c r="BG38" i="6"/>
  <c r="BH37" i="6"/>
  <c r="AA37" i="6"/>
  <c r="I37" i="6"/>
  <c r="AN37" i="6"/>
  <c r="AO37" i="6" s="1"/>
  <c r="L37" i="6"/>
  <c r="J37" i="6"/>
  <c r="A39" i="6"/>
  <c r="O39" i="6"/>
  <c r="G39" i="6"/>
  <c r="T38" i="6"/>
  <c r="BC39" i="6"/>
  <c r="BB39" i="6"/>
  <c r="P39" i="6"/>
  <c r="Q38" i="6"/>
  <c r="B38" i="6"/>
  <c r="AU39" i="6"/>
  <c r="BD39" i="6"/>
  <c r="E40" i="35"/>
  <c r="V39" i="6"/>
  <c r="H38" i="6"/>
  <c r="D38" i="6"/>
  <c r="P38" i="6"/>
  <c r="F38" i="6"/>
  <c r="C39" i="6"/>
  <c r="Q39" i="6"/>
  <c r="N39" i="6"/>
  <c r="C38" i="6"/>
  <c r="V38" i="6"/>
  <c r="N38" i="6"/>
  <c r="AV39" i="6"/>
  <c r="H41" i="35"/>
  <c r="BE39" i="6"/>
  <c r="C40" i="35"/>
  <c r="AT39" i="6"/>
  <c r="D40" i="35"/>
  <c r="S38" i="6"/>
  <c r="B40" i="35"/>
  <c r="O38" i="6"/>
  <c r="D31" i="37" l="1"/>
  <c r="A33" i="37"/>
  <c r="G40" i="35"/>
  <c r="I40" i="35" s="1"/>
  <c r="A42" i="35"/>
  <c r="BO38" i="6"/>
  <c r="BM39" i="6"/>
  <c r="AF37" i="6"/>
  <c r="BH38" i="6"/>
  <c r="BJ38" i="6"/>
  <c r="BK38" i="6" s="1"/>
  <c r="BI39" i="6"/>
  <c r="BG39" i="6"/>
  <c r="AX38" i="6"/>
  <c r="AY38" i="6"/>
  <c r="AZ38" i="6"/>
  <c r="AP37" i="6"/>
  <c r="AC37" i="6"/>
  <c r="AD37" i="6"/>
  <c r="AE37" i="6"/>
  <c r="AR37" i="6"/>
  <c r="I38" i="6"/>
  <c r="Y38" i="6"/>
  <c r="J38" i="6"/>
  <c r="Z38" i="6"/>
  <c r="L38" i="6"/>
  <c r="AA38" i="6"/>
  <c r="K38" i="6"/>
  <c r="X38" i="6"/>
  <c r="AN38" i="6"/>
  <c r="AO38" i="6" s="1"/>
  <c r="A40" i="6"/>
  <c r="BE40" i="6"/>
  <c r="N40" i="6"/>
  <c r="B40" i="6"/>
  <c r="AT40" i="6"/>
  <c r="H42" i="35"/>
  <c r="T40" i="6"/>
  <c r="D39" i="6"/>
  <c r="U39" i="6"/>
  <c r="C40" i="6"/>
  <c r="U40" i="6"/>
  <c r="G40" i="6"/>
  <c r="B41" i="35"/>
  <c r="C41" i="35"/>
  <c r="F39" i="6"/>
  <c r="S39" i="6"/>
  <c r="B39" i="6"/>
  <c r="BC40" i="6"/>
  <c r="D41" i="35"/>
  <c r="BD40" i="6"/>
  <c r="O40" i="6"/>
  <c r="BB40" i="6"/>
  <c r="E41" i="35"/>
  <c r="T39" i="6"/>
  <c r="AU40" i="6"/>
  <c r="H39" i="6"/>
  <c r="P40" i="6"/>
  <c r="AV40" i="6"/>
  <c r="Q40" i="6"/>
  <c r="D32" i="37" l="1"/>
  <c r="A34" i="37"/>
  <c r="G41" i="35"/>
  <c r="I41" i="35" s="1"/>
  <c r="A43" i="35"/>
  <c r="BO39" i="6"/>
  <c r="BM40" i="6"/>
  <c r="AF38" i="6"/>
  <c r="BH39" i="6"/>
  <c r="BJ39" i="6"/>
  <c r="BK39" i="6" s="1"/>
  <c r="BI40" i="6"/>
  <c r="BG40" i="6"/>
  <c r="BO40" i="6" s="1"/>
  <c r="AX39" i="6"/>
  <c r="AZ39" i="6"/>
  <c r="AY39" i="6"/>
  <c r="AR38" i="6"/>
  <c r="AP38" i="6"/>
  <c r="AD38" i="6"/>
  <c r="AE38" i="6"/>
  <c r="AN39" i="6"/>
  <c r="AO39" i="6" s="1"/>
  <c r="X39" i="6"/>
  <c r="K39" i="6"/>
  <c r="I39" i="6"/>
  <c r="L39" i="6"/>
  <c r="Z39" i="6"/>
  <c r="Y39" i="6"/>
  <c r="J39" i="6"/>
  <c r="AA39" i="6"/>
  <c r="AC38" i="6"/>
  <c r="L40" i="6"/>
  <c r="A41" i="6"/>
  <c r="BC41" i="6"/>
  <c r="S40" i="6"/>
  <c r="BE41" i="6"/>
  <c r="Q41" i="6"/>
  <c r="H41" i="6"/>
  <c r="E42" i="35"/>
  <c r="N41" i="6"/>
  <c r="D42" i="35"/>
  <c r="AV41" i="6"/>
  <c r="T41" i="6"/>
  <c r="V40" i="6"/>
  <c r="B42" i="35"/>
  <c r="O41" i="6"/>
  <c r="C41" i="6"/>
  <c r="D41" i="6"/>
  <c r="P41" i="6"/>
  <c r="AT41" i="6"/>
  <c r="AU41" i="6"/>
  <c r="F40" i="6"/>
  <c r="V41" i="6"/>
  <c r="BD41" i="6"/>
  <c r="D40" i="6"/>
  <c r="H40" i="6"/>
  <c r="H43" i="35"/>
  <c r="C42" i="35"/>
  <c r="F41" i="6"/>
  <c r="U41" i="6"/>
  <c r="B41" i="6"/>
  <c r="S41" i="6"/>
  <c r="BB41" i="6"/>
  <c r="D33" i="37" l="1"/>
  <c r="A35" i="37"/>
  <c r="G42" i="35"/>
  <c r="I42" i="35" s="1"/>
  <c r="A44" i="35"/>
  <c r="BM41" i="6"/>
  <c r="AF39" i="6"/>
  <c r="BH40" i="6"/>
  <c r="BJ40" i="6"/>
  <c r="BK40" i="6" s="1"/>
  <c r="BI41" i="6"/>
  <c r="BG41" i="6"/>
  <c r="BO41" i="6" s="1"/>
  <c r="AZ40" i="6"/>
  <c r="AX40" i="6"/>
  <c r="AY40" i="6"/>
  <c r="AX41" i="6"/>
  <c r="AZ41" i="6"/>
  <c r="AY41" i="6"/>
  <c r="AR39" i="6"/>
  <c r="AE39" i="6"/>
  <c r="AC39" i="6"/>
  <c r="AP39" i="6"/>
  <c r="I40" i="6"/>
  <c r="AN40" i="6"/>
  <c r="AR40" i="6" s="1"/>
  <c r="X40" i="6"/>
  <c r="J40" i="6"/>
  <c r="Z40" i="6"/>
  <c r="Y40" i="6"/>
  <c r="K40" i="6"/>
  <c r="AA40" i="6"/>
  <c r="AD39" i="6"/>
  <c r="AN41" i="6"/>
  <c r="Y41" i="6"/>
  <c r="AA41" i="6"/>
  <c r="Z41" i="6"/>
  <c r="X41" i="6"/>
  <c r="K41" i="6"/>
  <c r="A42" i="6"/>
  <c r="D43" i="35"/>
  <c r="AV42" i="6"/>
  <c r="AU42" i="6"/>
  <c r="BD42" i="6"/>
  <c r="C42" i="6"/>
  <c r="AT42" i="6"/>
  <c r="V42" i="6"/>
  <c r="BB42" i="6"/>
  <c r="S42" i="6"/>
  <c r="G41" i="6"/>
  <c r="E43" i="35"/>
  <c r="N42" i="6"/>
  <c r="BC42" i="6"/>
  <c r="G42" i="6"/>
  <c r="O42" i="6"/>
  <c r="H44" i="35"/>
  <c r="P42" i="6"/>
  <c r="T42" i="6"/>
  <c r="B43" i="35"/>
  <c r="C43" i="35"/>
  <c r="BE42" i="6"/>
  <c r="D34" i="37" l="1"/>
  <c r="A36" i="37"/>
  <c r="G43" i="35"/>
  <c r="I43" i="35" s="1"/>
  <c r="A45" i="35"/>
  <c r="BM42" i="6"/>
  <c r="BJ41" i="6"/>
  <c r="BK41" i="6" s="1"/>
  <c r="AF40" i="6"/>
  <c r="AF41" i="6"/>
  <c r="BI42" i="6"/>
  <c r="BG42" i="6"/>
  <c r="BH41" i="6"/>
  <c r="AC40" i="6"/>
  <c r="AO40" i="6"/>
  <c r="AE40" i="6"/>
  <c r="AP40" i="6"/>
  <c r="AD40" i="6"/>
  <c r="L41" i="6"/>
  <c r="I41" i="6"/>
  <c r="J41" i="6"/>
  <c r="AR41" i="6"/>
  <c r="AO41" i="6"/>
  <c r="AP41" i="6"/>
  <c r="AC41" i="6"/>
  <c r="AE41" i="6"/>
  <c r="AD41" i="6"/>
  <c r="A43" i="6"/>
  <c r="D43" i="6"/>
  <c r="BB43" i="6"/>
  <c r="Q43" i="6"/>
  <c r="E44" i="35"/>
  <c r="F42" i="6"/>
  <c r="BC43" i="6"/>
  <c r="H45" i="35"/>
  <c r="B43" i="6"/>
  <c r="B44" i="35"/>
  <c r="G43" i="6"/>
  <c r="H42" i="6"/>
  <c r="B42" i="6"/>
  <c r="Q42" i="6"/>
  <c r="S43" i="6"/>
  <c r="AV43" i="6"/>
  <c r="AT43" i="6"/>
  <c r="D44" i="35"/>
  <c r="AU43" i="6"/>
  <c r="P43" i="6"/>
  <c r="BE43" i="6"/>
  <c r="U42" i="6"/>
  <c r="O43" i="6"/>
  <c r="T43" i="6"/>
  <c r="D42" i="6"/>
  <c r="N43" i="6"/>
  <c r="C44" i="35"/>
  <c r="BD43" i="6"/>
  <c r="D35" i="37" l="1"/>
  <c r="A37" i="37"/>
  <c r="G44" i="35"/>
  <c r="I44" i="35" s="1"/>
  <c r="A46" i="35"/>
  <c r="BO42" i="6"/>
  <c r="BM43" i="6"/>
  <c r="BH42" i="6"/>
  <c r="BJ42" i="6"/>
  <c r="BK42" i="6" s="1"/>
  <c r="BI43" i="6"/>
  <c r="BG43" i="6"/>
  <c r="BO43" i="6" s="1"/>
  <c r="AX42" i="6"/>
  <c r="AZ42" i="6"/>
  <c r="AY42" i="6"/>
  <c r="AY43" i="6"/>
  <c r="AZ43" i="6"/>
  <c r="AX43" i="6"/>
  <c r="J42" i="6"/>
  <c r="AA42" i="6"/>
  <c r="Y42" i="6"/>
  <c r="X42" i="6"/>
  <c r="AN42" i="6"/>
  <c r="AR42" i="6" s="1"/>
  <c r="Z42" i="6"/>
  <c r="I42" i="6"/>
  <c r="K42" i="6"/>
  <c r="L42" i="6"/>
  <c r="X43" i="6"/>
  <c r="Y43" i="6"/>
  <c r="L43" i="6"/>
  <c r="J43" i="6"/>
  <c r="A44" i="6"/>
  <c r="C45" i="35"/>
  <c r="AT44" i="6"/>
  <c r="O44" i="6"/>
  <c r="D44" i="6"/>
  <c r="Q44" i="6"/>
  <c r="F43" i="6"/>
  <c r="N44" i="6"/>
  <c r="BC44" i="6"/>
  <c r="BE44" i="6"/>
  <c r="H44" i="6"/>
  <c r="V43" i="6"/>
  <c r="C44" i="6"/>
  <c r="B45" i="35"/>
  <c r="BB44" i="6"/>
  <c r="AU44" i="6"/>
  <c r="P44" i="6"/>
  <c r="BD44" i="6"/>
  <c r="U44" i="6"/>
  <c r="E45" i="35"/>
  <c r="V44" i="6"/>
  <c r="H46" i="35"/>
  <c r="T44" i="6"/>
  <c r="H43" i="6"/>
  <c r="U43" i="6"/>
  <c r="C43" i="6"/>
  <c r="F44" i="6"/>
  <c r="D45" i="35"/>
  <c r="B44" i="6"/>
  <c r="AV44" i="6"/>
  <c r="S44" i="6"/>
  <c r="G44" i="6"/>
  <c r="D36" i="37" l="1"/>
  <c r="A38" i="37"/>
  <c r="G45" i="35"/>
  <c r="I45" i="35" s="1"/>
  <c r="A47" i="35"/>
  <c r="BM44" i="6"/>
  <c r="AF42" i="6"/>
  <c r="AC42" i="6"/>
  <c r="BH43" i="6"/>
  <c r="BJ43" i="6"/>
  <c r="BK43" i="6" s="1"/>
  <c r="BI44" i="6"/>
  <c r="BG44" i="6"/>
  <c r="BO44" i="6" s="1"/>
  <c r="AZ44" i="6"/>
  <c r="AX44" i="6"/>
  <c r="AY44" i="6"/>
  <c r="AE42" i="6"/>
  <c r="AD42" i="6"/>
  <c r="AP42" i="6"/>
  <c r="AA43" i="6"/>
  <c r="I43" i="6"/>
  <c r="AN43" i="6"/>
  <c r="AO43" i="6" s="1"/>
  <c r="Z43" i="6"/>
  <c r="K43" i="6"/>
  <c r="AO42" i="6"/>
  <c r="I44" i="6"/>
  <c r="AN44" i="6"/>
  <c r="Z44" i="6"/>
  <c r="AA44" i="6"/>
  <c r="X44" i="6"/>
  <c r="Y44" i="6"/>
  <c r="L44" i="6"/>
  <c r="K44" i="6"/>
  <c r="J44" i="6"/>
  <c r="A45" i="6"/>
  <c r="AV45" i="6"/>
  <c r="E46" i="35"/>
  <c r="AU45" i="6"/>
  <c r="BE45" i="6"/>
  <c r="G45" i="6"/>
  <c r="BD45" i="6"/>
  <c r="C46" i="35"/>
  <c r="Q45" i="6"/>
  <c r="B46" i="35"/>
  <c r="BB45" i="6"/>
  <c r="H47" i="35"/>
  <c r="AT45" i="6"/>
  <c r="U45" i="6"/>
  <c r="D46" i="35"/>
  <c r="BC45" i="6"/>
  <c r="D37" i="37" l="1"/>
  <c r="A39" i="37"/>
  <c r="G46" i="35"/>
  <c r="I46" i="35" s="1"/>
  <c r="A48" i="35"/>
  <c r="BM45" i="6"/>
  <c r="AF43" i="6"/>
  <c r="AF44" i="6"/>
  <c r="BH44" i="6"/>
  <c r="BJ44" i="6"/>
  <c r="BK44" i="6" s="1"/>
  <c r="BI45" i="6"/>
  <c r="BG45" i="6"/>
  <c r="AD43" i="6"/>
  <c r="AC43" i="6"/>
  <c r="AP43" i="6"/>
  <c r="AE43" i="6"/>
  <c r="AR43" i="6"/>
  <c r="AR44" i="6"/>
  <c r="AO44" i="6"/>
  <c r="AP44" i="6"/>
  <c r="AC44" i="6"/>
  <c r="AD44" i="6"/>
  <c r="AE44" i="6"/>
  <c r="A46" i="6"/>
  <c r="H45" i="6"/>
  <c r="S45" i="6"/>
  <c r="E47" i="35"/>
  <c r="B47" i="35"/>
  <c r="BD46" i="6"/>
  <c r="D45" i="6"/>
  <c r="BC46" i="6"/>
  <c r="AT46" i="6"/>
  <c r="Q46" i="6"/>
  <c r="C47" i="35"/>
  <c r="AV46" i="6"/>
  <c r="O45" i="6"/>
  <c r="BE46" i="6"/>
  <c r="BB46" i="6"/>
  <c r="T45" i="6"/>
  <c r="U46" i="6"/>
  <c r="D47" i="35"/>
  <c r="AU46" i="6"/>
  <c r="C45" i="6"/>
  <c r="N45" i="6"/>
  <c r="H48" i="35"/>
  <c r="B45" i="6"/>
  <c r="F45" i="6"/>
  <c r="G46" i="6"/>
  <c r="V45" i="6"/>
  <c r="P45" i="6"/>
  <c r="D38" i="37" l="1"/>
  <c r="A40" i="37"/>
  <c r="G47" i="35"/>
  <c r="I47" i="35" s="1"/>
  <c r="A49" i="35"/>
  <c r="BO45" i="6"/>
  <c r="BM46" i="6"/>
  <c r="BH45" i="6"/>
  <c r="BJ45" i="6"/>
  <c r="BK45" i="6" s="1"/>
  <c r="BI46" i="6"/>
  <c r="BG46" i="6"/>
  <c r="AX45" i="6"/>
  <c r="AY45" i="6"/>
  <c r="AZ45" i="6"/>
  <c r="L45" i="6"/>
  <c r="AA45" i="6"/>
  <c r="Y45" i="6"/>
  <c r="AN45" i="6"/>
  <c r="AO45" i="6" s="1"/>
  <c r="X45" i="6"/>
  <c r="I45" i="6"/>
  <c r="Z45" i="6"/>
  <c r="J45" i="6"/>
  <c r="K45" i="6"/>
  <c r="A47" i="6"/>
  <c r="AV47" i="6"/>
  <c r="H49" i="35"/>
  <c r="E48" i="35"/>
  <c r="G47" i="6"/>
  <c r="F46" i="6"/>
  <c r="BB47" i="6"/>
  <c r="BC47" i="6"/>
  <c r="D48" i="35"/>
  <c r="BE47" i="6"/>
  <c r="V46" i="6"/>
  <c r="N46" i="6"/>
  <c r="BD47" i="6"/>
  <c r="D46" i="6"/>
  <c r="C46" i="6"/>
  <c r="C48" i="35"/>
  <c r="B48" i="35"/>
  <c r="B46" i="6"/>
  <c r="T46" i="6"/>
  <c r="P47" i="6"/>
  <c r="H46" i="6"/>
  <c r="O46" i="6"/>
  <c r="P46" i="6"/>
  <c r="AU47" i="6"/>
  <c r="S46" i="6"/>
  <c r="AT47" i="6"/>
  <c r="D39" i="37" l="1"/>
  <c r="A41" i="37"/>
  <c r="G48" i="35"/>
  <c r="I48" i="35" s="1"/>
  <c r="A50" i="35"/>
  <c r="BO46" i="6"/>
  <c r="BM47" i="6"/>
  <c r="AF45" i="6"/>
  <c r="BH46" i="6"/>
  <c r="BJ46" i="6"/>
  <c r="BK46" i="6" s="1"/>
  <c r="BI47" i="6"/>
  <c r="BG47" i="6"/>
  <c r="AY46" i="6"/>
  <c r="AX46" i="6"/>
  <c r="AZ46" i="6"/>
  <c r="AC45" i="6"/>
  <c r="AE45" i="6"/>
  <c r="AD45" i="6"/>
  <c r="AP45" i="6"/>
  <c r="AR45" i="6"/>
  <c r="AA46" i="6"/>
  <c r="I46" i="6"/>
  <c r="AN46" i="6"/>
  <c r="AR46" i="6" s="1"/>
  <c r="X46" i="6"/>
  <c r="K46" i="6"/>
  <c r="Y46" i="6"/>
  <c r="Z46" i="6"/>
  <c r="J46" i="6"/>
  <c r="L46" i="6"/>
  <c r="A48" i="6"/>
  <c r="C48" i="6"/>
  <c r="BC48" i="6"/>
  <c r="B48" i="6"/>
  <c r="D47" i="6"/>
  <c r="B49" i="35"/>
  <c r="T48" i="6"/>
  <c r="C47" i="6"/>
  <c r="B47" i="6"/>
  <c r="F48" i="6"/>
  <c r="S48" i="6"/>
  <c r="F47" i="6"/>
  <c r="Q47" i="6"/>
  <c r="H50" i="35"/>
  <c r="O47" i="6"/>
  <c r="N48" i="6"/>
  <c r="P48" i="6"/>
  <c r="T47" i="6"/>
  <c r="V48" i="6"/>
  <c r="D48" i="6"/>
  <c r="C49" i="35"/>
  <c r="V47" i="6"/>
  <c r="AV48" i="6"/>
  <c r="Q48" i="6"/>
  <c r="U47" i="6"/>
  <c r="AT48" i="6"/>
  <c r="D49" i="35"/>
  <c r="U48" i="6"/>
  <c r="S47" i="6"/>
  <c r="O48" i="6"/>
  <c r="H47" i="6"/>
  <c r="G48" i="6"/>
  <c r="BD48" i="6"/>
  <c r="E49" i="35"/>
  <c r="N47" i="6"/>
  <c r="BE48" i="6"/>
  <c r="AU48" i="6"/>
  <c r="BB48" i="6"/>
  <c r="D40" i="37" l="1"/>
  <c r="A42" i="37"/>
  <c r="G49" i="35"/>
  <c r="I49" i="35" s="1"/>
  <c r="A51" i="35"/>
  <c r="BO47" i="6"/>
  <c r="BM48" i="6"/>
  <c r="AF46" i="6"/>
  <c r="BH47" i="6"/>
  <c r="BJ47" i="6"/>
  <c r="BK47" i="6" s="1"/>
  <c r="BI48" i="6"/>
  <c r="BG48" i="6"/>
  <c r="BO48" i="6" s="1"/>
  <c r="AX47" i="6"/>
  <c r="AZ47" i="6"/>
  <c r="AY47" i="6"/>
  <c r="AZ48" i="6"/>
  <c r="AX48" i="6"/>
  <c r="AY48" i="6"/>
  <c r="AE46" i="6"/>
  <c r="AC46" i="6"/>
  <c r="AD46" i="6"/>
  <c r="AP46" i="6"/>
  <c r="AO46" i="6"/>
  <c r="J47" i="6"/>
  <c r="I47" i="6"/>
  <c r="AA47" i="6"/>
  <c r="AN47" i="6"/>
  <c r="AO47" i="6" s="1"/>
  <c r="X47" i="6"/>
  <c r="Y47" i="6"/>
  <c r="K47" i="6"/>
  <c r="L47" i="6"/>
  <c r="Z47" i="6"/>
  <c r="AN48" i="6"/>
  <c r="Z48" i="6"/>
  <c r="Y48" i="6"/>
  <c r="X48" i="6"/>
  <c r="AA48" i="6"/>
  <c r="L48" i="6"/>
  <c r="J48" i="6"/>
  <c r="A49" i="6"/>
  <c r="P49" i="6"/>
  <c r="AV49" i="6"/>
  <c r="BE49" i="6"/>
  <c r="E50" i="35"/>
  <c r="BB49" i="6"/>
  <c r="AT49" i="6"/>
  <c r="C50" i="35"/>
  <c r="T49" i="6"/>
  <c r="U49" i="6"/>
  <c r="AU49" i="6"/>
  <c r="H51" i="35"/>
  <c r="D50" i="35"/>
  <c r="BC49" i="6"/>
  <c r="V49" i="6"/>
  <c r="N49" i="6"/>
  <c r="B50" i="35"/>
  <c r="H49" i="6"/>
  <c r="BD49" i="6"/>
  <c r="D49" i="6"/>
  <c r="H48" i="6"/>
  <c r="Q49" i="6"/>
  <c r="D41" i="37" l="1"/>
  <c r="A43" i="37"/>
  <c r="G50" i="35"/>
  <c r="I50" i="35" s="1"/>
  <c r="A52" i="35"/>
  <c r="BM49" i="6"/>
  <c r="AF47" i="6"/>
  <c r="AF48" i="6"/>
  <c r="BH48" i="6"/>
  <c r="BJ48" i="6"/>
  <c r="BK48" i="6" s="1"/>
  <c r="BI49" i="6"/>
  <c r="BG49" i="6"/>
  <c r="AX49" i="6"/>
  <c r="AY49" i="6"/>
  <c r="AZ49" i="6"/>
  <c r="AC47" i="6"/>
  <c r="AE47" i="6"/>
  <c r="AP47" i="6"/>
  <c r="AR47" i="6"/>
  <c r="AD47" i="6"/>
  <c r="I48" i="6"/>
  <c r="K48" i="6"/>
  <c r="AR48" i="6"/>
  <c r="AO48" i="6"/>
  <c r="AP48" i="6"/>
  <c r="AE48" i="6"/>
  <c r="AC48" i="6"/>
  <c r="AD48" i="6"/>
  <c r="Y49" i="6"/>
  <c r="AA49" i="6"/>
  <c r="Z49" i="6"/>
  <c r="K49" i="6"/>
  <c r="A50" i="6"/>
  <c r="Q50" i="6"/>
  <c r="N50" i="6"/>
  <c r="O50" i="6"/>
  <c r="F49" i="6"/>
  <c r="T50" i="6"/>
  <c r="E51" i="35"/>
  <c r="AV50" i="6"/>
  <c r="BC50" i="6"/>
  <c r="S50" i="6"/>
  <c r="G50" i="6"/>
  <c r="H52" i="35"/>
  <c r="C50" i="6"/>
  <c r="AT50" i="6"/>
  <c r="V50" i="6"/>
  <c r="AU50" i="6"/>
  <c r="B50" i="6"/>
  <c r="C51" i="35"/>
  <c r="S49" i="6"/>
  <c r="O49" i="6"/>
  <c r="D50" i="6"/>
  <c r="BB50" i="6"/>
  <c r="G49" i="6"/>
  <c r="P50" i="6"/>
  <c r="BD50" i="6"/>
  <c r="B51" i="35"/>
  <c r="BE50" i="6"/>
  <c r="D51" i="35"/>
  <c r="B49" i="6"/>
  <c r="C49" i="6"/>
  <c r="D42" i="37" l="1"/>
  <c r="A44" i="37"/>
  <c r="G51" i="35"/>
  <c r="I51" i="35" s="1"/>
  <c r="A53" i="35"/>
  <c r="BO49" i="6"/>
  <c r="BM50" i="6"/>
  <c r="AF49" i="6"/>
  <c r="BJ49" i="6"/>
  <c r="BK49" i="6" s="1"/>
  <c r="BI50" i="6"/>
  <c r="BG50" i="6"/>
  <c r="BO50" i="6" s="1"/>
  <c r="BH49" i="6"/>
  <c r="AX50" i="6"/>
  <c r="AY50" i="6"/>
  <c r="AZ50" i="6"/>
  <c r="X49" i="6"/>
  <c r="AC49" i="6" s="1"/>
  <c r="AN49" i="6"/>
  <c r="AO49" i="6" s="1"/>
  <c r="I49" i="6"/>
  <c r="J49" i="6"/>
  <c r="L49" i="6"/>
  <c r="AE49" i="6"/>
  <c r="AD49" i="6"/>
  <c r="AA50" i="6"/>
  <c r="X50" i="6"/>
  <c r="Y50" i="6"/>
  <c r="L50" i="6"/>
  <c r="J50" i="6"/>
  <c r="A51" i="6"/>
  <c r="H50" i="6"/>
  <c r="BE51" i="6"/>
  <c r="O51" i="6"/>
  <c r="Q51" i="6"/>
  <c r="F50" i="6"/>
  <c r="AT51" i="6"/>
  <c r="H53" i="35"/>
  <c r="C52" i="35"/>
  <c r="P51" i="6"/>
  <c r="B51" i="6"/>
  <c r="G51" i="6"/>
  <c r="D52" i="35"/>
  <c r="N51" i="6"/>
  <c r="V51" i="6"/>
  <c r="D51" i="6"/>
  <c r="AV51" i="6"/>
  <c r="BC51" i="6"/>
  <c r="E52" i="35"/>
  <c r="U50" i="6"/>
  <c r="B52" i="35"/>
  <c r="BD51" i="6"/>
  <c r="U51" i="6"/>
  <c r="AU51" i="6"/>
  <c r="T51" i="6"/>
  <c r="BB51" i="6"/>
  <c r="C51" i="6"/>
  <c r="D43" i="37" l="1"/>
  <c r="A45" i="37"/>
  <c r="G52" i="35"/>
  <c r="I52" i="35" s="1"/>
  <c r="A54" i="35"/>
  <c r="BM51" i="6"/>
  <c r="AF50" i="6"/>
  <c r="BH50" i="6"/>
  <c r="BJ50" i="6"/>
  <c r="BK50" i="6" s="1"/>
  <c r="BI51" i="6"/>
  <c r="BG51" i="6"/>
  <c r="BO51" i="6" s="1"/>
  <c r="AY51" i="6"/>
  <c r="AZ51" i="6"/>
  <c r="AX51" i="6"/>
  <c r="AR49" i="6"/>
  <c r="AP49" i="6"/>
  <c r="K50" i="6"/>
  <c r="AN50" i="6"/>
  <c r="AR50" i="6" s="1"/>
  <c r="Z50" i="6"/>
  <c r="AE50" i="6" s="1"/>
  <c r="I50" i="6"/>
  <c r="AC50" i="6"/>
  <c r="AD50" i="6"/>
  <c r="Y51" i="6"/>
  <c r="AA51" i="6"/>
  <c r="Z51" i="6"/>
  <c r="L51" i="6"/>
  <c r="J51" i="6"/>
  <c r="A52" i="6"/>
  <c r="B53" i="35"/>
  <c r="S52" i="6"/>
  <c r="H51" i="6"/>
  <c r="Q52" i="6"/>
  <c r="AV52" i="6"/>
  <c r="H54" i="35"/>
  <c r="D52" i="6"/>
  <c r="F51" i="6"/>
  <c r="H52" i="6"/>
  <c r="AT52" i="6"/>
  <c r="BB52" i="6"/>
  <c r="O52" i="6"/>
  <c r="BD52" i="6"/>
  <c r="N52" i="6"/>
  <c r="P52" i="6"/>
  <c r="BC52" i="6"/>
  <c r="BE52" i="6"/>
  <c r="AU52" i="6"/>
  <c r="V52" i="6"/>
  <c r="C53" i="35"/>
  <c r="C52" i="6"/>
  <c r="U52" i="6"/>
  <c r="B52" i="6"/>
  <c r="T52" i="6"/>
  <c r="G52" i="6"/>
  <c r="E53" i="35"/>
  <c r="F52" i="6"/>
  <c r="S51" i="6"/>
  <c r="D53" i="35"/>
  <c r="D44" i="37" l="1"/>
  <c r="A46" i="37"/>
  <c r="G53" i="35"/>
  <c r="I53" i="35" s="1"/>
  <c r="A55" i="35"/>
  <c r="BM52" i="6"/>
  <c r="AF51" i="6"/>
  <c r="BH51" i="6"/>
  <c r="BJ51" i="6"/>
  <c r="BK51" i="6" s="1"/>
  <c r="BI52" i="6"/>
  <c r="BG52" i="6"/>
  <c r="BO52" i="6" s="1"/>
  <c r="AZ52" i="6"/>
  <c r="AY52" i="6"/>
  <c r="AX52" i="6"/>
  <c r="AO50" i="6"/>
  <c r="AP50" i="6"/>
  <c r="I51" i="6"/>
  <c r="AN51" i="6"/>
  <c r="AO51" i="6" s="1"/>
  <c r="X51" i="6"/>
  <c r="AP51" i="6" s="1"/>
  <c r="K51" i="6"/>
  <c r="I52" i="6"/>
  <c r="AN52" i="6"/>
  <c r="AE51" i="6"/>
  <c r="AD51" i="6"/>
  <c r="Z52" i="6"/>
  <c r="AA52" i="6"/>
  <c r="X52" i="6"/>
  <c r="Y52" i="6"/>
  <c r="L52" i="6"/>
  <c r="J52" i="6"/>
  <c r="K52" i="6"/>
  <c r="A53" i="6"/>
  <c r="H55" i="35"/>
  <c r="H53" i="6"/>
  <c r="B54" i="35"/>
  <c r="AU53" i="6"/>
  <c r="C54" i="35"/>
  <c r="U53" i="6"/>
  <c r="AT53" i="6"/>
  <c r="BD53" i="6"/>
  <c r="S53" i="6"/>
  <c r="D54" i="35"/>
  <c r="P53" i="6"/>
  <c r="BB53" i="6"/>
  <c r="AV53" i="6"/>
  <c r="BE53" i="6"/>
  <c r="T53" i="6"/>
  <c r="E54" i="35"/>
  <c r="Q53" i="6"/>
  <c r="BC53" i="6"/>
  <c r="D45" i="37" l="1"/>
  <c r="A47" i="37"/>
  <c r="G54" i="35"/>
  <c r="I54" i="35" s="1"/>
  <c r="A56" i="35"/>
  <c r="BM53" i="6"/>
  <c r="AF52" i="6"/>
  <c r="BH52" i="6"/>
  <c r="BJ52" i="6"/>
  <c r="BK52" i="6" s="1"/>
  <c r="BI53" i="6"/>
  <c r="BG53" i="6"/>
  <c r="AR51" i="6"/>
  <c r="AC51" i="6"/>
  <c r="AR52" i="6"/>
  <c r="AO52" i="6"/>
  <c r="AP52" i="6"/>
  <c r="AD52" i="6"/>
  <c r="AC52" i="6"/>
  <c r="AE52" i="6"/>
  <c r="A54" i="6"/>
  <c r="BB54" i="6"/>
  <c r="U54" i="6"/>
  <c r="G54" i="6"/>
  <c r="C54" i="6"/>
  <c r="AT54" i="6"/>
  <c r="BE54" i="6"/>
  <c r="D55" i="35"/>
  <c r="G53" i="6"/>
  <c r="C53" i="6"/>
  <c r="T54" i="6"/>
  <c r="H56" i="35"/>
  <c r="C55" i="35"/>
  <c r="F53" i="6"/>
  <c r="AV54" i="6"/>
  <c r="D54" i="6"/>
  <c r="D53" i="6"/>
  <c r="V54" i="6"/>
  <c r="V53" i="6"/>
  <c r="BD54" i="6"/>
  <c r="N54" i="6"/>
  <c r="B54" i="6"/>
  <c r="P54" i="6"/>
  <c r="B55" i="35"/>
  <c r="AU54" i="6"/>
  <c r="S54" i="6"/>
  <c r="E55" i="35"/>
  <c r="O54" i="6"/>
  <c r="B53" i="6"/>
  <c r="N53" i="6"/>
  <c r="BC54" i="6"/>
  <c r="O53" i="6"/>
  <c r="Q54" i="6"/>
  <c r="D46" i="37" l="1"/>
  <c r="A48" i="37"/>
  <c r="G55" i="35"/>
  <c r="I55" i="35" s="1"/>
  <c r="A57" i="35"/>
  <c r="BO53" i="6"/>
  <c r="BM54" i="6"/>
  <c r="BJ53" i="6"/>
  <c r="BK53" i="6" s="1"/>
  <c r="BI54" i="6"/>
  <c r="BG54" i="6"/>
  <c r="BO54" i="6" s="1"/>
  <c r="BH53" i="6"/>
  <c r="AX53" i="6"/>
  <c r="AY53" i="6"/>
  <c r="AZ53" i="6"/>
  <c r="AX54" i="6"/>
  <c r="AY54" i="6"/>
  <c r="AZ54" i="6"/>
  <c r="I53" i="6"/>
  <c r="AN53" i="6"/>
  <c r="AR53" i="6" s="1"/>
  <c r="AA53" i="6"/>
  <c r="K53" i="6"/>
  <c r="Y53" i="6"/>
  <c r="Z53" i="6"/>
  <c r="X53" i="6"/>
  <c r="J53" i="6"/>
  <c r="L53" i="6"/>
  <c r="X54" i="6"/>
  <c r="Z54" i="6"/>
  <c r="Y54" i="6"/>
  <c r="AA54" i="6"/>
  <c r="L54" i="6"/>
  <c r="J54" i="6"/>
  <c r="A55" i="6"/>
  <c r="AV55" i="6"/>
  <c r="S55" i="6"/>
  <c r="F54" i="6"/>
  <c r="V55" i="6"/>
  <c r="O55" i="6"/>
  <c r="H54" i="6"/>
  <c r="BE55" i="6"/>
  <c r="B56" i="35"/>
  <c r="H55" i="6"/>
  <c r="AU55" i="6"/>
  <c r="E56" i="35"/>
  <c r="AT55" i="6"/>
  <c r="P55" i="6"/>
  <c r="C56" i="35"/>
  <c r="BC55" i="6"/>
  <c r="D56" i="35"/>
  <c r="BD55" i="6"/>
  <c r="BB55" i="6"/>
  <c r="H57" i="35"/>
  <c r="D47" i="37" l="1"/>
  <c r="A49" i="37"/>
  <c r="G56" i="35"/>
  <c r="I56" i="35" s="1"/>
  <c r="A58" i="35"/>
  <c r="BM55" i="6"/>
  <c r="AF53" i="6"/>
  <c r="AF54" i="6"/>
  <c r="BH54" i="6"/>
  <c r="BJ54" i="6"/>
  <c r="BK54" i="6" s="1"/>
  <c r="BI55" i="6"/>
  <c r="BG55" i="6"/>
  <c r="AE53" i="6"/>
  <c r="AD53" i="6"/>
  <c r="AP53" i="6"/>
  <c r="AO53" i="6"/>
  <c r="K54" i="6"/>
  <c r="I54" i="6"/>
  <c r="AN54" i="6"/>
  <c r="AR54" i="6" s="1"/>
  <c r="AC53" i="6"/>
  <c r="AE54" i="6"/>
  <c r="AD54" i="6"/>
  <c r="AC54" i="6"/>
  <c r="A56" i="6"/>
  <c r="G55" i="6"/>
  <c r="N56" i="6"/>
  <c r="U55" i="6"/>
  <c r="E57" i="35"/>
  <c r="F55" i="6"/>
  <c r="B56" i="6"/>
  <c r="S56" i="6"/>
  <c r="P56" i="6"/>
  <c r="B57" i="35"/>
  <c r="D57" i="35"/>
  <c r="BE56" i="6"/>
  <c r="AV56" i="6"/>
  <c r="C55" i="6"/>
  <c r="T56" i="6"/>
  <c r="O56" i="6"/>
  <c r="C57" i="35"/>
  <c r="T55" i="6"/>
  <c r="BD56" i="6"/>
  <c r="C56" i="6"/>
  <c r="Q56" i="6"/>
  <c r="D56" i="6"/>
  <c r="G56" i="6"/>
  <c r="BC56" i="6"/>
  <c r="D55" i="6"/>
  <c r="Q55" i="6"/>
  <c r="N55" i="6"/>
  <c r="AU56" i="6"/>
  <c r="U56" i="6"/>
  <c r="AT56" i="6"/>
  <c r="BB56" i="6"/>
  <c r="B55" i="6"/>
  <c r="H58" i="35"/>
  <c r="D48" i="37" l="1"/>
  <c r="A50" i="37"/>
  <c r="G57" i="35"/>
  <c r="I57" i="35" s="1"/>
  <c r="A59" i="35"/>
  <c r="BO55" i="6"/>
  <c r="BM56" i="6"/>
  <c r="BJ55" i="6"/>
  <c r="BK55" i="6" s="1"/>
  <c r="BI56" i="6"/>
  <c r="BG56" i="6"/>
  <c r="BO56" i="6" s="1"/>
  <c r="BH55" i="6"/>
  <c r="AX55" i="6"/>
  <c r="AY55" i="6"/>
  <c r="AZ55" i="6"/>
  <c r="AZ56" i="6"/>
  <c r="AX56" i="6"/>
  <c r="AY56" i="6"/>
  <c r="AP54" i="6"/>
  <c r="AO54" i="6"/>
  <c r="K55" i="6"/>
  <c r="X55" i="6"/>
  <c r="AA55" i="6"/>
  <c r="AN55" i="6"/>
  <c r="AR55" i="6" s="1"/>
  <c r="Y55" i="6"/>
  <c r="Z55" i="6"/>
  <c r="I55" i="6"/>
  <c r="J55" i="6"/>
  <c r="L55" i="6"/>
  <c r="Y56" i="6"/>
  <c r="Z56" i="6"/>
  <c r="X56" i="6"/>
  <c r="L56" i="6"/>
  <c r="J56" i="6"/>
  <c r="A57" i="6"/>
  <c r="H56" i="6"/>
  <c r="U57" i="6"/>
  <c r="H59" i="35"/>
  <c r="AU57" i="6"/>
  <c r="B58" i="35"/>
  <c r="BB57" i="6"/>
  <c r="N57" i="6"/>
  <c r="V56" i="6"/>
  <c r="BC57" i="6"/>
  <c r="BD57" i="6"/>
  <c r="D58" i="35"/>
  <c r="E58" i="35"/>
  <c r="G57" i="6"/>
  <c r="AV57" i="6"/>
  <c r="F56" i="6"/>
  <c r="AT57" i="6"/>
  <c r="C58" i="35"/>
  <c r="BE57" i="6"/>
  <c r="D49" i="37" l="1"/>
  <c r="A51" i="37"/>
  <c r="G58" i="35"/>
  <c r="I58" i="35" s="1"/>
  <c r="A60" i="35"/>
  <c r="BM57" i="6"/>
  <c r="AF55" i="6"/>
  <c r="BH56" i="6"/>
  <c r="BJ56" i="6"/>
  <c r="BK56" i="6" s="1"/>
  <c r="BI57" i="6"/>
  <c r="BG57" i="6"/>
  <c r="AC55" i="6"/>
  <c r="AE55" i="6"/>
  <c r="AP55" i="6"/>
  <c r="AO55" i="6"/>
  <c r="AD55" i="6"/>
  <c r="I56" i="6"/>
  <c r="AN56" i="6"/>
  <c r="AR56" i="6" s="1"/>
  <c r="AA56" i="6"/>
  <c r="K56" i="6"/>
  <c r="A58" i="6"/>
  <c r="B57" i="6"/>
  <c r="O58" i="6"/>
  <c r="N58" i="6"/>
  <c r="S57" i="6"/>
  <c r="AT58" i="6"/>
  <c r="F57" i="6"/>
  <c r="T57" i="6"/>
  <c r="H57" i="6"/>
  <c r="C57" i="6"/>
  <c r="BB58" i="6"/>
  <c r="U58" i="6"/>
  <c r="H60" i="35"/>
  <c r="D57" i="6"/>
  <c r="V57" i="6"/>
  <c r="AV58" i="6"/>
  <c r="H58" i="6"/>
  <c r="D59" i="35"/>
  <c r="D58" i="6"/>
  <c r="BE58" i="6"/>
  <c r="BC58" i="6"/>
  <c r="AU58" i="6"/>
  <c r="Q58" i="6"/>
  <c r="B59" i="35"/>
  <c r="T58" i="6"/>
  <c r="G58" i="6"/>
  <c r="F58" i="6"/>
  <c r="P58" i="6"/>
  <c r="E59" i="35"/>
  <c r="C58" i="6"/>
  <c r="Q57" i="6"/>
  <c r="S58" i="6"/>
  <c r="P57" i="6"/>
  <c r="BD58" i="6"/>
  <c r="C59" i="35"/>
  <c r="B58" i="6"/>
  <c r="V58" i="6"/>
  <c r="O57" i="6"/>
  <c r="D50" i="37" l="1"/>
  <c r="A52" i="37"/>
  <c r="G59" i="35"/>
  <c r="I59" i="35" s="1"/>
  <c r="A61" i="35"/>
  <c r="BO57" i="6"/>
  <c r="BM58" i="6"/>
  <c r="AF56" i="6"/>
  <c r="BH57" i="6"/>
  <c r="BJ57" i="6"/>
  <c r="BK57" i="6" s="1"/>
  <c r="BI58" i="6"/>
  <c r="BG58" i="6"/>
  <c r="BO58" i="6" s="1"/>
  <c r="AX57" i="6"/>
  <c r="AZ57" i="6"/>
  <c r="AY57" i="6"/>
  <c r="AY58" i="6"/>
  <c r="AX58" i="6"/>
  <c r="AZ58" i="6"/>
  <c r="AP56" i="6"/>
  <c r="AE56" i="6"/>
  <c r="AO56" i="6"/>
  <c r="AD56" i="6"/>
  <c r="AC56" i="6"/>
  <c r="K57" i="6"/>
  <c r="I57" i="6"/>
  <c r="Y57" i="6"/>
  <c r="AA57" i="6"/>
  <c r="Z57" i="6"/>
  <c r="J57" i="6"/>
  <c r="L57" i="6"/>
  <c r="AN57" i="6"/>
  <c r="AR57" i="6" s="1"/>
  <c r="X57" i="6"/>
  <c r="I58" i="6"/>
  <c r="AN58" i="6"/>
  <c r="AA58" i="6"/>
  <c r="Y58" i="6"/>
  <c r="X58" i="6"/>
  <c r="Z58" i="6"/>
  <c r="L58" i="6"/>
  <c r="J58" i="6"/>
  <c r="K58" i="6"/>
  <c r="A59" i="6"/>
  <c r="B59" i="6"/>
  <c r="S59" i="6"/>
  <c r="BE59" i="6"/>
  <c r="BD59" i="6"/>
  <c r="AT59" i="6"/>
  <c r="BC59" i="6"/>
  <c r="D59" i="6"/>
  <c r="Q59" i="6"/>
  <c r="AV59" i="6"/>
  <c r="AU59" i="6"/>
  <c r="D60" i="35"/>
  <c r="C60" i="35"/>
  <c r="E60" i="35"/>
  <c r="H61" i="35"/>
  <c r="O59" i="6"/>
  <c r="N59" i="6"/>
  <c r="B60" i="35"/>
  <c r="P59" i="6"/>
  <c r="G59" i="6"/>
  <c r="T59" i="6"/>
  <c r="BB59" i="6"/>
  <c r="D51" i="37" l="1"/>
  <c r="A53" i="37"/>
  <c r="G60" i="35"/>
  <c r="I60" i="35" s="1"/>
  <c r="A62" i="35"/>
  <c r="BM59" i="6"/>
  <c r="AF57" i="6"/>
  <c r="AF58" i="6"/>
  <c r="BH58" i="6"/>
  <c r="BJ58" i="6"/>
  <c r="BK58" i="6" s="1"/>
  <c r="BI59" i="6"/>
  <c r="BG59" i="6"/>
  <c r="BO59" i="6" s="1"/>
  <c r="AY59" i="6"/>
  <c r="AZ59" i="6"/>
  <c r="AX59" i="6"/>
  <c r="AE57" i="6"/>
  <c r="AC57" i="6"/>
  <c r="AP57" i="6"/>
  <c r="AO57" i="6"/>
  <c r="AD57" i="6"/>
  <c r="AR58" i="6"/>
  <c r="AO58" i="6"/>
  <c r="AP58" i="6"/>
  <c r="AD58" i="6"/>
  <c r="AC58" i="6"/>
  <c r="AE58" i="6"/>
  <c r="Y59" i="6"/>
  <c r="X59" i="6"/>
  <c r="L59" i="6"/>
  <c r="J59" i="6"/>
  <c r="A60" i="6"/>
  <c r="BE60" i="6"/>
  <c r="C59" i="6"/>
  <c r="E61" i="35"/>
  <c r="H62" i="35"/>
  <c r="AT60" i="6"/>
  <c r="V59" i="6"/>
  <c r="F59" i="6"/>
  <c r="H59" i="6"/>
  <c r="BC60" i="6"/>
  <c r="V60" i="6"/>
  <c r="AU60" i="6"/>
  <c r="O60" i="6"/>
  <c r="D61" i="35"/>
  <c r="BB60" i="6"/>
  <c r="C61" i="35"/>
  <c r="U59" i="6"/>
  <c r="H60" i="6"/>
  <c r="B61" i="35"/>
  <c r="BD60" i="6"/>
  <c r="AV60" i="6"/>
  <c r="D52" i="37" l="1"/>
  <c r="A54" i="37"/>
  <c r="G61" i="35"/>
  <c r="I61" i="35" s="1"/>
  <c r="A63" i="35"/>
  <c r="BM60" i="6"/>
  <c r="BH59" i="6"/>
  <c r="BJ59" i="6"/>
  <c r="BK59" i="6" s="1"/>
  <c r="BI60" i="6"/>
  <c r="BG60" i="6"/>
  <c r="AA59" i="6"/>
  <c r="I59" i="6"/>
  <c r="AN59" i="6"/>
  <c r="AR59" i="6" s="1"/>
  <c r="Z59" i="6"/>
  <c r="K59" i="6"/>
  <c r="A61" i="6"/>
  <c r="D61" i="6"/>
  <c r="C62" i="35"/>
  <c r="F60" i="6"/>
  <c r="Q61" i="6"/>
  <c r="C60" i="6"/>
  <c r="U61" i="6"/>
  <c r="BB61" i="6"/>
  <c r="P61" i="6"/>
  <c r="G60" i="6"/>
  <c r="H63" i="35"/>
  <c r="B62" i="35"/>
  <c r="BE61" i="6"/>
  <c r="P60" i="6"/>
  <c r="O61" i="6"/>
  <c r="D60" i="6"/>
  <c r="D62" i="35"/>
  <c r="E62" i="35"/>
  <c r="T61" i="6"/>
  <c r="AV61" i="6"/>
  <c r="N61" i="6"/>
  <c r="Q60" i="6"/>
  <c r="BC61" i="6"/>
  <c r="BD61" i="6"/>
  <c r="H61" i="6"/>
  <c r="C61" i="6"/>
  <c r="S60" i="6"/>
  <c r="S61" i="6"/>
  <c r="T60" i="6"/>
  <c r="N60" i="6"/>
  <c r="U60" i="6"/>
  <c r="B60" i="6"/>
  <c r="AU61" i="6"/>
  <c r="AT61" i="6"/>
  <c r="D53" i="37" l="1"/>
  <c r="G62" i="35"/>
  <c r="I62" i="35" s="1"/>
  <c r="A64" i="35"/>
  <c r="BO60" i="6"/>
  <c r="BM61" i="6"/>
  <c r="AF59" i="6"/>
  <c r="BJ60" i="6"/>
  <c r="BK60" i="6" s="1"/>
  <c r="BI61" i="6"/>
  <c r="BG61" i="6"/>
  <c r="BH60" i="6"/>
  <c r="AZ60" i="6"/>
  <c r="AY60" i="6"/>
  <c r="AX60" i="6"/>
  <c r="AX61" i="6"/>
  <c r="AY61" i="6"/>
  <c r="AZ61" i="6"/>
  <c r="AE59" i="6"/>
  <c r="AC59" i="6"/>
  <c r="AD59" i="6"/>
  <c r="AO59" i="6"/>
  <c r="AP59" i="6"/>
  <c r="Y60" i="6"/>
  <c r="Z60" i="6"/>
  <c r="K60" i="6"/>
  <c r="AA60" i="6"/>
  <c r="I60" i="6"/>
  <c r="X60" i="6"/>
  <c r="AN60" i="6"/>
  <c r="AR60" i="6" s="1"/>
  <c r="L60" i="6"/>
  <c r="J60" i="6"/>
  <c r="X61" i="6"/>
  <c r="Y61" i="6"/>
  <c r="Z61" i="6"/>
  <c r="K61" i="6"/>
  <c r="A62" i="6"/>
  <c r="AV62" i="6"/>
  <c r="P62" i="6"/>
  <c r="O62" i="6"/>
  <c r="B61" i="6"/>
  <c r="F62" i="6"/>
  <c r="V61" i="6"/>
  <c r="H62" i="6"/>
  <c r="BB62" i="6"/>
  <c r="AU62" i="6"/>
  <c r="B63" i="35"/>
  <c r="C63" i="35"/>
  <c r="V62" i="6"/>
  <c r="D63" i="35"/>
  <c r="BC62" i="6"/>
  <c r="G62" i="6"/>
  <c r="S62" i="6"/>
  <c r="AT62" i="6"/>
  <c r="N62" i="6"/>
  <c r="T62" i="6"/>
  <c r="BD62" i="6"/>
  <c r="G61" i="6"/>
  <c r="Q62" i="6"/>
  <c r="U62" i="6"/>
  <c r="C62" i="6"/>
  <c r="E63" i="35"/>
  <c r="BE62" i="6"/>
  <c r="F61" i="6"/>
  <c r="H64" i="35"/>
  <c r="B62" i="6"/>
  <c r="D62" i="6"/>
  <c r="H12" i="35" l="1"/>
  <c r="G63" i="35"/>
  <c r="I63" i="35" s="1"/>
  <c r="BO61" i="6"/>
  <c r="BM62" i="6"/>
  <c r="AF60" i="6"/>
  <c r="BJ61" i="6"/>
  <c r="BK61" i="6" s="1"/>
  <c r="BI62" i="6"/>
  <c r="BG62" i="6"/>
  <c r="BO62" i="6" s="1"/>
  <c r="BH61" i="6"/>
  <c r="AX62" i="6"/>
  <c r="AY62" i="6"/>
  <c r="AZ62" i="6"/>
  <c r="AP60" i="6"/>
  <c r="AE60" i="6"/>
  <c r="AD60" i="6"/>
  <c r="AC60" i="6"/>
  <c r="AN61" i="6"/>
  <c r="AR61" i="6" s="1"/>
  <c r="AA61" i="6"/>
  <c r="I61" i="6"/>
  <c r="J61" i="6"/>
  <c r="L61" i="6"/>
  <c r="AO60" i="6"/>
  <c r="I62" i="6"/>
  <c r="AN62" i="6"/>
  <c r="X62" i="6"/>
  <c r="Y62" i="6"/>
  <c r="Z62" i="6"/>
  <c r="AA62" i="6"/>
  <c r="L62" i="6"/>
  <c r="J62" i="6"/>
  <c r="K62" i="6"/>
  <c r="A63" i="6"/>
  <c r="AU63" i="6"/>
  <c r="C63" i="6"/>
  <c r="E64" i="35"/>
  <c r="B63" i="6"/>
  <c r="AV63" i="6"/>
  <c r="U63" i="6"/>
  <c r="D63" i="6"/>
  <c r="O63" i="6"/>
  <c r="F63" i="6"/>
  <c r="D64" i="35"/>
  <c r="V63" i="6"/>
  <c r="C64" i="35"/>
  <c r="Q63" i="6"/>
  <c r="T63" i="6"/>
  <c r="BC63" i="6"/>
  <c r="BD63" i="6"/>
  <c r="G63" i="6"/>
  <c r="P63" i="6"/>
  <c r="BB63" i="6"/>
  <c r="N63" i="6"/>
  <c r="AT63" i="6"/>
  <c r="H63" i="6"/>
  <c r="BE63" i="6"/>
  <c r="B64" i="35"/>
  <c r="S63" i="6"/>
  <c r="D54" i="37" l="1"/>
  <c r="G6" i="37" s="1" a="1"/>
  <c r="G6" i="37" s="1"/>
  <c r="I6" i="37" s="1"/>
  <c r="G64" i="35"/>
  <c r="C12" i="35"/>
  <c r="E12" i="35"/>
  <c r="D12" i="35"/>
  <c r="B12" i="35"/>
  <c r="BM63" i="6"/>
  <c r="AF62" i="6"/>
  <c r="AF61" i="6"/>
  <c r="BH62" i="6"/>
  <c r="BJ62" i="6"/>
  <c r="BK62" i="6" s="1"/>
  <c r="BI63" i="6"/>
  <c r="BG63" i="6"/>
  <c r="BO63" i="6" s="1"/>
  <c r="AY63" i="6"/>
  <c r="AX63" i="6"/>
  <c r="AZ63" i="6"/>
  <c r="AP61" i="6"/>
  <c r="AO61" i="6"/>
  <c r="AE61" i="6"/>
  <c r="AD61" i="6"/>
  <c r="AC61" i="6"/>
  <c r="I63" i="6"/>
  <c r="AR62" i="6"/>
  <c r="AO62" i="6"/>
  <c r="AN63" i="6"/>
  <c r="AP62" i="6"/>
  <c r="AD62" i="6"/>
  <c r="AC62" i="6"/>
  <c r="AE62" i="6"/>
  <c r="AA63" i="6"/>
  <c r="X63" i="6"/>
  <c r="Y63" i="6"/>
  <c r="Z63" i="6"/>
  <c r="L63" i="6"/>
  <c r="J63" i="6"/>
  <c r="K63" i="6"/>
  <c r="A64" i="6"/>
  <c r="T64" i="6"/>
  <c r="F64" i="6"/>
  <c r="V64" i="6"/>
  <c r="P64" i="6"/>
  <c r="Q64" i="6"/>
  <c r="N64" i="6"/>
  <c r="AU64" i="6"/>
  <c r="U64" i="6"/>
  <c r="BB64" i="6"/>
  <c r="C64" i="6"/>
  <c r="B64" i="6"/>
  <c r="S64" i="6"/>
  <c r="BC64" i="6"/>
  <c r="O64" i="6"/>
  <c r="D64" i="6"/>
  <c r="G64" i="6"/>
  <c r="AT64" i="6"/>
  <c r="AV64" i="6"/>
  <c r="BD64" i="6"/>
  <c r="BE64" i="6"/>
  <c r="G7" i="37" l="1"/>
  <c r="I64" i="35"/>
  <c r="L15" i="35" s="1" a="1"/>
  <c r="L15" i="35" s="1"/>
  <c r="L16" i="35" s="1"/>
  <c r="G12" i="35"/>
  <c r="BE12" i="6"/>
  <c r="BM64" i="6"/>
  <c r="AF63" i="6"/>
  <c r="BH63" i="6"/>
  <c r="BJ63" i="6"/>
  <c r="BK63" i="6" s="1"/>
  <c r="BI64" i="6"/>
  <c r="BI12" i="6" s="1"/>
  <c r="BG64" i="6"/>
  <c r="BO64" i="6" s="1"/>
  <c r="BO12" i="6" s="1"/>
  <c r="AZ64" i="6"/>
  <c r="AZ12" i="6" s="1"/>
  <c r="AX64" i="6"/>
  <c r="AX12" i="6" s="1"/>
  <c r="AY64" i="6"/>
  <c r="AY12" i="6" s="1"/>
  <c r="BD12" i="6"/>
  <c r="BB12" i="6"/>
  <c r="BC12" i="6"/>
  <c r="AV12" i="6"/>
  <c r="AT12" i="6"/>
  <c r="AU12" i="6"/>
  <c r="AR63" i="6"/>
  <c r="AO63" i="6"/>
  <c r="AN64" i="6"/>
  <c r="AN12" i="6" s="1"/>
  <c r="AP63" i="6"/>
  <c r="AC63" i="6"/>
  <c r="AD63" i="6"/>
  <c r="AE63" i="6"/>
  <c r="X64" i="6"/>
  <c r="Z64" i="6"/>
  <c r="Y64" i="6"/>
  <c r="AA64" i="6"/>
  <c r="L64" i="6"/>
  <c r="J64" i="6"/>
  <c r="J12" i="6" s="1"/>
  <c r="H64" i="6"/>
  <c r="I12" i="35" l="1"/>
  <c r="BM12" i="6"/>
  <c r="BJ64" i="6"/>
  <c r="BK64" i="6" s="1"/>
  <c r="BK12" i="6" s="1"/>
  <c r="AF64" i="6"/>
  <c r="BH64" i="6"/>
  <c r="BG12" i="6"/>
  <c r="L12" i="6"/>
  <c r="I64" i="6"/>
  <c r="I12" i="6" s="1"/>
  <c r="K64" i="6"/>
  <c r="AR64" i="6"/>
  <c r="AO64" i="6"/>
  <c r="AO12" i="6" s="1"/>
  <c r="AP64" i="6"/>
  <c r="AP12" i="6" s="1"/>
  <c r="AD64" i="6"/>
  <c r="AE64" i="6"/>
  <c r="AC64" i="6"/>
  <c r="BJ12" i="6" l="1"/>
  <c r="BH12" i="6"/>
  <c r="AR12" i="6"/>
  <c r="K12" i="6"/>
  <c r="G12" i="6"/>
  <c r="C12" i="6"/>
  <c r="V12" i="6"/>
  <c r="T12" i="6"/>
  <c r="S12" i="6"/>
  <c r="Q12" i="6"/>
  <c r="N12" i="6"/>
  <c r="O12" i="6"/>
  <c r="P12" i="6"/>
  <c r="B12" i="6"/>
  <c r="D12" i="6" l="1"/>
  <c r="AA12" i="6"/>
  <c r="Y12" i="6"/>
  <c r="X12" i="6"/>
  <c r="Z12" i="6"/>
  <c r="U12" i="6"/>
  <c r="F12" i="6"/>
  <c r="H12" i="6"/>
  <c r="AD12" i="6" l="1"/>
  <c r="AI34" i="6" s="1"/>
  <c r="AE12" i="6"/>
  <c r="AJ19" i="6" s="1"/>
  <c r="AC12" i="6"/>
  <c r="AH49" i="6" s="1"/>
  <c r="AF12" i="6"/>
  <c r="AK45" i="6" s="1"/>
  <c r="AI22" i="6" l="1"/>
  <c r="AI36" i="6"/>
  <c r="AI56" i="6"/>
  <c r="AI19" i="6"/>
  <c r="AI13" i="6"/>
  <c r="AI45" i="6"/>
  <c r="AI64" i="6"/>
  <c r="AI57" i="6"/>
  <c r="AI18" i="6"/>
  <c r="AI46" i="6"/>
  <c r="AI40" i="6"/>
  <c r="AI47" i="6"/>
  <c r="AI55" i="6"/>
  <c r="AI31" i="6"/>
  <c r="AI60" i="6"/>
  <c r="AI61" i="6"/>
  <c r="AI15" i="6"/>
  <c r="AI39" i="6"/>
  <c r="AI21" i="6"/>
  <c r="AI16" i="6"/>
  <c r="AI58" i="6"/>
  <c r="AI50" i="6"/>
  <c r="AI51" i="6"/>
  <c r="AI44" i="6"/>
  <c r="AI20" i="6"/>
  <c r="AI52" i="6"/>
  <c r="AI42" i="6"/>
  <c r="AI49" i="6"/>
  <c r="AI33" i="6"/>
  <c r="AI37" i="6"/>
  <c r="AI63" i="6"/>
  <c r="AI27" i="6"/>
  <c r="AI29" i="6"/>
  <c r="AI54" i="6"/>
  <c r="AI41" i="6"/>
  <c r="AI53" i="6"/>
  <c r="AI24" i="6"/>
  <c r="AI14" i="6"/>
  <c r="AI43" i="6"/>
  <c r="AI35" i="6"/>
  <c r="AI30" i="6"/>
  <c r="AI38" i="6"/>
  <c r="AI26" i="6"/>
  <c r="AI48" i="6"/>
  <c r="AI32" i="6"/>
  <c r="AI25" i="6"/>
  <c r="AI23" i="6"/>
  <c r="AI28" i="6"/>
  <c r="AI59" i="6"/>
  <c r="AI62" i="6"/>
  <c r="AI17" i="6"/>
  <c r="AH15" i="6"/>
  <c r="AH17" i="6"/>
  <c r="AH52" i="6"/>
  <c r="AH30" i="6"/>
  <c r="AH20" i="6"/>
  <c r="AH28" i="6"/>
  <c r="AH55" i="6"/>
  <c r="AH24" i="6"/>
  <c r="AH50" i="6"/>
  <c r="AH44" i="6"/>
  <c r="AH31" i="6"/>
  <c r="AH64" i="6"/>
  <c r="AH35" i="6"/>
  <c r="AH58" i="6"/>
  <c r="AH18" i="6"/>
  <c r="AH54" i="6"/>
  <c r="AH37" i="6"/>
  <c r="AH48" i="6"/>
  <c r="AH26" i="6"/>
  <c r="AH41" i="6"/>
  <c r="AH25" i="6"/>
  <c r="AH19" i="6"/>
  <c r="AH43" i="6"/>
  <c r="AH62" i="6"/>
  <c r="AH61" i="6"/>
  <c r="AH42" i="6"/>
  <c r="AH13" i="6"/>
  <c r="AH38" i="6"/>
  <c r="AH27" i="6"/>
  <c r="AH63" i="6"/>
  <c r="AH47" i="6"/>
  <c r="AH32" i="6"/>
  <c r="AH40" i="6"/>
  <c r="AH39" i="6"/>
  <c r="AH33" i="6"/>
  <c r="AH23" i="6"/>
  <c r="AH29" i="6"/>
  <c r="AH36" i="6"/>
  <c r="AH60" i="6"/>
  <c r="AH57" i="6"/>
  <c r="AH34" i="6"/>
  <c r="AH53" i="6"/>
  <c r="AH46" i="6"/>
  <c r="AH21" i="6"/>
  <c r="AH51" i="6"/>
  <c r="AH59" i="6"/>
  <c r="AH16" i="6"/>
  <c r="AH22" i="6"/>
  <c r="AH14" i="6"/>
  <c r="AJ33" i="6"/>
  <c r="AJ63" i="6"/>
  <c r="AJ60" i="6"/>
  <c r="AJ64" i="6"/>
  <c r="AJ61" i="6"/>
  <c r="AJ40" i="6"/>
  <c r="AJ34" i="6"/>
  <c r="AJ28" i="6"/>
  <c r="AJ46" i="6"/>
  <c r="AH56" i="6"/>
  <c r="AJ58" i="6"/>
  <c r="AJ37" i="6"/>
  <c r="AJ44" i="6"/>
  <c r="AJ47" i="6"/>
  <c r="AJ23" i="6"/>
  <c r="AH45" i="6"/>
  <c r="AJ35" i="6"/>
  <c r="AJ48" i="6"/>
  <c r="AJ17" i="6"/>
  <c r="AJ45" i="6"/>
  <c r="AJ21" i="6"/>
  <c r="AJ24" i="6"/>
  <c r="AJ38" i="6"/>
  <c r="AJ43" i="6"/>
  <c r="AJ27" i="6"/>
  <c r="AJ14" i="6"/>
  <c r="AJ31" i="6"/>
  <c r="AJ42" i="6"/>
  <c r="AJ22" i="6"/>
  <c r="AJ52" i="6"/>
  <c r="AJ15" i="6"/>
  <c r="AJ56" i="6"/>
  <c r="AJ51" i="6"/>
  <c r="AJ36" i="6"/>
  <c r="AJ39" i="6"/>
  <c r="AJ49" i="6"/>
  <c r="AJ59" i="6"/>
  <c r="AJ25" i="6"/>
  <c r="AJ62" i="6"/>
  <c r="AJ53" i="6"/>
  <c r="AJ41" i="6"/>
  <c r="AJ13" i="6"/>
  <c r="AJ29" i="6"/>
  <c r="AJ18" i="6"/>
  <c r="AJ32" i="6"/>
  <c r="AJ20" i="6"/>
  <c r="AJ30" i="6"/>
  <c r="AJ57" i="6"/>
  <c r="AJ50" i="6"/>
  <c r="AJ55" i="6"/>
  <c r="AJ26" i="6"/>
  <c r="AJ54" i="6"/>
  <c r="AJ16" i="6"/>
  <c r="AK58" i="6"/>
  <c r="AK63" i="6"/>
  <c r="AK33" i="6"/>
  <c r="AK52" i="6"/>
  <c r="AK19" i="6"/>
  <c r="AK39" i="6"/>
  <c r="AK56" i="6"/>
  <c r="AK21" i="6"/>
  <c r="AK34" i="6"/>
  <c r="AK61" i="6"/>
  <c r="AK59" i="6"/>
  <c r="AK23" i="6"/>
  <c r="AK60" i="6"/>
  <c r="AK54" i="6"/>
  <c r="AK49" i="6"/>
  <c r="AK53" i="6"/>
  <c r="AK13" i="6"/>
  <c r="AK18" i="6"/>
  <c r="AK17" i="6"/>
  <c r="AK64" i="6"/>
  <c r="AK55" i="6"/>
  <c r="AK57" i="6"/>
  <c r="AK30" i="6"/>
  <c r="AK48" i="6"/>
  <c r="AK36" i="6"/>
  <c r="AK47" i="6"/>
  <c r="AK16" i="6"/>
  <c r="AK41" i="6"/>
  <c r="AK43" i="6"/>
  <c r="AK22" i="6"/>
  <c r="AK28" i="6"/>
  <c r="AK32" i="6"/>
  <c r="AK24" i="6"/>
  <c r="AK15" i="6"/>
  <c r="AK50" i="6"/>
  <c r="AK26" i="6"/>
  <c r="AK38" i="6"/>
  <c r="AK29" i="6"/>
  <c r="AK14" i="6"/>
  <c r="AK46" i="6"/>
  <c r="AK27" i="6"/>
  <c r="AK35" i="6"/>
  <c r="AK51" i="6"/>
  <c r="AK31" i="6"/>
  <c r="AK40" i="6"/>
  <c r="AK20" i="6"/>
  <c r="AK44" i="6"/>
  <c r="AK42" i="6"/>
  <c r="AK62" i="6"/>
  <c r="AK37" i="6"/>
  <c r="AK25" i="6"/>
  <c r="AM46" i="6" l="1"/>
  <c r="AI12" i="6"/>
  <c r="AM33" i="6"/>
  <c r="AM37" i="6"/>
  <c r="AM64" i="6"/>
  <c r="AM60" i="6"/>
  <c r="AM58" i="6"/>
  <c r="AH12" i="6"/>
  <c r="AM45" i="6"/>
  <c r="AM16" i="6"/>
  <c r="AM23" i="6"/>
  <c r="AM29" i="6"/>
  <c r="AM38" i="6"/>
  <c r="AM18" i="6"/>
  <c r="AM19" i="6"/>
  <c r="AM63" i="6"/>
  <c r="AJ12" i="6"/>
  <c r="AM42" i="6"/>
  <c r="AM35" i="6"/>
  <c r="AM15" i="6"/>
  <c r="AM39" i="6"/>
  <c r="AM27" i="6"/>
  <c r="AM47" i="6"/>
  <c r="AM25" i="6"/>
  <c r="AM31" i="6"/>
  <c r="AM26" i="6"/>
  <c r="AM43" i="6"/>
  <c r="AM51" i="6"/>
  <c r="AM50" i="6"/>
  <c r="AM41" i="6"/>
  <c r="AM52" i="6"/>
  <c r="AM20" i="6"/>
  <c r="AM53" i="6"/>
  <c r="AM13" i="6"/>
  <c r="AM44" i="6"/>
  <c r="AM22" i="6"/>
  <c r="AM61" i="6"/>
  <c r="AM40" i="6"/>
  <c r="AM57" i="6"/>
  <c r="AM34" i="6"/>
  <c r="AM28" i="6"/>
  <c r="AM48" i="6"/>
  <c r="AM32" i="6"/>
  <c r="AM36" i="6"/>
  <c r="AM59" i="6"/>
  <c r="AM14" i="6"/>
  <c r="AM55" i="6"/>
  <c r="AM54" i="6"/>
  <c r="AM21" i="6"/>
  <c r="AM56" i="6"/>
  <c r="AM62" i="6"/>
  <c r="AM24" i="6"/>
  <c r="AM30" i="6"/>
  <c r="AM49" i="6"/>
  <c r="AM17" i="6"/>
  <c r="AK12" i="6"/>
  <c r="AQ34" i="6" l="1"/>
  <c r="AQ20" i="6"/>
  <c r="AQ25" i="6"/>
  <c r="AQ63" i="6"/>
  <c r="AQ17" i="6"/>
  <c r="AQ52" i="6"/>
  <c r="AQ58" i="6"/>
  <c r="AQ40" i="6"/>
  <c r="AQ30" i="6"/>
  <c r="AQ50" i="6"/>
  <c r="AQ64" i="6"/>
  <c r="AQ51" i="6"/>
  <c r="AQ37" i="6"/>
  <c r="AQ32" i="6"/>
  <c r="AQ44" i="6"/>
  <c r="AQ43" i="6"/>
  <c r="AQ35" i="6"/>
  <c r="AQ23" i="6"/>
  <c r="AQ33" i="6"/>
  <c r="AQ54" i="6"/>
  <c r="AQ55" i="6"/>
  <c r="AQ19" i="6"/>
  <c r="AQ14" i="6"/>
  <c r="AQ27" i="6"/>
  <c r="AQ18" i="6"/>
  <c r="AQ59" i="6"/>
  <c r="AQ38" i="6"/>
  <c r="AQ22" i="6"/>
  <c r="AQ29" i="6"/>
  <c r="AQ48" i="6"/>
  <c r="AQ26" i="6"/>
  <c r="AQ57" i="6"/>
  <c r="AQ47" i="6"/>
  <c r="AQ49" i="6"/>
  <c r="AQ41" i="6"/>
  <c r="AQ60" i="6"/>
  <c r="AQ61" i="6"/>
  <c r="AQ39" i="6"/>
  <c r="AQ24" i="6"/>
  <c r="AQ36" i="6"/>
  <c r="AQ15" i="6"/>
  <c r="AQ62" i="6"/>
  <c r="AQ56" i="6"/>
  <c r="AQ42" i="6"/>
  <c r="AQ16" i="6"/>
  <c r="AQ21" i="6"/>
  <c r="AQ28" i="6"/>
  <c r="AQ53" i="6"/>
  <c r="AQ31" i="6"/>
  <c r="AQ45" i="6"/>
  <c r="AQ46" i="6"/>
  <c r="AQ13" i="6"/>
  <c r="AM12" i="6"/>
  <c r="AQ12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<sst xmlns="http://schemas.openxmlformats.org/spreadsheetml/2006/main" count="4866" uniqueCount="1595">
  <si>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</si>
  <si>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</si>
  <si>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</si>
  <si>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</si>
  <si>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</si>
  <si>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</si>
  <si>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MSN</t>
  </si>
  <si>
    <t>Description</t>
  </si>
  <si>
    <t>Unit</t>
  </si>
  <si>
    <t>ABICB</t>
  </si>
  <si>
    <t>Aviation gasoline blending components consumed by the industrial sector</t>
  </si>
  <si>
    <t>Billion Btu</t>
  </si>
  <si>
    <t>ABICP</t>
  </si>
  <si>
    <t>Thousand barrels</t>
  </si>
  <si>
    <t>ARICB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</si>
  <si>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</si>
  <si>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</si>
  <si>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</si>
  <si>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</si>
  <si>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</si>
  <si>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</si>
  <si>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</si>
  <si>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</si>
  <si>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ARTCB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</si>
  <si>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</si>
  <si>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</si>
  <si>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</si>
  <si>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</si>
  <si>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</si>
  <si>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</si>
  <si>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ARTXB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</si>
  <si>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</si>
  <si>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</si>
  <si>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</si>
  <si>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</si>
  <si>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</si>
  <si>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</si>
  <si>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AVACB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</si>
  <si>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</si>
  <si>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</si>
  <si>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</si>
  <si>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</si>
  <si>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</si>
  <si>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</si>
  <si>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AVTCB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</si>
  <si>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</si>
  <si>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</si>
  <si>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</si>
  <si>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</si>
  <si>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</si>
  <si>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</si>
  <si>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AVTXB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</si>
  <si>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</si>
  <si>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</si>
  <si>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</si>
  <si>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</si>
  <si>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</si>
  <si>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</si>
  <si>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B1ACB</t>
  </si>
  <si>
    <t>Renewable diesel consumed by the transportation sector</t>
  </si>
  <si>
    <t>B1ACP</t>
  </si>
  <si>
    <t>B1PRB</t>
  </si>
  <si>
    <t>Renewable diesel production</t>
  </si>
  <si>
    <t>B1PRP</t>
  </si>
  <si>
    <t>B1TCB</t>
  </si>
  <si>
    <t>Renewable diesel total consumption</t>
  </si>
  <si>
    <t>B1TCP</t>
  </si>
  <si>
    <t>BDACB</t>
  </si>
  <si>
    <t>Biodiesel consumed by the transportation sector</t>
  </si>
  <si>
    <t>BDACP</t>
  </si>
  <si>
    <t>BDFDB</t>
  </si>
  <si>
    <t>Biomass inputs (feedstock) to the production of biodiesel</t>
  </si>
  <si>
    <t>BDLCB</t>
  </si>
  <si>
    <t>Energy losses and co-products from the production of biodiesel</t>
  </si>
  <si>
    <t>BDPRP</t>
  </si>
  <si>
    <t>Biodiesel production</t>
  </si>
  <si>
    <t>BDTCB</t>
  </si>
  <si>
    <t>Biodiesel total consumption</t>
  </si>
  <si>
    <t>BDTCP</t>
  </si>
  <si>
    <t>BFLCB</t>
  </si>
  <si>
    <t>Energy losses and co-products from the production of biofuels</t>
  </si>
  <si>
    <t>BFPRB</t>
  </si>
  <si>
    <t>Biofuels production</t>
  </si>
  <si>
    <t>BFPRP</t>
  </si>
  <si>
    <t>BFSUB</t>
  </si>
  <si>
    <t>Biofuels product supplied consumed with distillate fuel oil by the transportation sector</t>
  </si>
  <si>
    <t>BFTCB</t>
  </si>
  <si>
    <t>Biofuels total consumption</t>
  </si>
  <si>
    <t>BMTCB</t>
  </si>
  <si>
    <t>Biomass total consumption</t>
  </si>
  <si>
    <t>BOACB</t>
  </si>
  <si>
    <t xml:space="preserve">Other biofuels consumed by the transportation sector for the United States </t>
  </si>
  <si>
    <t>BOACP</t>
  </si>
  <si>
    <t>BOPRB</t>
  </si>
  <si>
    <t>Other biofuels production</t>
  </si>
  <si>
    <t>BOPRP</t>
  </si>
  <si>
    <t>BOTCB</t>
  </si>
  <si>
    <t>Other biofuels total consumption for the United States</t>
  </si>
  <si>
    <t>BOTCP</t>
  </si>
  <si>
    <t>BQICB</t>
  </si>
  <si>
    <t>Normal butane consumed by the industrial sector</t>
  </si>
  <si>
    <t>BQICP</t>
  </si>
  <si>
    <t>BQTCB</t>
  </si>
  <si>
    <t>Normal butane total consumption</t>
  </si>
  <si>
    <t>BQTCP</t>
  </si>
  <si>
    <t>BTGBP</t>
  </si>
  <si>
    <t>Battery storage units net summer capacity in all sectors</t>
  </si>
  <si>
    <t>Thousand kilowatts</t>
  </si>
  <si>
    <t>BYICB</t>
  </si>
  <si>
    <t>Butylene from refineries consumed by the industrial sector</t>
  </si>
  <si>
    <t>BYICP</t>
  </si>
  <si>
    <t>BYTCB</t>
  </si>
  <si>
    <t>Butylene from refineries total consumption</t>
  </si>
  <si>
    <t>BYTCP</t>
  </si>
  <si>
    <t>CCEXB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</si>
  <si>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</si>
  <si>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</si>
  <si>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</si>
  <si>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</si>
  <si>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</si>
  <si>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</si>
  <si>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</si>
  <si>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CCIMB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</si>
  <si>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</si>
  <si>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</si>
  <si>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</si>
  <si>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</si>
  <si>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</si>
  <si>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</si>
  <si>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CCNIB</t>
  </si>
  <si>
    <t>Coal coke net imports into the United States</t>
  </si>
  <si>
    <t>CCNIP</t>
  </si>
  <si>
    <t>CCNIV</t>
  </si>
  <si>
    <t>Coal coke net imports expenditures, United States</t>
  </si>
  <si>
    <t>CLACB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</si>
  <si>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</si>
  <si>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</si>
  <si>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</si>
  <si>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</si>
  <si>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</si>
  <si>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</si>
  <si>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</si>
  <si>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</si>
  <si>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</si>
  <si>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CLCCB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</si>
  <si>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</si>
  <si>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</si>
  <si>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</si>
  <si>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</si>
  <si>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</si>
  <si>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</si>
  <si>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CLEIB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</si>
  <si>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</si>
  <si>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</si>
  <si>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</si>
  <si>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</si>
  <si>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</si>
  <si>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</si>
  <si>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</si>
  <si>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</si>
  <si>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CLGBP</t>
  </si>
  <si>
    <t>Coal generating units net summer capacity in all sectors</t>
  </si>
  <si>
    <t>CLHCK</t>
  </si>
  <si>
    <t>Factor for converting coal consumed by the residential and commercial sectors from physical units to Btu</t>
  </si>
  <si>
    <t>CLICB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</si>
  <si>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</si>
  <si>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</si>
  <si>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</si>
  <si>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</si>
  <si>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</si>
  <si>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</si>
  <si>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</si>
  <si>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</si>
  <si>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CLKCB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</si>
  <si>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</si>
  <si>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</si>
  <si>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</si>
  <si>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</si>
  <si>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</si>
  <si>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</si>
  <si>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</si>
  <si>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</si>
  <si>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</si>
  <si>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CLOCB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</si>
  <si>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</si>
  <si>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</si>
  <si>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</si>
  <si>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</si>
  <si>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</si>
  <si>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</si>
  <si>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</si>
  <si>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</si>
  <si>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</si>
  <si>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</si>
  <si>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</si>
  <si>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</si>
  <si>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</si>
  <si>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</si>
  <si>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</si>
  <si>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CLRCB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</si>
  <si>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</si>
  <si>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</si>
  <si>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</si>
  <si>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</si>
  <si>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</si>
  <si>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</si>
  <si>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</si>
  <si>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</si>
  <si>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</si>
  <si>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</si>
  <si>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CLTCB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</si>
  <si>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</si>
  <si>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</si>
  <si>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</si>
  <si>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</si>
  <si>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</si>
  <si>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</si>
  <si>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CLTXB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</si>
  <si>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</si>
  <si>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</si>
  <si>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</si>
  <si>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</si>
  <si>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</si>
  <si>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</si>
  <si>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COICB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</si>
  <si>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</si>
  <si>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</si>
  <si>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</si>
  <si>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</si>
  <si>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</si>
  <si>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DFACB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</si>
  <si>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</si>
  <si>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</si>
  <si>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</si>
  <si>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</si>
  <si>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</si>
  <si>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</si>
  <si>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DFASB</t>
  </si>
  <si>
    <t>Distillate fuel oil consumed by the transportation sector including biofuels product supplied</t>
  </si>
  <si>
    <t>DFCCB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</si>
  <si>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</si>
  <si>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</si>
  <si>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</si>
  <si>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</si>
  <si>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</si>
  <si>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</si>
  <si>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DFEIB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</si>
  <si>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</si>
  <si>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</si>
  <si>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</si>
  <si>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</si>
  <si>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</si>
  <si>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</si>
  <si>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DFICB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</si>
  <si>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</si>
  <si>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</si>
  <si>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</si>
  <si>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</si>
  <si>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</si>
  <si>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</si>
  <si>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</si>
  <si>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</si>
  <si>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DFRCB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</si>
  <si>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</si>
  <si>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</si>
  <si>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</si>
  <si>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</si>
  <si>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</si>
  <si>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</si>
  <si>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</si>
  <si>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</si>
  <si>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</si>
  <si>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</si>
  <si>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DFTCB</t>
  </si>
  <si>
    <t>Distillate fuel oil total consumption</t>
  </si>
  <si>
    <t>DFTCD</t>
  </si>
  <si>
    <t>Distillate fuel oil average price, all sectors</t>
  </si>
  <si>
    <t>DFTCK</t>
  </si>
  <si>
    <t>Factor for converting distillate fuel from physical units to Btu</t>
  </si>
  <si>
    <t>DFTCP</t>
  </si>
  <si>
    <t>DFTCV</t>
  </si>
  <si>
    <t>Distillate fuel oil total expenditures</t>
  </si>
  <si>
    <t>DFTXB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</si>
  <si>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</si>
  <si>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</si>
  <si>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</si>
  <si>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</si>
  <si>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</si>
  <si>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</si>
  <si>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DKEIB</t>
  </si>
  <si>
    <t>Distillate fuel oil (including kerosene-type jet fuel before 2001) consumed by the electric power sector</t>
  </si>
  <si>
    <t>DKEID</t>
  </si>
  <si>
    <t>Distillate fuel oil (including kerosene-type jet fuel before 2001) average price in the electric power sector</t>
  </si>
  <si>
    <t>DKEIP</t>
  </si>
  <si>
    <t>DKEIV</t>
  </si>
  <si>
    <t>Distillate fuel oil (including kerosene-type jet fuel before 2001) expenditures in the electric power sector</t>
  </si>
  <si>
    <t>DMACP</t>
  </si>
  <si>
    <t>Distillate fuel oil, excluding biodiesel and renewable diesel, consumed by the transportation sector</t>
  </si>
  <si>
    <t>DMTCB</t>
  </si>
  <si>
    <t>Distillate fuel oil, excluding biodiesel and renewable diesel, total consumption</t>
  </si>
  <si>
    <t>DMTCK</t>
  </si>
  <si>
    <t>Factor for converting distillate fuel, excluding biodiesel and renewable diesel, from physical units to Btu</t>
  </si>
  <si>
    <t>DMTCP</t>
  </si>
  <si>
    <t>ELEXB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</si>
  <si>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</si>
  <si>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</si>
  <si>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</si>
  <si>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</si>
  <si>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</si>
  <si>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</si>
  <si>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</si>
  <si>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ELGBP</t>
  </si>
  <si>
    <t>Total (all fuels) electric generating units net summer capacity in all sectors</t>
  </si>
  <si>
    <t>ELIMB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</si>
  <si>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</si>
  <si>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</si>
  <si>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</si>
  <si>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</si>
  <si>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</si>
  <si>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</si>
  <si>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ELISB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</si>
  <si>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</si>
  <si>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</si>
  <si>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</si>
  <si>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ELNIB</t>
  </si>
  <si>
    <t>Net imports of electricity into the United States</t>
  </si>
  <si>
    <t>ELNIP</t>
  </si>
  <si>
    <t>EMACB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</si>
  <si>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</si>
  <si>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</si>
  <si>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</si>
  <si>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>EMCCB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</si>
  <si>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</si>
  <si>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</si>
  <si>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</si>
  <si>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</si>
  <si>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</si>
  <si>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>EMICB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</si>
  <si>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</si>
  <si>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</si>
  <si>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</si>
  <si>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EMLCB</t>
  </si>
  <si>
    <t>Energy losses and co-products from the production of fuel ethanol</t>
  </si>
  <si>
    <t>EMTCB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</si>
  <si>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</si>
  <si>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</si>
  <si>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</si>
  <si>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</si>
  <si>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</si>
  <si>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</si>
  <si>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</si>
  <si>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</si>
  <si>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</si>
  <si>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</si>
  <si>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</si>
  <si>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</si>
  <si>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Fuel ethanol total consumption conversion factor for the United States</t>
  </si>
  <si>
    <t>ENTCP</t>
  </si>
  <si>
    <t>Fuel ethanol, including denaturant, total consumption</t>
  </si>
  <si>
    <t>EQICB</t>
  </si>
  <si>
    <t>Ethane consumed by the industrial sector</t>
  </si>
  <si>
    <t>EQICP</t>
  </si>
  <si>
    <t>EQTCB</t>
  </si>
  <si>
    <t>Ethane total consumption</t>
  </si>
  <si>
    <t>EQTCP</t>
  </si>
  <si>
    <t>ESACB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</si>
  <si>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</si>
  <si>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</si>
  <si>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</si>
  <si>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</si>
  <si>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</si>
  <si>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</si>
  <si>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ESCCB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</si>
  <si>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</si>
  <si>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</si>
  <si>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</si>
  <si>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</si>
  <si>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</si>
  <si>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</si>
  <si>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ESICB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</si>
  <si>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</si>
  <si>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</si>
  <si>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</si>
  <si>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</si>
  <si>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</si>
  <si>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</si>
  <si>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</si>
  <si>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</si>
  <si>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ESRCB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</si>
  <si>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</si>
  <si>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</si>
  <si>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</si>
  <si>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</si>
  <si>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</si>
  <si>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</si>
  <si>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</si>
  <si>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</si>
  <si>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</si>
  <si>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</si>
  <si>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</si>
  <si>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</si>
  <si>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</si>
  <si>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ESTCB</t>
  </si>
  <si>
    <t>Electricity total consumption (electricity sales to ultimate customers)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</si>
  <si>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</si>
  <si>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</si>
  <si>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</si>
  <si>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</si>
  <si>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</si>
  <si>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</si>
  <si>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(electricity sales to ultimate customers) per capita</t>
  </si>
  <si>
    <t>ESTXB</t>
  </si>
  <si>
    <t>Electricity total end-use consumption (electricity sales to ultimate customers)</t>
  </si>
  <si>
    <t>ESTXD</t>
  </si>
  <si>
    <t>Electricity average price, all end-use sectors</t>
  </si>
  <si>
    <t>ESTXP</t>
  </si>
  <si>
    <t>ESTXV</t>
  </si>
  <si>
    <t>Electricity total end-use expenditures</t>
  </si>
  <si>
    <t>EYICB</t>
  </si>
  <si>
    <t>Ethylene from refineries consumed by the industrial sector</t>
  </si>
  <si>
    <t>EYICP</t>
  </si>
  <si>
    <t>EYTCB</t>
  </si>
  <si>
    <t>Ethylene from refineries total consumption</t>
  </si>
  <si>
    <t>EYTCP</t>
  </si>
  <si>
    <t>FFETK</t>
  </si>
  <si>
    <t>Fossil-fueled steam-electric power plant conversion factor</t>
  </si>
  <si>
    <t>Thousand Btu per kilowatthour</t>
  </si>
  <si>
    <t>FFGBP</t>
  </si>
  <si>
    <t>Fossil fuel total generating units net summer capacity in all sectors</t>
  </si>
  <si>
    <t>FFTCB</t>
  </si>
  <si>
    <t>Fossil fuels total consumption</t>
  </si>
  <si>
    <t>FNICB</t>
  </si>
  <si>
    <t>Petrochemical feedstocks, naphtha less than 401° F, consumed by the industrial sector</t>
  </si>
  <si>
    <t>FNICD</t>
  </si>
  <si>
    <t>Petrochemical feedstocks, naphtha less than 401° F, price in the industrial sector</t>
  </si>
  <si>
    <t>FNICP</t>
  </si>
  <si>
    <t>FNICV</t>
  </si>
  <si>
    <t>Petrochemical feedstocks, naphtha less than 401° F, expenditures in the industrial sector</t>
  </si>
  <si>
    <t>FOICB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</si>
  <si>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</si>
  <si>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</si>
  <si>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</si>
  <si>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</si>
  <si>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</si>
  <si>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</si>
  <si>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FSICB</t>
  </si>
  <si>
    <t>Petrochemical feedstocks, still gas, consumed by the industrial sector (through 1985)</t>
  </si>
  <si>
    <t>FSICD</t>
  </si>
  <si>
    <t xml:space="preserve">Petrochemical feedstocks, still gas, price in the industrial sector (through 1985) </t>
  </si>
  <si>
    <t>FSICP</t>
  </si>
  <si>
    <t>FSICV</t>
  </si>
  <si>
    <t>Petrochemical feedstocks, still gas, expenditures in the industrial sector (through 1985)</t>
  </si>
  <si>
    <t>GDPRV</t>
  </si>
  <si>
    <t>Current-dollar gross domestic product (GDP)</t>
  </si>
  <si>
    <t>GDPRX</t>
  </si>
  <si>
    <t>Real gross domestic product (GDP)</t>
  </si>
  <si>
    <t>Million chained (2012) dollars</t>
  </si>
  <si>
    <t>GECCB</t>
  </si>
  <si>
    <t>Geothermal energy consumed by the commercial sector</t>
  </si>
  <si>
    <t>GEEGB</t>
  </si>
  <si>
    <t>Geothermal energy consumed for electricity generation by the electric power sector</t>
  </si>
  <si>
    <t>GEEGP</t>
  </si>
  <si>
    <t>Geothermal electricity net generation in the electric power sector</t>
  </si>
  <si>
    <t>GEGBP</t>
  </si>
  <si>
    <t>Geothermal generating units net summer capacity in all sectors</t>
  </si>
  <si>
    <t>GEICB</t>
  </si>
  <si>
    <t>Geothermal energy consumed by the industrial sector</t>
  </si>
  <si>
    <t>GERCB</t>
  </si>
  <si>
    <t>Geothermal energy consumed by the residential sector</t>
  </si>
  <si>
    <t>GETCB</t>
  </si>
  <si>
    <t>Geothermal energy total consumption</t>
  </si>
  <si>
    <t>GETXB</t>
  </si>
  <si>
    <t>Geothermal energy total end-use consumption</t>
  </si>
  <si>
    <t>HLACB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</si>
  <si>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</si>
  <si>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</si>
  <si>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</si>
  <si>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</si>
  <si>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</si>
  <si>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</si>
  <si>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HLCCB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</si>
  <si>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</si>
  <si>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</si>
  <si>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</si>
  <si>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</si>
  <si>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</si>
  <si>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</si>
  <si>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HLICB</t>
  </si>
  <si>
    <t>Hydrocarbon gas liquids consumed by the industrial sector</t>
  </si>
  <si>
    <t>HLICD</t>
  </si>
  <si>
    <t>Hydrocarbon gas liquids price in the industrial sector</t>
  </si>
  <si>
    <t>HLICK</t>
  </si>
  <si>
    <t>Average factor for converting hydrocarbon gas liquids consumed by the industrial sector from physical unit to Btu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</si>
  <si>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</si>
  <si>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</si>
  <si>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</si>
  <si>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</si>
  <si>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</si>
  <si>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HLRCB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</si>
  <si>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</si>
  <si>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</si>
  <si>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</si>
  <si>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</si>
  <si>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</si>
  <si>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</si>
  <si>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</si>
  <si>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</si>
  <si>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</si>
  <si>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</si>
  <si>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HLTCB</t>
  </si>
  <si>
    <t>Hydrocarbon gas liquids total consumption</t>
  </si>
  <si>
    <t>HLTCD</t>
  </si>
  <si>
    <t>Hydrocarbon gas liquids average price, all sectors</t>
  </si>
  <si>
    <t>HLTCK</t>
  </si>
  <si>
    <t>Average factor for converting hydrocarbon gas liquids total consumption from physical unit to Btu</t>
  </si>
  <si>
    <t>HLTCP</t>
  </si>
  <si>
    <t>HLTCV</t>
  </si>
  <si>
    <t>Hydrocarbon gas liquids total expenditures</t>
  </si>
  <si>
    <t>HLTXB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</si>
  <si>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</si>
  <si>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</si>
  <si>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</si>
  <si>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</si>
  <si>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</si>
  <si>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</si>
  <si>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HPGBP</t>
  </si>
  <si>
    <t>Hydroelectric pumped storage generating units net summer capacity in all sectors</t>
  </si>
  <si>
    <t>HVGBP</t>
  </si>
  <si>
    <t>Conventional hydroelectric power generating units net summer capacity in all sectors</t>
  </si>
  <si>
    <t>HYCCB</t>
  </si>
  <si>
    <t>Hydropower consumed by the commercial sector</t>
  </si>
  <si>
    <t>HYCCP</t>
  </si>
  <si>
    <t>Hydroelectricity net generation in the commercial sector</t>
  </si>
  <si>
    <t>HYEGB</t>
  </si>
  <si>
    <t>Hydropower consumed for electricity generation by the electric power sector</t>
  </si>
  <si>
    <t>HYEGP</t>
  </si>
  <si>
    <t>Hydroelectricity net generation in the electric power sector</t>
  </si>
  <si>
    <t>HYICB</t>
  </si>
  <si>
    <t>Hydropower consumed by the industrial sector</t>
  </si>
  <si>
    <t>HYICP</t>
  </si>
  <si>
    <t>Hydroelectricity net generation in the industrial sector</t>
  </si>
  <si>
    <t>HYTCB</t>
  </si>
  <si>
    <t>Hydropower total consumption</t>
  </si>
  <si>
    <t>HYTCP</t>
  </si>
  <si>
    <t>Hydroelectricity total net generation</t>
  </si>
  <si>
    <t>HYTXB</t>
  </si>
  <si>
    <t>Hydropower energy total end-use consumption</t>
  </si>
  <si>
    <t>HYTXP</t>
  </si>
  <si>
    <t>Hydroelectricity, total end-use net generation</t>
  </si>
  <si>
    <t>IQICB</t>
  </si>
  <si>
    <t>Isobutane consumed by the industrial sector</t>
  </si>
  <si>
    <t>IQICP</t>
  </si>
  <si>
    <t>IQTCB</t>
  </si>
  <si>
    <t>Isobutane total consumption</t>
  </si>
  <si>
    <t>IQTCP</t>
  </si>
  <si>
    <t>IYICB</t>
  </si>
  <si>
    <t>Isobutylene from refineries consumed by the industrial sector</t>
  </si>
  <si>
    <t>IYICP</t>
  </si>
  <si>
    <t>IYTCB</t>
  </si>
  <si>
    <t>Isobutylene from refineries total consumption</t>
  </si>
  <si>
    <t>IYTCP</t>
  </si>
  <si>
    <t>JFACB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</si>
  <si>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</si>
  <si>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</si>
  <si>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</si>
  <si>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</si>
  <si>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</si>
  <si>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</si>
  <si>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JFTCB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</si>
  <si>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</si>
  <si>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</si>
  <si>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</si>
  <si>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</si>
  <si>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</si>
  <si>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</si>
  <si>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JFTXB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</si>
  <si>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</si>
  <si>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</si>
  <si>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</si>
  <si>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</si>
  <si>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</si>
  <si>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</si>
  <si>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KSCCB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</si>
  <si>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</si>
  <si>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</si>
  <si>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</si>
  <si>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</si>
  <si>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</si>
  <si>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</si>
  <si>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KSICB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</si>
  <si>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</si>
  <si>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</si>
  <si>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</si>
  <si>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</si>
  <si>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</si>
  <si>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</si>
  <si>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KSRCB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</si>
  <si>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</si>
  <si>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</si>
  <si>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</si>
  <si>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</si>
  <si>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</si>
  <si>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</si>
  <si>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KSTCB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</si>
  <si>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</si>
  <si>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</si>
  <si>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</si>
  <si>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</si>
  <si>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</si>
  <si>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</si>
  <si>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KSTXB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</si>
  <si>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</si>
  <si>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</si>
  <si>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</si>
  <si>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</si>
  <si>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</si>
  <si>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</si>
  <si>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LOACB</t>
  </si>
  <si>
    <t>The transportation sector's share of electrical system energy losses</t>
  </si>
  <si>
    <t>LOCCB</t>
  </si>
  <si>
    <t>The commercial sector's share of electrical system energy losses</t>
  </si>
  <si>
    <t>LOICB</t>
  </si>
  <si>
    <t>The industrial sector's share of electrical system energy losses</t>
  </si>
  <si>
    <t>LORCB</t>
  </si>
  <si>
    <t>The residential sector's share of electrical system energy losses</t>
  </si>
  <si>
    <t>LOTCB</t>
  </si>
  <si>
    <t>Total electrical system energy losses</t>
  </si>
  <si>
    <t>LOTXB</t>
  </si>
  <si>
    <t>Total electrical system energy losses allocated to the end-use sectors</t>
  </si>
  <si>
    <t>LUACB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</si>
  <si>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</si>
  <si>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</si>
  <si>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</si>
  <si>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</si>
  <si>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</si>
  <si>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</si>
  <si>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LUICB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</si>
  <si>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</si>
  <si>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</si>
  <si>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</si>
  <si>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</si>
  <si>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</si>
  <si>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</si>
  <si>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LUTCB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</si>
  <si>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</si>
  <si>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</si>
  <si>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</si>
  <si>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</si>
  <si>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</si>
  <si>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</si>
  <si>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LUTXB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</si>
  <si>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</si>
  <si>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</si>
  <si>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</si>
  <si>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</si>
  <si>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</si>
  <si>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</si>
  <si>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MBICB</t>
  </si>
  <si>
    <t>Motor gasoline blending components consumed by the industrial sector</t>
  </si>
  <si>
    <t>MBICP</t>
  </si>
  <si>
    <t>MBTCK</t>
  </si>
  <si>
    <t>Factor for converting motor gasoline blending components from physical units to Btu</t>
  </si>
  <si>
    <t>MGACB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</si>
  <si>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</si>
  <si>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</si>
  <si>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</si>
  <si>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</si>
  <si>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</si>
  <si>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</si>
  <si>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MGCCB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</si>
  <si>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</si>
  <si>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</si>
  <si>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</si>
  <si>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</si>
  <si>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</si>
  <si>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</si>
  <si>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MGICB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</si>
  <si>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</si>
  <si>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</si>
  <si>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</si>
  <si>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</si>
  <si>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</si>
  <si>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</si>
  <si>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MGTCB</t>
  </si>
  <si>
    <t>Motor gasoline total consumption</t>
  </si>
  <si>
    <t>MGTCD</t>
  </si>
  <si>
    <t>Motor gasoline average price, all sectors</t>
  </si>
  <si>
    <t>MGTCK</t>
  </si>
  <si>
    <t>Factor for converting motor gasoline from physical units to Btu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</si>
  <si>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</si>
  <si>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</si>
  <si>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</si>
  <si>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</si>
  <si>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</si>
  <si>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</si>
  <si>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MGTXB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</si>
  <si>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</si>
  <si>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</si>
  <si>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</si>
  <si>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</si>
  <si>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</si>
  <si>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</si>
  <si>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MMTCB</t>
  </si>
  <si>
    <t>Motor gasoline total consumption, excluding fuel ethanol</t>
  </si>
  <si>
    <t>MSICB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</si>
  <si>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</si>
  <si>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</si>
  <si>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</si>
  <si>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</si>
  <si>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</si>
  <si>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</si>
  <si>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NAICB</t>
  </si>
  <si>
    <t>Natural gasoline consumed by the industrial sector (through 1983)</t>
  </si>
  <si>
    <t>NAICP</t>
  </si>
  <si>
    <t>NCPRB</t>
  </si>
  <si>
    <t>Noncombustible renewable energy production</t>
  </si>
  <si>
    <t>NGACB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</si>
  <si>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</si>
  <si>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</si>
  <si>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</si>
  <si>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</si>
  <si>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</si>
  <si>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</si>
  <si>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</si>
  <si>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</si>
  <si>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</si>
  <si>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</si>
  <si>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NGCCB</t>
  </si>
  <si>
    <t>Natural gas delivered to the commercial sector, used as consumption (including supplemental gaseous fuels)</t>
  </si>
  <si>
    <t>NGCCD</t>
  </si>
  <si>
    <t>Natural gas price in the commercial sector (including supplemental gaseous fuels)</t>
  </si>
  <si>
    <t>NGCCP</t>
  </si>
  <si>
    <t>NGCCV</t>
  </si>
  <si>
    <t>Natural gas expenditures in the commercial sector (including supplemental gaseous fuels)</t>
  </si>
  <si>
    <t>NGEIB</t>
  </si>
  <si>
    <t>Natural gas consumed by the electric power sector (including supplemental gaseous fuels)</t>
  </si>
  <si>
    <t>NGEID</t>
  </si>
  <si>
    <t>Natural gas price in the electric power sector (including supplemental gaseous fuels)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</si>
  <si>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</si>
  <si>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</si>
  <si>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</si>
  <si>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</si>
  <si>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</si>
  <si>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 (including supplemental gaseous fuels)</t>
  </si>
  <si>
    <t>NGGBP</t>
  </si>
  <si>
    <t>Natural gas generating units net summer capacity in all sectors</t>
  </si>
  <si>
    <t>NGICB</t>
  </si>
  <si>
    <t>Natural gas consumed by the industrial sector (including supplemental gaseous fuels)</t>
  </si>
  <si>
    <t>NGICD</t>
  </si>
  <si>
    <t>Natural gas price in the industrial sector (including supplemental gaseous fuels)</t>
  </si>
  <si>
    <t>NGICP</t>
  </si>
  <si>
    <t>NGICV</t>
  </si>
  <si>
    <t>Natural gas expenditures in the industrial sector (including supplemental gaseous fuels)</t>
  </si>
  <si>
    <t>NGISB</t>
  </si>
  <si>
    <t>Natural gas consumed by the industrial sector excluding refinery fuel</t>
  </si>
  <si>
    <t>NGLPB</t>
  </si>
  <si>
    <t>Natural gas consumed as lease and plant fuel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</si>
  <si>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</si>
  <si>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</si>
  <si>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</si>
  <si>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</si>
  <si>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</si>
  <si>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</si>
  <si>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</si>
  <si>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</si>
  <si>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NGRCB</t>
  </si>
  <si>
    <t>Natural gas delivered to the residential sector, used as consumption (including supplemental gaseous fuels)</t>
  </si>
  <si>
    <t>NGRCD</t>
  </si>
  <si>
    <t>Natural gas price in the residential sector (including supplemental gaseous fuels)</t>
  </si>
  <si>
    <t>NGRCP</t>
  </si>
  <si>
    <t>NGRCV</t>
  </si>
  <si>
    <t>Natural gas expenditures in the residential sector (including supplemental gaseous fuels)</t>
  </si>
  <si>
    <t>NGRFB</t>
  </si>
  <si>
    <t>Natural gas consumed as refinery fuel</t>
  </si>
  <si>
    <t>NGSCB</t>
  </si>
  <si>
    <t>Natural gas total consumption adjusted for process fuel</t>
  </si>
  <si>
    <t>NGTCB</t>
  </si>
  <si>
    <t>Natural gas total consumption (including supplemental gaseous fuels)</t>
  </si>
  <si>
    <t>NGTCD</t>
  </si>
  <si>
    <t>Natural gas average price, all sectors (including supplemental gaseous fuels)</t>
  </si>
  <si>
    <t>NGTCK</t>
  </si>
  <si>
    <t>Factor for converting natural gas total consumption from physical units to Btu</t>
  </si>
  <si>
    <t>NGTCP</t>
  </si>
  <si>
    <t>NGTCV</t>
  </si>
  <si>
    <t>Natural gas total expenditures (including supplemental gaseous fuels)</t>
  </si>
  <si>
    <t>NGTPB</t>
  </si>
  <si>
    <t>Natural gas total consumption per capita</t>
  </si>
  <si>
    <t>Million Btu</t>
  </si>
  <si>
    <t>NGTPP</t>
  </si>
  <si>
    <t>Thousand cubic feet</t>
  </si>
  <si>
    <t>NGTXB</t>
  </si>
  <si>
    <t>Natural gas total end-use consumption (including supplemental gaseous fuels)</t>
  </si>
  <si>
    <t>NGTXD</t>
  </si>
  <si>
    <t>Natural gas average price, all end-use sectors (including supplemental gaseous fuels)</t>
  </si>
  <si>
    <t>NGTXK</t>
  </si>
  <si>
    <t>Factor for converting natural gas used by end-use sectors from physical units to Btu</t>
  </si>
  <si>
    <t>NGTXP</t>
  </si>
  <si>
    <t>NGTXV</t>
  </si>
  <si>
    <t>Natural gas total end-use expenditures (including supplemental gaseous fuels)</t>
  </si>
  <si>
    <t>NNTCB</t>
  </si>
  <si>
    <t>Natural gas total consumption (excluding supplemental gaseous fuels)</t>
  </si>
  <si>
    <t>NUEGB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</si>
  <si>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</si>
  <si>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</si>
  <si>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</si>
  <si>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</si>
  <si>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</si>
  <si>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</si>
  <si>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</si>
  <si>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NUETB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</si>
  <si>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</si>
  <si>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</si>
  <si>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</si>
  <si>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</si>
  <si>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</t>
  </si>
  <si>
    <t>NUETP</t>
  </si>
  <si>
    <t>Nuclear electricity total net generation</t>
  </si>
  <si>
    <t>NUETV</t>
  </si>
  <si>
    <t>Nuclear fuel total expenditures</t>
  </si>
  <si>
    <t>NUGBP</t>
  </si>
  <si>
    <t>Nuclear generating units net summer capacity in all sectors</t>
  </si>
  <si>
    <t>OHICB</t>
  </si>
  <si>
    <t>Other hydrocarbon gas liquids (other than propane) consumed by the industrial sector</t>
  </si>
  <si>
    <t>OJGBP</t>
  </si>
  <si>
    <t>Other gases generating units net summer capacity in all sectors</t>
  </si>
  <si>
    <t>OMTCB</t>
  </si>
  <si>
    <t>Other petroleum products consumption, excluding biofuels</t>
  </si>
  <si>
    <t>OPACB</t>
  </si>
  <si>
    <t>Other petroleum products consumed by the transportation sector</t>
  </si>
  <si>
    <t>OPACP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</si>
  <si>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</si>
  <si>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</si>
  <si>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</si>
  <si>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</si>
  <si>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OPICB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</si>
  <si>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</si>
  <si>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</si>
  <si>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</si>
  <si>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</si>
  <si>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</si>
  <si>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</si>
  <si>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</si>
  <si>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</si>
  <si>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</si>
  <si>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</si>
  <si>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OPTCB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</si>
  <si>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</si>
  <si>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</si>
  <si>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</si>
  <si>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</si>
  <si>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</si>
  <si>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</si>
  <si>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OPTXB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</si>
  <si>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</si>
  <si>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</si>
  <si>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</si>
  <si>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</si>
  <si>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</si>
  <si>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</si>
  <si>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OTGBP</t>
  </si>
  <si>
    <t>Other generating units net summer capacity in all sectors</t>
  </si>
  <si>
    <t>P1ICB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</si>
  <si>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</si>
  <si>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</si>
  <si>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</si>
  <si>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</si>
  <si>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</si>
  <si>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</si>
  <si>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</si>
  <si>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</si>
  <si>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</si>
  <si>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</si>
  <si>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P1TCB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</si>
  <si>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</si>
  <si>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</si>
  <si>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</si>
  <si>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</si>
  <si>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</si>
  <si>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</si>
  <si>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P1TXB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</si>
  <si>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</si>
  <si>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</si>
  <si>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</si>
  <si>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</si>
  <si>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</si>
  <si>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</si>
  <si>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</si>
  <si>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</si>
  <si>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PAACB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</si>
  <si>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</si>
  <si>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</si>
  <si>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</si>
  <si>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</si>
  <si>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 for the United States</t>
  </si>
  <si>
    <t>PAACP</t>
  </si>
  <si>
    <t>PAACV</t>
  </si>
  <si>
    <t>All petroleum products total expenditures in the transportation sector</t>
  </si>
  <si>
    <t>PAASB</t>
  </si>
  <si>
    <t>All petroleum products consumed by the transportation sector excluding other biofuels product supplied for the United States</t>
  </si>
  <si>
    <t>PACCB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</si>
  <si>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</si>
  <si>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</si>
  <si>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</si>
  <si>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</si>
  <si>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 for the United States</t>
  </si>
  <si>
    <t>PACCP</t>
  </si>
  <si>
    <t>PACCV</t>
  </si>
  <si>
    <t>All petroleum products total expenditures in the commercial sector</t>
  </si>
  <si>
    <t>PAEIB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</si>
  <si>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</si>
  <si>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</si>
  <si>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</si>
  <si>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</si>
  <si>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 for the United States</t>
  </si>
  <si>
    <t>PAEIP</t>
  </si>
  <si>
    <t>PAEIV</t>
  </si>
  <si>
    <t>All petroleum products total expenditures in the electric power sector</t>
  </si>
  <si>
    <t>PAGBP</t>
  </si>
  <si>
    <t>Petroleum generating units net summer capacity in all sectors</t>
  </si>
  <si>
    <t>PAICB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</si>
  <si>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</si>
  <si>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</si>
  <si>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</si>
  <si>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</si>
  <si>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 for the United States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</si>
  <si>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</si>
  <si>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</si>
  <si>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</si>
  <si>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</si>
  <si>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</si>
  <si>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</si>
  <si>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</si>
  <si>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</si>
  <si>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PARCB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</si>
  <si>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</si>
  <si>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</si>
  <si>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</si>
  <si>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</si>
  <si>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 for the United States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</si>
  <si>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</si>
  <si>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</si>
  <si>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</si>
  <si>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</si>
  <si>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</si>
  <si>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PATCB</t>
  </si>
  <si>
    <t>All petroleum products total consumption</t>
  </si>
  <si>
    <t>PATCD</t>
  </si>
  <si>
    <t>All petroleum products average price, all sectors</t>
  </si>
  <si>
    <t>PATCK</t>
  </si>
  <si>
    <t>Factor for converting all petroleum products consumed by all sectors from physical units to Btu for the United States</t>
  </si>
  <si>
    <t>PATCP</t>
  </si>
  <si>
    <t>PATCV</t>
  </si>
  <si>
    <t>All petroleum products total expenditures</t>
  </si>
  <si>
    <t>PATPB</t>
  </si>
  <si>
    <t>All petroleum products total consumption per capita</t>
  </si>
  <si>
    <t>PATPP</t>
  </si>
  <si>
    <t>Barrels</t>
  </si>
  <si>
    <t>PATXB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</si>
  <si>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</si>
  <si>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</si>
  <si>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</si>
  <si>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</si>
  <si>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</si>
  <si>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</si>
  <si>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PCCCB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</si>
  <si>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</si>
  <si>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</si>
  <si>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</si>
  <si>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</si>
  <si>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</si>
  <si>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</si>
  <si>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</si>
  <si>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for converting petroleum coke, catalyst coke from physical units to Btu</t>
  </si>
  <si>
    <t>PCEIB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</si>
  <si>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</si>
  <si>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</si>
  <si>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</si>
  <si>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</si>
  <si>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</si>
  <si>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</si>
  <si>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PCICB</t>
  </si>
  <si>
    <t>Petroleum coke consumed in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</si>
  <si>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</si>
  <si>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</si>
  <si>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</si>
  <si>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</si>
  <si>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</si>
  <si>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</si>
  <si>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</si>
  <si>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</si>
  <si>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for converting petroleum coke, marketable coke from physical units to Btu</t>
  </si>
  <si>
    <t>PCRFB</t>
  </si>
  <si>
    <t>Petroleum coke consumed as refinery fuel</t>
  </si>
  <si>
    <t>PCSCB</t>
  </si>
  <si>
    <t>Petroleum coke total consumption adjusted for process fuel</t>
  </si>
  <si>
    <t>PCTCB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</si>
  <si>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</si>
  <si>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</si>
  <si>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</si>
  <si>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</si>
  <si>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</si>
  <si>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</si>
  <si>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PCTXB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</si>
  <si>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</si>
  <si>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</si>
  <si>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</si>
  <si>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</si>
  <si>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</si>
  <si>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</si>
  <si>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</si>
  <si>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</si>
  <si>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</si>
  <si>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</si>
  <si>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</si>
  <si>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</si>
  <si>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</si>
  <si>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</si>
  <si>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</si>
  <si>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</si>
  <si>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</si>
  <si>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</si>
  <si>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</si>
  <si>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</si>
  <si>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</si>
  <si>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</si>
  <si>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</si>
  <si>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</si>
  <si>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</si>
  <si>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</si>
  <si>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</si>
  <si>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</si>
  <si>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</si>
  <si>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</si>
  <si>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</si>
  <si>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</si>
  <si>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</si>
  <si>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</si>
  <si>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</si>
  <si>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</si>
  <si>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</si>
  <si>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</si>
  <si>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</si>
  <si>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</si>
  <si>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</si>
  <si>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</si>
  <si>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</si>
  <si>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</si>
  <si>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PLICB</t>
  </si>
  <si>
    <t>Plant condensate consumed by the industrial sector (through 1983)</t>
  </si>
  <si>
    <t>PLICP</t>
  </si>
  <si>
    <t>PMTCB</t>
  </si>
  <si>
    <t>All petroleum products total consumption, excluding biofuels</t>
  </si>
  <si>
    <t>PPICB</t>
  </si>
  <si>
    <t>Natural gasoline (pentanes plus) consumed by the industrial sector</t>
  </si>
  <si>
    <t>PPICP</t>
  </si>
  <si>
    <t>PPTCB</t>
  </si>
  <si>
    <t>Natural gasoline (pentanes plus) total consumption</t>
  </si>
  <si>
    <t>PPTCP</t>
  </si>
  <si>
    <t>PQACB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</si>
  <si>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</si>
  <si>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</si>
  <si>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</si>
  <si>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</si>
  <si>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</si>
  <si>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</si>
  <si>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PQCCB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</si>
  <si>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</si>
  <si>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</si>
  <si>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</si>
  <si>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</si>
  <si>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</si>
  <si>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</si>
  <si>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PQICB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</si>
  <si>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</si>
  <si>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</si>
  <si>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</si>
  <si>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</si>
  <si>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</si>
  <si>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</si>
  <si>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</si>
  <si>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</si>
  <si>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PQRCB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</si>
  <si>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</si>
  <si>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</si>
  <si>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</si>
  <si>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</si>
  <si>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</si>
  <si>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</si>
  <si>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</si>
  <si>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</si>
  <si>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</si>
  <si>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</si>
  <si>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PQTCB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</si>
  <si>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</si>
  <si>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</si>
  <si>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</si>
  <si>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</si>
  <si>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</si>
  <si>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</si>
  <si>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PQTXB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</si>
  <si>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</si>
  <si>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</si>
  <si>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</si>
  <si>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</si>
  <si>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</si>
  <si>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</si>
  <si>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PYICB</t>
  </si>
  <si>
    <t>Propylene from refineries consumed by the industrial sector</t>
  </si>
  <si>
    <t>PYICP</t>
  </si>
  <si>
    <t>PYTCB</t>
  </si>
  <si>
    <t>Propylene from refineries total consumption</t>
  </si>
  <si>
    <t>PYTCP</t>
  </si>
  <si>
    <t>REGBP</t>
  </si>
  <si>
    <t>Renewable energy total generating units net summer capacity in all sectors</t>
  </si>
  <si>
    <t>REPRB</t>
  </si>
  <si>
    <t>Renewable energy production</t>
  </si>
  <si>
    <t>RETCB</t>
  </si>
  <si>
    <t>Renewable energy total consumption</t>
  </si>
  <si>
    <t>RFACB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</si>
  <si>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</si>
  <si>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</si>
  <si>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</si>
  <si>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</si>
  <si>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</si>
  <si>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</si>
  <si>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RFCCB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</si>
  <si>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</si>
  <si>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</si>
  <si>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</si>
  <si>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</si>
  <si>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</si>
  <si>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</si>
  <si>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RFEIB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</si>
  <si>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</si>
  <si>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</si>
  <si>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</si>
  <si>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</si>
  <si>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</si>
  <si>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</si>
  <si>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RFICB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</si>
  <si>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</si>
  <si>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</si>
  <si>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</si>
  <si>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</si>
  <si>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</si>
  <si>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</si>
  <si>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</si>
  <si>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</si>
  <si>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</si>
  <si>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</si>
  <si>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</si>
  <si>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</si>
  <si>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RFTCB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</si>
  <si>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</si>
  <si>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</si>
  <si>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</si>
  <si>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</si>
  <si>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</si>
  <si>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</si>
  <si>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RFTXB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</si>
  <si>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</si>
  <si>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</si>
  <si>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</si>
  <si>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</si>
  <si>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</si>
  <si>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</si>
  <si>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SFCCB</t>
  </si>
  <si>
    <t>Supplemental gaseous fuels consumed by the commercial sector</t>
  </si>
  <si>
    <t>SFEIB</t>
  </si>
  <si>
    <t>Supplemental gaseous fuels consumed by the electric power sector</t>
  </si>
  <si>
    <t>SFINB</t>
  </si>
  <si>
    <t>Supplemental gaseous fuels consumed by the industrial sector</t>
  </si>
  <si>
    <t>SFRCB</t>
  </si>
  <si>
    <t>Supplemental gaseous fuels consumed by the residential sector</t>
  </si>
  <si>
    <t>SFTCB</t>
  </si>
  <si>
    <t>Supplemental gaseous fuels total consumption</t>
  </si>
  <si>
    <t>SGICB</t>
  </si>
  <si>
    <t>Still gas consumed by the industrial sector</t>
  </si>
  <si>
    <t>SGICP</t>
  </si>
  <si>
    <t>SNICB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</si>
  <si>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</si>
  <si>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</si>
  <si>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</si>
  <si>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</si>
  <si>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</si>
  <si>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</si>
  <si>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SOCCB</t>
  </si>
  <si>
    <t>Solar energy consumed by the commercial sector</t>
  </si>
  <si>
    <t>SOCCP</t>
  </si>
  <si>
    <t>Solar thermal and photovoltaic electricity net generation in the commercial sector</t>
  </si>
  <si>
    <t>SOEGB</t>
  </si>
  <si>
    <t>Solar energy consumed for electricity generation by the electric power sector</t>
  </si>
  <si>
    <t>SOEGP</t>
  </si>
  <si>
    <t>Solar thermal and photovoltaic electricity net generation in the electric power sector</t>
  </si>
  <si>
    <t>SOGBP</t>
  </si>
  <si>
    <t>Solar generating units net summer capacity in all sectors</t>
  </si>
  <si>
    <t>SOICB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</si>
  <si>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</si>
  <si>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</si>
  <si>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</si>
  <si>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</si>
  <si>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</si>
  <si>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SORCB</t>
  </si>
  <si>
    <t>Solar energy consumed by the residential sector</t>
  </si>
  <si>
    <t>SOTCB</t>
  </si>
  <si>
    <t>Solar energy total consumption</t>
  </si>
  <si>
    <t>SOTGP</t>
  </si>
  <si>
    <t>Solar thermal and photovoltaic electricity total net generation</t>
  </si>
  <si>
    <t>SOTXB</t>
  </si>
  <si>
    <t>Solar energy total end-use consumption</t>
  </si>
  <si>
    <t>TEACB</t>
  </si>
  <si>
    <t>Total energy consumption in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</si>
  <si>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</si>
  <si>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</si>
  <si>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</si>
  <si>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</si>
  <si>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TEAPB</t>
  </si>
  <si>
    <t>Total energy consumption per capita in the transportation sector</t>
  </si>
  <si>
    <t>TECCB</t>
  </si>
  <si>
    <t>Total energy consumption in the commercial sector</t>
  </si>
  <si>
    <t>TECCD</t>
  </si>
  <si>
    <t>Total energy average price in the commercial sector</t>
  </si>
  <si>
    <t>TECCV</t>
  </si>
  <si>
    <t>Total energy expenditures in the commercial sector</t>
  </si>
  <si>
    <t>TECPB</t>
  </si>
  <si>
    <t>Total energy consumption per capita in the commercial sector</t>
  </si>
  <si>
    <t>TEEIB</t>
  </si>
  <si>
    <t>Total energy consumption in the electric power sector plus net imports of electricity into the United States</t>
  </si>
  <si>
    <t>TEGDS</t>
  </si>
  <si>
    <t>Energy expenditures as percent of current-dollar GDP</t>
  </si>
  <si>
    <t>Percent</t>
  </si>
  <si>
    <t>TEICB</t>
  </si>
  <si>
    <t>Total energy consumption in the industrial sector</t>
  </si>
  <si>
    <t>TEICD</t>
  </si>
  <si>
    <t>Total energy average price in the industrial sector</t>
  </si>
  <si>
    <t>TEICV</t>
  </si>
  <si>
    <t>Total energy expenditures in the industrial sector</t>
  </si>
  <si>
    <t>TEIPB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</si>
  <si>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</si>
  <si>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</si>
  <si>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</si>
  <si>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</si>
  <si>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</si>
  <si>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TERCB</t>
  </si>
  <si>
    <t>Total energy consumption in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</si>
  <si>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</si>
  <si>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</si>
  <si>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</si>
  <si>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</si>
  <si>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</si>
  <si>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</si>
  <si>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TERPB</t>
  </si>
  <si>
    <t>Total energy consumption per capita in the residential sector</t>
  </si>
  <si>
    <t>TETCB</t>
  </si>
  <si>
    <t>Total energy consumption</t>
  </si>
  <si>
    <t>TETCD</t>
  </si>
  <si>
    <t>Total energy average price</t>
  </si>
  <si>
    <t>TETCV</t>
  </si>
  <si>
    <t>Total energy expenditures</t>
  </si>
  <si>
    <t>TETGR</t>
  </si>
  <si>
    <t>Total energy consumption per dollar of real gross domestic product (GDP)</t>
  </si>
  <si>
    <t>Thousand Btu per chained (2012) dollar</t>
  </si>
  <si>
    <t>TETPB</t>
  </si>
  <si>
    <t>Total energy consumption per capita</t>
  </si>
  <si>
    <t>TETPV</t>
  </si>
  <si>
    <t>Total energy expenditures per capita</t>
  </si>
  <si>
    <t>TETXB</t>
  </si>
  <si>
    <t>Total end-use sector energy consumption</t>
  </si>
  <si>
    <t>TETXD</t>
  </si>
  <si>
    <t>Total end-use energy average price</t>
  </si>
  <si>
    <t>TETXV</t>
  </si>
  <si>
    <t>Total end-use energy expenditures</t>
  </si>
  <si>
    <t>TNACB</t>
  </si>
  <si>
    <t>End-use energy consumption in the transportation sector</t>
  </si>
  <si>
    <t>TNASB</t>
  </si>
  <si>
    <t>Total net energy consumed by the transportation sector, adjusted for process fuel, intermediate products, and fuels with no direct cost</t>
  </si>
  <si>
    <t>TNCCB</t>
  </si>
  <si>
    <t>End-use energy consumption in the commercial sector</t>
  </si>
  <si>
    <t>TNCSB</t>
  </si>
  <si>
    <t>Total net energy consumed by the commercial sector, adjusted for process fuel, intermediate products, and fuels with no direct cost</t>
  </si>
  <si>
    <t>TNICB</t>
  </si>
  <si>
    <t>End-use energy consumption in the industrial sector</t>
  </si>
  <si>
    <t>TNISB</t>
  </si>
  <si>
    <t>Total net energy consumed by the industrial sector, adjusted for process fuel, intermediate products, and fuels with no direct cost</t>
  </si>
  <si>
    <t>TNRCB</t>
  </si>
  <si>
    <t>End-use energy consumption in the residential sector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</si>
  <si>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</si>
  <si>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</si>
  <si>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</si>
  <si>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</si>
  <si>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TNTXB</t>
  </si>
  <si>
    <t>Total primary energy and electricity consumed by the end-use sectors</t>
  </si>
  <si>
    <t>TPOPP</t>
  </si>
  <si>
    <t>Resident population including Armed Forces</t>
  </si>
  <si>
    <t>Thousand</t>
  </si>
  <si>
    <t>UOICB</t>
  </si>
  <si>
    <t>Unfinished oils consumed by the industrial sector</t>
  </si>
  <si>
    <t>UOICP</t>
  </si>
  <si>
    <t>USICB</t>
  </si>
  <si>
    <t>Unfractionated streams consumed by the industrial sector (through 1983)</t>
  </si>
  <si>
    <t>USICP</t>
  </si>
  <si>
    <t>WDCCB</t>
  </si>
  <si>
    <t>Wood energy consumed by the commercial sector</t>
  </si>
  <si>
    <t>WDEIB</t>
  </si>
  <si>
    <t>Wood consumed by the electric power sector</t>
  </si>
  <si>
    <t>WDEXB</t>
  </si>
  <si>
    <t>Densified biomass exports</t>
  </si>
  <si>
    <t>WDGBP</t>
  </si>
  <si>
    <t>Wood generating units net summer capacity in all sectors</t>
  </si>
  <si>
    <t>WDICB</t>
  </si>
  <si>
    <t>Wood energy consumed by the industrial sector</t>
  </si>
  <si>
    <t>WDPRB</t>
  </si>
  <si>
    <t>Wood energy production</t>
  </si>
  <si>
    <t>WDRCB</t>
  </si>
  <si>
    <t>Wood energy consumed by the residential sector</t>
  </si>
  <si>
    <t>WDRCD</t>
  </si>
  <si>
    <t>Wood price in the residential sector</t>
  </si>
  <si>
    <t>WDRCV</t>
  </si>
  <si>
    <t>Wood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</si>
  <si>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</si>
  <si>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</si>
  <si>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</si>
  <si>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</si>
  <si>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WDTCB</t>
  </si>
  <si>
    <t>Wood energy total consumption</t>
  </si>
  <si>
    <t>WSCCB</t>
  </si>
  <si>
    <t>Waste energy consumed by the commercial sector</t>
  </si>
  <si>
    <t>WSEIB</t>
  </si>
  <si>
    <t>Waste consumed by the electric power sector</t>
  </si>
  <si>
    <t>WSGBP</t>
  </si>
  <si>
    <t>Waste generating units net summer capacity in all sectors</t>
  </si>
  <si>
    <t>WSICB</t>
  </si>
  <si>
    <t>Waste energy consumed by the industrial sector</t>
  </si>
  <si>
    <t>WSTCB</t>
  </si>
  <si>
    <t>Waste energy total consumption</t>
  </si>
  <si>
    <t>WWCCB</t>
  </si>
  <si>
    <t>Wood and waste consumed in the commercial sector</t>
  </si>
  <si>
    <t>WWCCD</t>
  </si>
  <si>
    <t>Wood and waste price in the commercial sector</t>
  </si>
  <si>
    <t>WWCCV</t>
  </si>
  <si>
    <t>Wood and waste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</si>
  <si>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</si>
  <si>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</si>
  <si>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</si>
  <si>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</si>
  <si>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WWEIB</t>
  </si>
  <si>
    <t>Wood and waste consumed by the electric power sector</t>
  </si>
  <si>
    <t>WWEID</t>
  </si>
  <si>
    <t>Wood and waste price in the electric power sector</t>
  </si>
  <si>
    <t>WWEIV</t>
  </si>
  <si>
    <t>Wood and waste expenditures in the electric power sector</t>
  </si>
  <si>
    <t>WWICB</t>
  </si>
  <si>
    <t>Wood and waste consumed in the industrial sector</t>
  </si>
  <si>
    <t>WWICD</t>
  </si>
  <si>
    <t>Wood and waste price in the industrial sector</t>
  </si>
  <si>
    <t>WWICV</t>
  </si>
  <si>
    <t>Wood and waste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</si>
  <si>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</si>
  <si>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</si>
  <si>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</si>
  <si>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</si>
  <si>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</si>
  <si>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</si>
  <si>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</si>
  <si>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</si>
  <si>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WWTCB</t>
  </si>
  <si>
    <t>Wood and waste total consumption</t>
  </si>
  <si>
    <t>WWTCD</t>
  </si>
  <si>
    <t>Wood and waste average price, all sectors</t>
  </si>
  <si>
    <t>WWTCV</t>
  </si>
  <si>
    <t>Wood and waste total expenditures</t>
  </si>
  <si>
    <t>WWTXB</t>
  </si>
  <si>
    <t>Wood and waste total end-use consumption</t>
  </si>
  <si>
    <t>WWTXD</t>
  </si>
  <si>
    <t>Wood and waste average price, all end-use sectors</t>
  </si>
  <si>
    <t>WWTXV</t>
  </si>
  <si>
    <t>Wood and waste total end-use expenditures</t>
  </si>
  <si>
    <t>WXICB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</si>
  <si>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</si>
  <si>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</si>
  <si>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</si>
  <si>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</si>
  <si>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</si>
  <si>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</si>
  <si>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WYCCB</t>
  </si>
  <si>
    <t>Wind energy consumed by the commercial sector</t>
  </si>
  <si>
    <t>WYCCP</t>
  </si>
  <si>
    <t>Wind electricity net generation in the commercial sector</t>
  </si>
  <si>
    <t>WYEGB</t>
  </si>
  <si>
    <t>Wind energy consumed for electricity generation by the electric power sector</t>
  </si>
  <si>
    <t>WYEGP</t>
  </si>
  <si>
    <t>Wind electricity net generation in the electric power sector</t>
  </si>
  <si>
    <t>WYGBP</t>
  </si>
  <si>
    <t>Wind generating units net summer capacity in all sectors</t>
  </si>
  <si>
    <t>WYICB</t>
  </si>
  <si>
    <t>Wind energy consumed by the industrial sector</t>
  </si>
  <si>
    <t>WYICP</t>
  </si>
  <si>
    <t>Wind electricity net generation in the industrial sector</t>
  </si>
  <si>
    <t>WYTCB</t>
  </si>
  <si>
    <t>Wind energy total consumption</t>
  </si>
  <si>
    <t>WYTCP</t>
  </si>
  <si>
    <t>Wind electricity total net generation</t>
  </si>
  <si>
    <t>WYTXB</t>
  </si>
  <si>
    <t>Wind energy total end-use consumption</t>
  </si>
  <si>
    <t>WYTXP</t>
  </si>
  <si>
    <t>Wind energy total end-use net generation</t>
  </si>
  <si>
    <t>ZWCDP</t>
  </si>
  <si>
    <t>Cooling degree days (CDD)</t>
  </si>
  <si>
    <t>Days</t>
  </si>
  <si>
    <t>ZWHDP</t>
  </si>
  <si>
    <t>Heating degree days (HDD)</t>
  </si>
  <si>
    <t>Data_Status</t>
  </si>
  <si>
    <t>State</t>
  </si>
  <si>
    <t>2021F</t>
  </si>
  <si>
    <t>US</t>
  </si>
  <si>
    <t>dataset:</t>
  </si>
  <si>
    <t>sedsPE</t>
  </si>
  <si>
    <t>Total Final
Energy Expenditure</t>
  </si>
  <si>
    <t>Total Final
Energy Price</t>
  </si>
  <si>
    <t>Total Final
Energy Consumption</t>
  </si>
  <si>
    <t>Simple Approach</t>
  </si>
  <si>
    <t>HKO Approach</t>
  </si>
  <si>
    <t>Year</t>
  </si>
  <si>
    <t>outgoing ID:</t>
  </si>
  <si>
    <t>Diff</t>
  </si>
  <si>
    <t>(%)</t>
  </si>
  <si>
    <t>GDP Data</t>
  </si>
  <si>
    <t>U.S. Energy Information Administration</t>
  </si>
  <si>
    <t>Real GDP</t>
  </si>
  <si>
    <t>Nominal GDP</t>
  </si>
  <si>
    <t>Table C1 Population, U.S. Gross Domestic Product, and U.S. Gross Output</t>
  </si>
  <si>
    <t>Total Resident Population, United States</t>
  </si>
  <si>
    <t>Total Resident Population, World</t>
  </si>
  <si>
    <t>United States Share of World Population</t>
  </si>
  <si>
    <t>U.S. Gross Domestic Product, Nominal</t>
  </si>
  <si>
    <t>U.S. Gross Domestic Product, Real</t>
  </si>
  <si>
    <t>U.S. Gross Domestic Product Implicit Price Deflator</t>
  </si>
  <si>
    <t>U.S. Gross Output, Nominal Dollars</t>
  </si>
  <si>
    <t>(Million people)</t>
  </si>
  <si>
    <t>(Percent)</t>
  </si>
  <si>
    <t>(Billion Dollars)</t>
  </si>
  <si>
    <t>(Billion chained (2012) dollars)</t>
  </si>
  <si>
    <t>(2012 = 1.00000)</t>
  </si>
  <si>
    <t>Not Available</t>
  </si>
  <si>
    <t>gdp</t>
  </si>
  <si>
    <t>GDP Deflator</t>
  </si>
  <si>
    <t xml:space="preserve"> </t>
  </si>
  <si>
    <t>Real Final Expenditure</t>
  </si>
  <si>
    <t>Real Final price</t>
  </si>
  <si>
    <t>(Millions $2012)</t>
  </si>
  <si>
    <t>$2012/Million BTU</t>
  </si>
  <si>
    <t>Expenditure Share</t>
  </si>
  <si>
    <t>% of Nominal GDP</t>
  </si>
  <si>
    <t>Petroleum Products</t>
  </si>
  <si>
    <t>Coal</t>
  </si>
  <si>
    <t>Natural Gas</t>
  </si>
  <si>
    <t>Electricity</t>
  </si>
  <si>
    <t>Nominal Prices</t>
  </si>
  <si>
    <t>Real Prices</t>
  </si>
  <si>
    <t>Prices Relative to Electricity</t>
  </si>
  <si>
    <t>Final Calculations</t>
  </si>
  <si>
    <t>Original
Description</t>
  </si>
  <si>
    <t>Notes</t>
  </si>
  <si>
    <t>Total Quantity</t>
  </si>
  <si>
    <t>End-Use Quantities</t>
  </si>
  <si>
    <t>Adjusted Quantity</t>
  </si>
  <si>
    <t>Nominal Expenditure</t>
  </si>
  <si>
    <t>Real Expenditure</t>
  </si>
  <si>
    <t>Average
Real Price</t>
  </si>
  <si>
    <t>REACB</t>
  </si>
  <si>
    <t>RECCB</t>
  </si>
  <si>
    <t>REEIB</t>
  </si>
  <si>
    <t>REICB</t>
  </si>
  <si>
    <t>RERCB</t>
  </si>
  <si>
    <t>sedsQ</t>
  </si>
  <si>
    <t>Expenditure
Difference</t>
  </si>
  <si>
    <t>Year/Average</t>
  </si>
  <si>
    <t>Units</t>
  </si>
  <si>
    <t>$2012 per million BTU</t>
  </si>
  <si>
    <t>Variable</t>
  </si>
  <si>
    <t>FE_realprice_simple</t>
  </si>
  <si>
    <t>FE_quantity_simple</t>
  </si>
  <si>
    <t>FE_expshare_simple</t>
  </si>
  <si>
    <t>FE_realprice_HKO</t>
  </si>
  <si>
    <t>FE_quantity_HKO</t>
  </si>
  <si>
    <t>FE_expshare_HKO</t>
  </si>
  <si>
    <t>FF_shareofenexp_simple</t>
  </si>
  <si>
    <t>FF_realprice_simple</t>
  </si>
  <si>
    <t>GDP_nominal</t>
  </si>
  <si>
    <t>GDP_real</t>
  </si>
  <si>
    <t>GDP_deflator</t>
  </si>
  <si>
    <t>units</t>
  </si>
  <si>
    <t>%</t>
  </si>
  <si>
    <t>Oil</t>
  </si>
  <si>
    <t>Billions BTUs of Electricity</t>
  </si>
  <si>
    <t>$2012 Thousands</t>
  </si>
  <si>
    <t>Thousands of dollars</t>
  </si>
  <si>
    <t>$2012 per million BTUs of electricity</t>
  </si>
  <si>
    <t>Quantities</t>
  </si>
  <si>
    <t>Totals</t>
  </si>
  <si>
    <t>Share of Energy Expenditure</t>
  </si>
  <si>
    <t>Nominal Price</t>
  </si>
  <si>
    <t>Real Price</t>
  </si>
  <si>
    <t>Quantity</t>
  </si>
  <si>
    <t>$2012 Million</t>
  </si>
  <si>
    <t>Billion BTU</t>
  </si>
  <si>
    <t>$ per thousand BTUs</t>
  </si>
  <si>
    <t>$2012  per BTU</t>
  </si>
  <si>
    <t>Primary Energy: Simple</t>
  </si>
  <si>
    <t>Value</t>
  </si>
  <si>
    <t>Renewables</t>
  </si>
  <si>
    <t>Clean-Dirty Ratio</t>
  </si>
  <si>
    <t>Fossil Fuel Share of GDP</t>
  </si>
  <si>
    <t>Table 11.1 Carbon Dioxide Emissions From Energy Consumption by Source</t>
  </si>
  <si>
    <t>Annual Total</t>
  </si>
  <si>
    <t>Coal, Including Coal Coke Net Imports, CO2 Emissions</t>
  </si>
  <si>
    <t>Natural Gas, Excluding Supplemental Gaseous Fuels, CO2 Emissions</t>
  </si>
  <si>
    <t>Aviation Gasoline CO2 Emissions</t>
  </si>
  <si>
    <t>Distillate Fuel Oil, Excluding Biodiesel, CO2 Emissions</t>
  </si>
  <si>
    <t>Hydrocarbon Gas Liquids CO2 Emissions</t>
  </si>
  <si>
    <t>Jet Fuel CO2 Emissions</t>
  </si>
  <si>
    <t>Kerosene CO2 Emissions</t>
  </si>
  <si>
    <t>Lubricants CO2 Emissions</t>
  </si>
  <si>
    <t>Motor Gasoline, Excluding Ethanol, CO2 Emissions</t>
  </si>
  <si>
    <t>Petroleum Coke CO2 Emissions</t>
  </si>
  <si>
    <t>Residual Fuel Oil CO2 Emissions</t>
  </si>
  <si>
    <t>Other Petroleum Products CO2 Emissions</t>
  </si>
  <si>
    <t>Petroleum, Excluding Biofuels, CO2 Emissions</t>
  </si>
  <si>
    <t>Total Energy CO2 Emissions</t>
  </si>
  <si>
    <t>(Million Metric Tons of Carbon Dioxide)</t>
  </si>
  <si>
    <t>Dataset:</t>
  </si>
  <si>
    <t>carbon</t>
  </si>
  <si>
    <t>CO2 Emissions</t>
  </si>
  <si>
    <t>unit</t>
  </si>
  <si>
    <t>2020 Deflator</t>
  </si>
  <si>
    <t>SCC in $2020</t>
  </si>
  <si>
    <t>SCC in $2012</t>
  </si>
  <si>
    <t>Y in 2020</t>
  </si>
  <si>
    <t>Emissions in 2020</t>
  </si>
  <si>
    <t>Damage in 2020</t>
  </si>
  <si>
    <t>tons</t>
  </si>
  <si>
    <t>dollars/ton of CO2</t>
  </si>
  <si>
    <t>$2020/$2012</t>
  </si>
  <si>
    <t>dollars</t>
  </si>
  <si>
    <t>Fraction of Y Lost</t>
  </si>
  <si>
    <t>Variable:</t>
  </si>
  <si>
    <t>Source: Rennert et al 2022 (full citation in paper)</t>
  </si>
  <si>
    <t>Primary Energy Quantities</t>
  </si>
  <si>
    <t>Total Fossil</t>
  </si>
  <si>
    <t>Carbon intensity of fossil energy</t>
  </si>
  <si>
    <t>Total emssions</t>
  </si>
  <si>
    <t>emissions</t>
  </si>
  <si>
    <t>Growth Rate Calculation</t>
  </si>
  <si>
    <t>Annual:</t>
  </si>
  <si>
    <t>10 Year:</t>
  </si>
  <si>
    <t>September 2023 Monthly Energy Review</t>
  </si>
  <si>
    <t>Release Date: September 26, 2023</t>
  </si>
  <si>
    <t>Next Update: October 26, 2023</t>
  </si>
  <si>
    <t>Table 1.1 Primary Energy Overview</t>
  </si>
  <si>
    <t>Total Fossil Fuels Production</t>
  </si>
  <si>
    <t>Nuclear Electric Power Production</t>
  </si>
  <si>
    <t>Total Renewable Energy Production</t>
  </si>
  <si>
    <t>Total Primary Energy Production</t>
  </si>
  <si>
    <t>Primary Energy Imports</t>
  </si>
  <si>
    <t>Primary Energy Exports</t>
  </si>
  <si>
    <t>Primary Energy Net Imports</t>
  </si>
  <si>
    <t>Primary Energy Stock Change and Other</t>
  </si>
  <si>
    <t>Total Fossil Fuels Consumption</t>
  </si>
  <si>
    <t>Nuclear Electric Power Consumption</t>
  </si>
  <si>
    <t>Total Renewable Energy Consumption</t>
  </si>
  <si>
    <t>Total Primary Energy Consumption</t>
  </si>
  <si>
    <t>(Quadrillion Btu)</t>
  </si>
  <si>
    <t>Ratio</t>
  </si>
  <si>
    <t>SCC Calculation</t>
  </si>
  <si>
    <t>Data</t>
  </si>
  <si>
    <t>Tab</t>
  </si>
  <si>
    <t>Source</t>
  </si>
  <si>
    <t>Link</t>
  </si>
  <si>
    <t>MER Environment Data</t>
  </si>
  <si>
    <t>https://www.eia.gov/totalenergy/data/monthly/</t>
  </si>
  <si>
    <t>MER Table C1,
"Population, U.S. gross domestic product, and U.S. gross output"</t>
  </si>
  <si>
    <t>MER GDP Data</t>
  </si>
  <si>
    <t>Macroeconomic data reported by EIA. Originally from EIA</t>
  </si>
  <si>
    <t>Access Date</t>
  </si>
  <si>
    <t>MER Quantity Data</t>
  </si>
  <si>
    <t>Primary Energy Use data reported by EIA.</t>
  </si>
  <si>
    <t>MER Table 1.1, "Primary energy overview"</t>
  </si>
  <si>
    <t>Carbon emissions report by EIA.</t>
  </si>
  <si>
    <t>MER Table 11.1,
"Carbon dioxide emissions from energy consumption: by source")</t>
  </si>
  <si>
    <t>Results</t>
  </si>
  <si>
    <t>Calibration</t>
  </si>
  <si>
    <t>Last updated: 12/3/23</t>
  </si>
  <si>
    <t>dollars/tonne of CO2</t>
  </si>
  <si>
    <t>tonnes</t>
  </si>
  <si>
    <t>Calculates: (1) growth rate of CO2/Zd (cell G6) and (2) Climate damages as a % of output in 2020 (cell K13).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</si>
</sst>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i/>
      <sz val="14"/>
      <color rgb="FF000000"/>
      <name val="Calibri"/>
      <family val="2"/>
    </font>
    <font>
      <b/>
      <u/>
      <sz val="10"/>
      <color rgb="FF0000FF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3" fillId="2" borderId="0" xfId="0" applyFont="1" applyFill="1" applyAlignment="1">
      <alignment vertical="top"/>
    </xf>
    <xf numFmtId="0" fontId="3" fillId="2" borderId="0" xfId="0" applyFont="1" applyFill="1"/>
    <xf numFmtId="0" fontId="4" fillId="2" borderId="0" xfId="0" applyFont="1" applyFill="1"/>
    <xf numFmtId="0" fontId="5" fillId="3" borderId="0" xfId="0" applyFont="1" applyFill="1"/>
    <xf numFmtId="0" fontId="3" fillId="2" borderId="0" xfId="0" applyFont="1" applyFill="1" applyAlignment="1">
      <alignment horizontal="left"/>
    </xf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/>
    <xf numFmtId="0" fontId="3" fillId="2" borderId="5" xfId="0" applyFont="1" applyFill="1" applyBorder="1"/>
    <xf numFmtId="0" fontId="3" fillId="2" borderId="6" xfId="0" applyFont="1" applyFill="1" applyBorder="1" applyAlignment="1">
      <alignment wrapText="1"/>
    </xf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0" borderId="9" xfId="0" applyFont="1" applyBorder="1"/>
    <xf numFmtId="0" fontId="7" fillId="0" borderId="0" xfId="0" applyFont="1"/>
    <xf numFmtId="0" fontId="0" fillId="0" borderId="0" xfId="0" applyAlignment="1">
      <alignment horizontal="left"/>
    </xf>
    <xf numFmtId="0" fontId="0" fillId="0" borderId="10" xfId="0" applyBorder="1" applyAlignment="1">
      <alignment horizontal="centerContinuous"/>
    </xf>
    <xf numFmtId="0" fontId="3" fillId="0" borderId="0" xfId="0" applyFont="1"/>
    <xf numFmtId="0" fontId="8" fillId="0" borderId="0" xfId="0" applyFont="1"/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10" xfId="0" applyFont="1" applyBorder="1" applyAlignment="1">
      <alignment horizontal="centerContinuous"/>
    </xf>
    <xf numFmtId="0" fontId="2" fillId="0" borderId="10" xfId="0" applyFont="1" applyBorder="1"/>
    <xf numFmtId="0" fontId="2" fillId="0" borderId="0" xfId="0" applyFont="1"/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64" fontId="2" fillId="0" borderId="10" xfId="1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10" fontId="2" fillId="0" borderId="10" xfId="2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64" fontId="2" fillId="0" borderId="10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9" fillId="0" borderId="0" xfId="0" applyFont="1" applyAlignment="1">
      <alignment wrapText="1"/>
    </xf>
    <xf numFmtId="9" fontId="0" fillId="0" borderId="0" xfId="2" applyFont="1"/>
    <xf numFmtId="9" fontId="2" fillId="0" borderId="10" xfId="2" applyFont="1" applyBorder="1"/>
    <xf numFmtId="0" fontId="2" fillId="0" borderId="0" xfId="0" applyFont="1" applyAlignment="1">
      <alignment horizontal="center" wrapText="1"/>
    </xf>
    <xf numFmtId="164" fontId="2" fillId="0" borderId="10" xfId="0" applyNumberFormat="1" applyFont="1" applyBorder="1"/>
    <xf numFmtId="43" fontId="0" fillId="0" borderId="0" xfId="0" applyNumberFormat="1"/>
    <xf numFmtId="164" fontId="0" fillId="0" borderId="0" xfId="0" applyNumberFormat="1"/>
    <xf numFmtId="165" fontId="2" fillId="0" borderId="10" xfId="0" applyNumberFormat="1" applyFont="1" applyBorder="1"/>
    <xf numFmtId="165" fontId="0" fillId="0" borderId="0" xfId="0" applyNumberFormat="1"/>
    <xf numFmtId="0" fontId="2" fillId="0" borderId="0" xfId="0" applyFont="1" applyAlignment="1">
      <alignment horizontal="centerContinuous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Continuous"/>
    </xf>
    <xf numFmtId="0" fontId="9" fillId="0" borderId="0" xfId="0" applyFont="1"/>
    <xf numFmtId="0" fontId="0" fillId="0" borderId="10" xfId="0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5" borderId="0" xfId="0" applyFill="1"/>
    <xf numFmtId="10" fontId="0" fillId="5" borderId="0" xfId="2" applyNumberFormat="1" applyFont="1" applyFill="1" applyAlignment="1">
      <alignment horizontal="center"/>
    </xf>
    <xf numFmtId="0" fontId="2" fillId="0" borderId="10" xfId="0" applyFont="1" applyBorder="1" applyAlignment="1">
      <alignment horizontal="centerContinuous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7" fillId="0" borderId="11" xfId="0" applyFont="1" applyBorder="1"/>
    <xf numFmtId="0" fontId="15" fillId="0" borderId="11" xfId="0" applyFont="1" applyBorder="1" applyAlignment="1">
      <alignment horizontal="center" wrapText="1"/>
    </xf>
    <xf numFmtId="0" fontId="15" fillId="0" borderId="0" xfId="0" applyFont="1" applyAlignment="1">
      <alignment horizontal="left"/>
    </xf>
    <xf numFmtId="0" fontId="16" fillId="0" borderId="10" xfId="0" applyFont="1" applyBorder="1" applyAlignment="1">
      <alignment horizontal="centerContinuous" wrapText="1"/>
    </xf>
    <xf numFmtId="0" fontId="16" fillId="0" borderId="10" xfId="0" applyFont="1" applyBorder="1" applyAlignment="1">
      <alignment horizontal="centerContinuous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15" fillId="5" borderId="0" xfId="0" applyFont="1" applyFill="1"/>
    <xf numFmtId="164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5" fillId="0" borderId="10" xfId="0" applyFont="1" applyBorder="1"/>
    <xf numFmtId="10" fontId="15" fillId="5" borderId="0" xfId="2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11" xfId="0" applyFont="1" applyBorder="1"/>
    <xf numFmtId="0" fontId="0" fillId="6" borderId="0" xfId="0" applyFill="1"/>
    <xf numFmtId="0" fontId="2" fillId="6" borderId="0" xfId="0" applyFont="1" applyFill="1"/>
    <xf numFmtId="14" fontId="0" fillId="0" borderId="0" xfId="0" applyNumberFormat="1"/>
    <xf numFmtId="0" fontId="14" fillId="4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1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cf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cf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E4B1-A9DA-954C-8D81-0E07DA062347}">
  <sheetPr>
    <tabColor rgb="FFFFFF00"/>
  </sheetPr>
  <dimension ref="A1:E11"/>
  <sheetViews>
    <sheetView tabSelected="1" workbookViewId="0">
      <selection activeCell="B21" sqref="B21"/>
    </sheetView>
  </sheetViews>
  <sheetFormatPr baseColWidth="10" defaultRowHeight="16" x14ac:dyDescent="0.2"/>
  <cols>
    <col min="1" max="1" width="22.33203125" customWidth="1"/>
    <col min="2" max="2" width="49" customWidth="1"/>
    <col min="3" max="3" width="46.6640625" customWidth="1"/>
    <col min="4" max="4" width="42.33203125" bestFit="1" customWidth="1"/>
    <col min="5" max="5" width="18" bestFit="1" customWidth="1"/>
  </cols>
  <sheetData>
    <row r="1" spans="1:5" x14ac:dyDescent="0.2">
      <c r="A1" t="s">
        <v>1591</v>
      </c>
    </row>
    <row r="3" spans="1:5" x14ac:dyDescent="0.2">
      <c r="A3" s="98" t="s">
        <v>1574</v>
      </c>
      <c r="B3" s="98"/>
      <c r="C3" s="98"/>
      <c r="D3" s="98"/>
      <c r="E3" s="97"/>
    </row>
    <row r="4" spans="1:5" x14ac:dyDescent="0.2">
      <c r="A4" s="29" t="s">
        <v>1575</v>
      </c>
      <c r="B4" s="29" t="s">
        <v>7</v>
      </c>
      <c r="C4" s="29" t="s">
        <v>1576</v>
      </c>
      <c r="D4" s="29" t="s">
        <v>1577</v>
      </c>
      <c r="E4" s="30" t="s">
        <v>1583</v>
      </c>
    </row>
    <row r="5" spans="1:5" ht="51" x14ac:dyDescent="0.2">
      <c r="A5" t="s">
        <v>1581</v>
      </c>
      <c r="B5" t="s">
        <v>1582</v>
      </c>
      <c r="C5" s="34" t="s">
        <v>1580</v>
      </c>
      <c r="D5" t="s">
        <v>1579</v>
      </c>
      <c r="E5" s="99">
        <v>45212</v>
      </c>
    </row>
    <row r="6" spans="1:5" x14ac:dyDescent="0.2">
      <c r="A6" t="s">
        <v>1584</v>
      </c>
      <c r="B6" t="s">
        <v>1585</v>
      </c>
      <c r="C6" t="s">
        <v>1586</v>
      </c>
      <c r="D6" t="s">
        <v>1579</v>
      </c>
      <c r="E6" s="99">
        <v>45212</v>
      </c>
    </row>
    <row r="7" spans="1:5" ht="51" x14ac:dyDescent="0.2">
      <c r="A7" t="s">
        <v>1578</v>
      </c>
      <c r="B7" t="s">
        <v>1587</v>
      </c>
      <c r="C7" s="34" t="s">
        <v>1588</v>
      </c>
      <c r="D7" t="s">
        <v>1579</v>
      </c>
      <c r="E7" s="99">
        <v>45212</v>
      </c>
    </row>
    <row r="9" spans="1:5" x14ac:dyDescent="0.2">
      <c r="A9" s="98" t="s">
        <v>1589</v>
      </c>
      <c r="B9" s="98"/>
      <c r="C9" s="98"/>
      <c r="D9" s="98"/>
      <c r="E9" s="97"/>
    </row>
    <row r="10" spans="1:5" x14ac:dyDescent="0.2">
      <c r="A10" s="29" t="s">
        <v>1575</v>
      </c>
      <c r="B10" s="29" t="s">
        <v>7</v>
      </c>
      <c r="C10" s="30"/>
      <c r="D10" s="30"/>
      <c r="E10" s="30"/>
    </row>
    <row r="11" spans="1:5" ht="34" x14ac:dyDescent="0.2">
      <c r="A11" t="s">
        <v>1590</v>
      </c>
      <c r="B11" s="34" t="s">
        <v>1594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1288-8684-F141-941E-A95593830BA5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93CC-613D-8342-AB5F-2BE5BBF8CF4B}">
  <dimension ref="A1:M55"/>
  <sheetViews>
    <sheetView workbookViewId="0">
      <selection activeCell="G6" sqref="G6"/>
    </sheetView>
  </sheetViews>
  <sheetFormatPr baseColWidth="10" defaultRowHeight="16" x14ac:dyDescent="0.2"/>
  <cols>
    <col min="1" max="1" width="11" style="74" bestFit="1" customWidth="1"/>
    <col min="2" max="2" width="16" style="74" bestFit="1" customWidth="1"/>
    <col min="3" max="3" width="37.33203125" style="74" bestFit="1" customWidth="1"/>
    <col min="4" max="4" width="19.33203125" style="74" bestFit="1" customWidth="1"/>
    <col min="5" max="5" width="4.1640625" style="74" customWidth="1"/>
    <col min="6" max="6" width="10.83203125" style="74"/>
    <col min="7" max="7" width="11.1640625" style="74" bestFit="1" customWidth="1"/>
    <col min="8" max="8" width="13.33203125" style="74" bestFit="1" customWidth="1"/>
    <col min="9" max="9" width="3.5" style="74" customWidth="1"/>
    <col min="10" max="10" width="22" style="74" customWidth="1"/>
    <col min="11" max="11" width="23.6640625" style="74" customWidth="1"/>
    <col min="12" max="12" width="20" style="74" bestFit="1" customWidth="1"/>
    <col min="13" max="16384" width="10.83203125" style="74"/>
  </cols>
  <sheetData>
    <row r="1" spans="1:13" x14ac:dyDescent="0.2">
      <c r="A1" s="75" t="s">
        <v>1530</v>
      </c>
      <c r="C1" s="74" t="s">
        <v>1531</v>
      </c>
    </row>
    <row r="2" spans="1:13" x14ac:dyDescent="0.2">
      <c r="A2" s="93" t="s">
        <v>1545</v>
      </c>
      <c r="C2" s="94" t="s">
        <v>1528</v>
      </c>
    </row>
    <row r="3" spans="1:13" x14ac:dyDescent="0.2">
      <c r="A3" s="95"/>
    </row>
    <row r="4" spans="1:13" ht="34" x14ac:dyDescent="0.2">
      <c r="A4" s="89" t="s">
        <v>1422</v>
      </c>
      <c r="B4" s="78" t="s">
        <v>1548</v>
      </c>
      <c r="C4" s="90" t="s">
        <v>1532</v>
      </c>
      <c r="D4" s="78" t="s">
        <v>1549</v>
      </c>
    </row>
    <row r="5" spans="1:13" ht="17" x14ac:dyDescent="0.2">
      <c r="A5" s="89"/>
      <c r="B5" s="96" t="s">
        <v>1571</v>
      </c>
      <c r="C5" s="91" t="str">
        <f ca="1">VLOOKUP("unit",INDIRECT(C$1),MATCH(C$2,INDIRECT(C$1&amp;"_col"),),)</f>
        <v>(Million Metric Tons of Carbon Dioxide)</v>
      </c>
      <c r="D5" s="80" t="s">
        <v>1572</v>
      </c>
      <c r="F5" s="82" t="s">
        <v>1552</v>
      </c>
      <c r="G5" s="82"/>
      <c r="H5" s="83"/>
      <c r="J5" s="83" t="s">
        <v>1573</v>
      </c>
      <c r="K5" s="83"/>
      <c r="L5" s="83"/>
      <c r="M5" s="91"/>
    </row>
    <row r="6" spans="1:13" x14ac:dyDescent="0.2">
      <c r="A6" s="95">
        <v>1973</v>
      </c>
      <c r="B6" s="87">
        <f>'MER Quantity Data'!E37</f>
        <v>61.592951999999997</v>
      </c>
      <c r="C6" s="77">
        <f t="shared" ref="C6:C37" ca="1" si="0">VLOOKUP($A6,INDIRECT(C$1),MATCH(C$2,INDIRECT(C$1&amp;"_col"),),)</f>
        <v>4720.9160000000002</v>
      </c>
      <c r="D6" s="88">
        <f t="shared" ref="D6:D54" ca="1" si="1">IF(ISERROR(C6/B6),"",C6/B6)</f>
        <v>76.647016366418029</v>
      </c>
      <c r="F6" s="84" t="s">
        <v>1553</v>
      </c>
      <c r="G6" s="86" cm="1">
        <f t="array" aca="1" ref="G6:H6" ca="1">LOGEST(D33:D54)</f>
        <v>0.97271173412348966</v>
      </c>
      <c r="H6" s="76">
        <f ca="1"/>
        <v>98.109084784682551</v>
      </c>
      <c r="J6" s="90" t="s">
        <v>1479</v>
      </c>
      <c r="K6" s="90" t="s">
        <v>1509</v>
      </c>
      <c r="L6" s="90" t="s">
        <v>8</v>
      </c>
      <c r="M6" s="90" t="s">
        <v>1462</v>
      </c>
    </row>
    <row r="7" spans="1:13" x14ac:dyDescent="0.2">
      <c r="A7" s="95">
        <v>1974</v>
      </c>
      <c r="B7" s="87">
        <f>'MER Quantity Data'!E38</f>
        <v>60.152492000000002</v>
      </c>
      <c r="C7" s="77">
        <f t="shared" ca="1" si="0"/>
        <v>4561.0169999999998</v>
      </c>
      <c r="D7" s="88">
        <f t="shared" ca="1" si="1"/>
        <v>75.82424016614307</v>
      </c>
      <c r="F7" s="85"/>
      <c r="G7" s="85"/>
      <c r="H7" s="76"/>
      <c r="J7" s="74" t="s">
        <v>1535</v>
      </c>
      <c r="K7" s="77">
        <v>185</v>
      </c>
      <c r="L7" s="77" t="s">
        <v>1592</v>
      </c>
      <c r="M7" s="74" t="s">
        <v>1546</v>
      </c>
    </row>
    <row r="8" spans="1:13" x14ac:dyDescent="0.2">
      <c r="A8" s="95">
        <v>1975</v>
      </c>
      <c r="B8" s="87">
        <f>'MER Quantity Data'!E39</f>
        <v>59.140884</v>
      </c>
      <c r="C8" s="77">
        <f t="shared" ca="1" si="0"/>
        <v>4427.9369999999999</v>
      </c>
      <c r="D8" s="88">
        <f t="shared" ca="1" si="1"/>
        <v>74.870997870102855</v>
      </c>
      <c r="J8" s="74" t="s">
        <v>1534</v>
      </c>
      <c r="K8" s="77">
        <f>'MER GDP Data'!G84</f>
        <v>1.13784</v>
      </c>
      <c r="L8" s="77" t="s">
        <v>1542</v>
      </c>
    </row>
    <row r="9" spans="1:13" x14ac:dyDescent="0.2">
      <c r="A9" s="95">
        <v>1976</v>
      </c>
      <c r="B9" s="87">
        <f>'MER Quantity Data'!E40</f>
        <v>59.499381999999997</v>
      </c>
      <c r="C9" s="77">
        <f t="shared" ca="1" si="0"/>
        <v>4694.6120000000001</v>
      </c>
      <c r="D9" s="88">
        <f t="shared" ca="1" si="1"/>
        <v>78.901861535301336</v>
      </c>
      <c r="J9" s="74" t="s">
        <v>1536</v>
      </c>
      <c r="K9" s="77">
        <f>K7/K8</f>
        <v>162.58876467693173</v>
      </c>
      <c r="L9" s="77" t="s">
        <v>1592</v>
      </c>
    </row>
    <row r="10" spans="1:13" x14ac:dyDescent="0.2">
      <c r="A10" s="95">
        <v>1977</v>
      </c>
      <c r="B10" s="87">
        <f>'MER Quantity Data'!E41</f>
        <v>60.374687000000002</v>
      </c>
      <c r="C10" s="77">
        <f t="shared" ca="1" si="0"/>
        <v>4835.1480000000001</v>
      </c>
      <c r="D10" s="88">
        <f t="shared" ca="1" si="1"/>
        <v>80.085682266145739</v>
      </c>
      <c r="J10" s="74" t="s">
        <v>1538</v>
      </c>
      <c r="K10" s="77">
        <f>'MER Environment Data'!O60*1000000</f>
        <v>4580512000</v>
      </c>
      <c r="L10" s="77" t="s">
        <v>1593</v>
      </c>
    </row>
    <row r="11" spans="1:13" x14ac:dyDescent="0.2">
      <c r="A11" s="95">
        <v>1978</v>
      </c>
      <c r="B11" s="87">
        <f>'MER Quantity Data'!E42</f>
        <v>61.069713999999998</v>
      </c>
      <c r="C11" s="77">
        <f t="shared" ca="1" si="0"/>
        <v>4884.1130000000003</v>
      </c>
      <c r="D11" s="88">
        <f t="shared" ca="1" si="1"/>
        <v>79.976025432180677</v>
      </c>
      <c r="J11" s="74" t="s">
        <v>1539</v>
      </c>
      <c r="K11" s="77">
        <f>K10*K9</f>
        <v>744739787667.86194</v>
      </c>
      <c r="L11" s="77" t="s">
        <v>1543</v>
      </c>
    </row>
    <row r="12" spans="1:13" x14ac:dyDescent="0.2">
      <c r="A12" s="95">
        <v>1979</v>
      </c>
      <c r="B12" s="87">
        <f>'MER Quantity Data'!E43</f>
        <v>63.858710000000002</v>
      </c>
      <c r="C12" s="77">
        <f t="shared" ca="1" si="0"/>
        <v>4949.8969999999999</v>
      </c>
      <c r="D12" s="88">
        <f t="shared" ca="1" si="1"/>
        <v>77.513263265105095</v>
      </c>
      <c r="J12" s="74" t="s">
        <v>1537</v>
      </c>
      <c r="K12" s="77">
        <f>'MER GDP Data'!F84*1000000000</f>
        <v>18509100000000</v>
      </c>
      <c r="L12" s="77" t="s">
        <v>1543</v>
      </c>
    </row>
    <row r="13" spans="1:13" x14ac:dyDescent="0.2">
      <c r="A13" s="95">
        <v>1980</v>
      </c>
      <c r="B13" s="87">
        <f>'MER Quantity Data'!E44</f>
        <v>65.163630999999995</v>
      </c>
      <c r="C13" s="77">
        <f t="shared" ca="1" si="0"/>
        <v>4756.3280000000004</v>
      </c>
      <c r="D13" s="88">
        <f t="shared" ca="1" si="1"/>
        <v>72.99053056144156</v>
      </c>
      <c r="J13" s="74" t="s">
        <v>1544</v>
      </c>
      <c r="K13" s="92">
        <f>K11/K12</f>
        <v>4.0236412773601196E-2</v>
      </c>
      <c r="L13" s="77"/>
    </row>
    <row r="14" spans="1:13" x14ac:dyDescent="0.2">
      <c r="A14" s="95">
        <v>1981</v>
      </c>
      <c r="B14" s="87">
        <f>'MER Quantity Data'!E45</f>
        <v>65.011741000000001</v>
      </c>
      <c r="C14" s="77">
        <f t="shared" ca="1" si="0"/>
        <v>4636.6840000000002</v>
      </c>
      <c r="D14" s="88">
        <f t="shared" ca="1" si="1"/>
        <v>71.320717283974901</v>
      </c>
    </row>
    <row r="15" spans="1:13" x14ac:dyDescent="0.2">
      <c r="A15" s="95">
        <v>1982</v>
      </c>
      <c r="B15" s="87">
        <f>'MER Quantity Data'!E46</f>
        <v>64.292890999999997</v>
      </c>
      <c r="C15" s="77">
        <f t="shared" ca="1" si="0"/>
        <v>4404.4780000000001</v>
      </c>
      <c r="D15" s="88">
        <f t="shared" ca="1" si="1"/>
        <v>68.506454313899184</v>
      </c>
    </row>
    <row r="16" spans="1:13" x14ac:dyDescent="0.2">
      <c r="A16" s="95">
        <v>1983</v>
      </c>
      <c r="B16" s="87">
        <f>'MER Quantity Data'!E47</f>
        <v>61.639884000000002</v>
      </c>
      <c r="C16" s="77">
        <f t="shared" ca="1" si="0"/>
        <v>4383.9920000000002</v>
      </c>
      <c r="D16" s="88">
        <f t="shared" ca="1" si="1"/>
        <v>71.122651690908441</v>
      </c>
    </row>
    <row r="17" spans="1:4" x14ac:dyDescent="0.2">
      <c r="A17" s="95">
        <v>1984</v>
      </c>
      <c r="B17" s="87">
        <f>'MER Quantity Data'!E48</f>
        <v>66.465843000000007</v>
      </c>
      <c r="C17" s="77">
        <f t="shared" ca="1" si="0"/>
        <v>4612.9080000000004</v>
      </c>
      <c r="D17" s="88">
        <f t="shared" ca="1" si="1"/>
        <v>69.402685526759967</v>
      </c>
    </row>
    <row r="18" spans="1:4" x14ac:dyDescent="0.2">
      <c r="A18" s="95">
        <v>1985</v>
      </c>
      <c r="B18" s="87">
        <f>'MER Quantity Data'!E49</f>
        <v>65.595456999999996</v>
      </c>
      <c r="C18" s="77">
        <f t="shared" ca="1" si="0"/>
        <v>4605.41</v>
      </c>
      <c r="D18" s="88">
        <f t="shared" ca="1" si="1"/>
        <v>70.209282938603508</v>
      </c>
    </row>
    <row r="19" spans="1:4" x14ac:dyDescent="0.2">
      <c r="A19" s="95">
        <v>1986</v>
      </c>
      <c r="B19" s="87">
        <f>'MER Quantity Data'!E50</f>
        <v>64.889589000000001</v>
      </c>
      <c r="C19" s="77">
        <f t="shared" ca="1" si="0"/>
        <v>4615.7240000000002</v>
      </c>
      <c r="D19" s="88">
        <f t="shared" ca="1" si="1"/>
        <v>71.131965406654061</v>
      </c>
    </row>
    <row r="20" spans="1:4" x14ac:dyDescent="0.2">
      <c r="A20" s="95">
        <v>1987</v>
      </c>
      <c r="B20" s="87">
        <f>'MER Quantity Data'!E51</f>
        <v>65.659019000000001</v>
      </c>
      <c r="C20" s="77">
        <f t="shared" ca="1" si="0"/>
        <v>4775.616</v>
      </c>
      <c r="D20" s="88">
        <f t="shared" ca="1" si="1"/>
        <v>72.733587445161191</v>
      </c>
    </row>
    <row r="21" spans="1:4" x14ac:dyDescent="0.2">
      <c r="A21" s="95">
        <v>1988</v>
      </c>
      <c r="B21" s="87">
        <f>'MER Quantity Data'!E52</f>
        <v>67.255506999999994</v>
      </c>
      <c r="C21" s="77">
        <f t="shared" ca="1" si="0"/>
        <v>4998.2830000000004</v>
      </c>
      <c r="D21" s="88">
        <f t="shared" ca="1" si="1"/>
        <v>74.317825007251841</v>
      </c>
    </row>
    <row r="22" spans="1:4" x14ac:dyDescent="0.2">
      <c r="A22" s="95">
        <v>1989</v>
      </c>
      <c r="B22" s="87">
        <f>'MER Quantity Data'!E53</f>
        <v>67.256000999999998</v>
      </c>
      <c r="C22" s="77">
        <f t="shared" ca="1" si="0"/>
        <v>5084.6329999999998</v>
      </c>
      <c r="D22" s="88">
        <f t="shared" ca="1" si="1"/>
        <v>75.601179439735049</v>
      </c>
    </row>
    <row r="23" spans="1:4" x14ac:dyDescent="0.2">
      <c r="A23" s="95">
        <v>1990</v>
      </c>
      <c r="B23" s="87">
        <f>'MER Quantity Data'!E54</f>
        <v>68.490245000000002</v>
      </c>
      <c r="C23" s="77">
        <f t="shared" ca="1" si="0"/>
        <v>5037.9750000000004</v>
      </c>
      <c r="D23" s="88">
        <f t="shared" ca="1" si="1"/>
        <v>73.557555532178341</v>
      </c>
    </row>
    <row r="24" spans="1:4" x14ac:dyDescent="0.2">
      <c r="A24" s="95">
        <v>1991</v>
      </c>
      <c r="B24" s="87">
        <f>'MER Quantity Data'!E55</f>
        <v>68.154712000000004</v>
      </c>
      <c r="C24" s="77">
        <f t="shared" ca="1" si="0"/>
        <v>4990.8040000000001</v>
      </c>
      <c r="D24" s="88">
        <f t="shared" ca="1" si="1"/>
        <v>73.227570824450112</v>
      </c>
    </row>
    <row r="25" spans="1:4" x14ac:dyDescent="0.2">
      <c r="A25" s="95">
        <v>1992</v>
      </c>
      <c r="B25" s="87">
        <f>'MER Quantity Data'!E56</f>
        <v>68.025634999999994</v>
      </c>
      <c r="C25" s="77">
        <f t="shared" ca="1" si="0"/>
        <v>5088.7550000000001</v>
      </c>
      <c r="D25" s="88">
        <f t="shared" ca="1" si="1"/>
        <v>74.806431428387256</v>
      </c>
    </row>
    <row r="26" spans="1:4" x14ac:dyDescent="0.2">
      <c r="A26" s="95">
        <v>1993</v>
      </c>
      <c r="B26" s="87">
        <f>'MER Quantity Data'!E57</f>
        <v>66.198081000000002</v>
      </c>
      <c r="C26" s="77">
        <f t="shared" ca="1" si="0"/>
        <v>5182.0360000000001</v>
      </c>
      <c r="D26" s="88">
        <f t="shared" ca="1" si="1"/>
        <v>78.28075862199087</v>
      </c>
    </row>
    <row r="27" spans="1:4" x14ac:dyDescent="0.2">
      <c r="A27" s="95">
        <v>1994</v>
      </c>
      <c r="B27" s="87">
        <f>'MER Quantity Data'!E58</f>
        <v>68.752384000000006</v>
      </c>
      <c r="C27" s="77">
        <f t="shared" ca="1" si="0"/>
        <v>5262.0420000000004</v>
      </c>
      <c r="D27" s="88">
        <f t="shared" ca="1" si="1"/>
        <v>76.536138732294717</v>
      </c>
    </row>
    <row r="28" spans="1:4" x14ac:dyDescent="0.2">
      <c r="A28" s="95">
        <v>1995</v>
      </c>
      <c r="B28" s="87">
        <f>'MER Quantity Data'!E59</f>
        <v>68.866415000000003</v>
      </c>
      <c r="C28" s="77">
        <f t="shared" ca="1" si="0"/>
        <v>5324.415</v>
      </c>
      <c r="D28" s="88">
        <f t="shared" ca="1" si="1"/>
        <v>77.315117971510489</v>
      </c>
    </row>
    <row r="29" spans="1:4" x14ac:dyDescent="0.2">
      <c r="A29" s="95">
        <v>1996</v>
      </c>
      <c r="B29" s="87">
        <f>'MER Quantity Data'!E60</f>
        <v>69.904325999999998</v>
      </c>
      <c r="C29" s="77">
        <f t="shared" ca="1" si="0"/>
        <v>5518.1409999999996</v>
      </c>
      <c r="D29" s="88">
        <f t="shared" ca="1" si="1"/>
        <v>78.93847656867473</v>
      </c>
    </row>
    <row r="30" spans="1:4" x14ac:dyDescent="0.2">
      <c r="A30" s="95">
        <v>1997</v>
      </c>
      <c r="B30" s="87">
        <f>'MER Quantity Data'!E61</f>
        <v>69.869337999999999</v>
      </c>
      <c r="C30" s="77">
        <f t="shared" ca="1" si="0"/>
        <v>5589.4539999999997</v>
      </c>
      <c r="D30" s="88">
        <f t="shared" ca="1" si="1"/>
        <v>79.998668371525142</v>
      </c>
    </row>
    <row r="31" spans="1:4" x14ac:dyDescent="0.2">
      <c r="A31" s="95">
        <v>1998</v>
      </c>
      <c r="B31" s="87">
        <f>'MER Quantity Data'!E62</f>
        <v>70.507864999999995</v>
      </c>
      <c r="C31" s="77">
        <f t="shared" ca="1" si="0"/>
        <v>5636.8620000000001</v>
      </c>
      <c r="D31" s="88">
        <f t="shared" ca="1" si="1"/>
        <v>79.946570499617323</v>
      </c>
    </row>
    <row r="32" spans="1:4" x14ac:dyDescent="0.2">
      <c r="A32" s="95">
        <v>1999</v>
      </c>
      <c r="B32" s="87">
        <f>'MER Quantity Data'!E63</f>
        <v>69.372653999999997</v>
      </c>
      <c r="C32" s="77">
        <f t="shared" ca="1" si="0"/>
        <v>5700.3890000000001</v>
      </c>
      <c r="D32" s="88">
        <f t="shared" ca="1" si="1"/>
        <v>82.170548066389387</v>
      </c>
    </row>
    <row r="33" spans="1:4" x14ac:dyDescent="0.2">
      <c r="A33" s="95">
        <v>2000</v>
      </c>
      <c r="B33" s="87">
        <f>'MER Quantity Data'!E64</f>
        <v>69.261955999999998</v>
      </c>
      <c r="C33" s="77">
        <f t="shared" ca="1" si="0"/>
        <v>5888.7309999999998</v>
      </c>
      <c r="D33" s="88">
        <f t="shared" ca="1" si="1"/>
        <v>85.021147828975543</v>
      </c>
    </row>
    <row r="34" spans="1:4" x14ac:dyDescent="0.2">
      <c r="A34" s="95">
        <v>2001</v>
      </c>
      <c r="B34" s="87">
        <f>'MER Quantity Data'!E65</f>
        <v>70.027349999999998</v>
      </c>
      <c r="C34" s="77">
        <f t="shared" ca="1" si="0"/>
        <v>5777.924</v>
      </c>
      <c r="D34" s="88">
        <f t="shared" ca="1" si="1"/>
        <v>82.5095337750179</v>
      </c>
    </row>
    <row r="35" spans="1:4" x14ac:dyDescent="0.2">
      <c r="A35" s="95">
        <v>2002</v>
      </c>
      <c r="B35" s="87">
        <f>'MER Quantity Data'!E66</f>
        <v>68.693081000000006</v>
      </c>
      <c r="C35" s="77">
        <f t="shared" ca="1" si="0"/>
        <v>5820.1769999999997</v>
      </c>
      <c r="D35" s="88">
        <f t="shared" ca="1" si="1"/>
        <v>84.727266782516267</v>
      </c>
    </row>
    <row r="36" spans="1:4" x14ac:dyDescent="0.2">
      <c r="A36" s="95">
        <v>2003</v>
      </c>
      <c r="B36" s="87">
        <f>'MER Quantity Data'!E67</f>
        <v>67.856392</v>
      </c>
      <c r="C36" s="77">
        <f t="shared" ca="1" si="0"/>
        <v>5886.5680000000002</v>
      </c>
      <c r="D36" s="88">
        <f t="shared" ca="1" si="1"/>
        <v>86.750383073712499</v>
      </c>
    </row>
    <row r="37" spans="1:4" x14ac:dyDescent="0.2">
      <c r="A37" s="95">
        <v>2004</v>
      </c>
      <c r="B37" s="87">
        <f>'MER Quantity Data'!E68</f>
        <v>68.200265000000002</v>
      </c>
      <c r="C37" s="77">
        <f t="shared" ca="1" si="0"/>
        <v>5993.8819999999996</v>
      </c>
      <c r="D37" s="88">
        <f t="shared" ca="1" si="1"/>
        <v>87.886491350143572</v>
      </c>
    </row>
    <row r="38" spans="1:4" x14ac:dyDescent="0.2">
      <c r="A38" s="95">
        <v>2005</v>
      </c>
      <c r="B38" s="87">
        <f>'MER Quantity Data'!E69</f>
        <v>67.376270000000005</v>
      </c>
      <c r="C38" s="77">
        <f t="shared" ref="C38:C54" ca="1" si="2">VLOOKUP($A38,INDIRECT(C$1),MATCH(C$2,INDIRECT(C$1&amp;"_col"),),)</f>
        <v>6007.1490000000003</v>
      </c>
      <c r="D38" s="88">
        <f t="shared" ca="1" si="1"/>
        <v>89.158230338366906</v>
      </c>
    </row>
    <row r="39" spans="1:4" x14ac:dyDescent="0.2">
      <c r="A39" s="95">
        <v>2006</v>
      </c>
      <c r="B39" s="87">
        <f>'MER Quantity Data'!E70</f>
        <v>68.520979999999994</v>
      </c>
      <c r="C39" s="77">
        <f t="shared" ca="1" si="2"/>
        <v>5929.4960000000001</v>
      </c>
      <c r="D39" s="88">
        <f t="shared" ca="1" si="1"/>
        <v>86.535481541565815</v>
      </c>
    </row>
    <row r="40" spans="1:4" x14ac:dyDescent="0.2">
      <c r="A40" s="95">
        <v>2007</v>
      </c>
      <c r="B40" s="87">
        <f>'MER Quantity Data'!E71</f>
        <v>69.409818000000001</v>
      </c>
      <c r="C40" s="77">
        <f t="shared" ca="1" si="2"/>
        <v>6015.6970000000001</v>
      </c>
      <c r="D40" s="88">
        <f t="shared" ca="1" si="1"/>
        <v>86.669251891713643</v>
      </c>
    </row>
    <row r="41" spans="1:4" x14ac:dyDescent="0.2">
      <c r="A41" s="95">
        <v>2008</v>
      </c>
      <c r="B41" s="87">
        <f>'MER Quantity Data'!E72</f>
        <v>71.037906000000007</v>
      </c>
      <c r="C41" s="77">
        <f t="shared" ca="1" si="2"/>
        <v>5823.2740000000003</v>
      </c>
      <c r="D41" s="88">
        <f t="shared" ca="1" si="1"/>
        <v>81.974178687080098</v>
      </c>
    </row>
    <row r="42" spans="1:4" x14ac:dyDescent="0.2">
      <c r="A42" s="95">
        <v>2009</v>
      </c>
      <c r="B42" s="87">
        <f>'MER Quantity Data'!E73</f>
        <v>70.275914999999998</v>
      </c>
      <c r="C42" s="77">
        <f t="shared" ca="1" si="2"/>
        <v>5403.8280000000004</v>
      </c>
      <c r="D42" s="88">
        <f t="shared" ca="1" si="1"/>
        <v>76.894452388133274</v>
      </c>
    </row>
    <row r="43" spans="1:4" x14ac:dyDescent="0.2">
      <c r="A43" s="95">
        <v>2010</v>
      </c>
      <c r="B43" s="87">
        <f>'MER Quantity Data'!E74</f>
        <v>72.536302000000006</v>
      </c>
      <c r="C43" s="77">
        <f t="shared" ca="1" si="2"/>
        <v>5593.8159999999998</v>
      </c>
      <c r="D43" s="88">
        <f t="shared" ca="1" si="1"/>
        <v>77.117468712424838</v>
      </c>
    </row>
    <row r="44" spans="1:4" x14ac:dyDescent="0.2">
      <c r="A44" s="95">
        <v>2011</v>
      </c>
      <c r="B44" s="87">
        <f>'MER Quantity Data'!E75</f>
        <v>75.202197999999996</v>
      </c>
      <c r="C44" s="77">
        <f t="shared" ca="1" si="2"/>
        <v>5454.8509999999997</v>
      </c>
      <c r="D44" s="88">
        <f t="shared" ca="1" si="1"/>
        <v>72.53579210543819</v>
      </c>
    </row>
    <row r="45" spans="1:4" x14ac:dyDescent="0.2">
      <c r="A45" s="95">
        <v>2012</v>
      </c>
      <c r="B45" s="87">
        <f>'MER Quantity Data'!E76</f>
        <v>76.546535000000006</v>
      </c>
      <c r="C45" s="77">
        <f t="shared" ca="1" si="2"/>
        <v>5236.4780000000001</v>
      </c>
      <c r="D45" s="88">
        <f t="shared" ca="1" si="1"/>
        <v>68.409079522672059</v>
      </c>
    </row>
    <row r="46" spans="1:4" x14ac:dyDescent="0.2">
      <c r="A46" s="95">
        <v>2013</v>
      </c>
      <c r="B46" s="87">
        <f>'MER Quantity Data'!E77</f>
        <v>78.984737999999993</v>
      </c>
      <c r="C46" s="77">
        <f t="shared" ca="1" si="2"/>
        <v>5359.0169999999998</v>
      </c>
      <c r="D46" s="88">
        <f t="shared" ca="1" si="1"/>
        <v>67.848765922348193</v>
      </c>
    </row>
    <row r="47" spans="1:4" x14ac:dyDescent="0.2">
      <c r="A47" s="95">
        <v>2014</v>
      </c>
      <c r="B47" s="87">
        <f>'MER Quantity Data'!E78</f>
        <v>84.792141999999998</v>
      </c>
      <c r="C47" s="77">
        <f t="shared" ca="1" si="2"/>
        <v>5414.0280000000002</v>
      </c>
      <c r="D47" s="88">
        <f t="shared" ca="1" si="1"/>
        <v>63.850586531945382</v>
      </c>
    </row>
    <row r="48" spans="1:4" x14ac:dyDescent="0.2">
      <c r="A48" s="95">
        <v>2015</v>
      </c>
      <c r="B48" s="87">
        <f>'MER Quantity Data'!E79</f>
        <v>85.369091999999995</v>
      </c>
      <c r="C48" s="77">
        <f t="shared" ca="1" si="2"/>
        <v>5262.2</v>
      </c>
      <c r="D48" s="88">
        <f t="shared" ca="1" si="1"/>
        <v>61.640575959271068</v>
      </c>
    </row>
    <row r="49" spans="1:4" x14ac:dyDescent="0.2">
      <c r="A49" s="95">
        <v>2016</v>
      </c>
      <c r="B49" s="87">
        <f>'MER Quantity Data'!E80</f>
        <v>81.049728999999999</v>
      </c>
      <c r="C49" s="77">
        <f t="shared" ca="1" si="2"/>
        <v>5169.0439999999999</v>
      </c>
      <c r="D49" s="88">
        <f t="shared" ca="1" si="1"/>
        <v>63.776203372623243</v>
      </c>
    </row>
    <row r="50" spans="1:4" x14ac:dyDescent="0.2">
      <c r="A50" s="95">
        <v>2017</v>
      </c>
      <c r="B50" s="87">
        <f>'MER Quantity Data'!E81</f>
        <v>84.371981000000005</v>
      </c>
      <c r="C50" s="77">
        <f t="shared" ca="1" si="2"/>
        <v>5131.5290000000005</v>
      </c>
      <c r="D50" s="88">
        <f t="shared" ca="1" si="1"/>
        <v>60.820297676784428</v>
      </c>
    </row>
    <row r="51" spans="1:4" x14ac:dyDescent="0.2">
      <c r="A51" s="95">
        <v>2018</v>
      </c>
      <c r="B51" s="87">
        <f>'MER Quantity Data'!E82</f>
        <v>91.962733</v>
      </c>
      <c r="C51" s="77">
        <f t="shared" ca="1" si="2"/>
        <v>5277.8819999999996</v>
      </c>
      <c r="D51" s="88">
        <f t="shared" ca="1" si="1"/>
        <v>57.391530545313387</v>
      </c>
    </row>
    <row r="52" spans="1:4" x14ac:dyDescent="0.2">
      <c r="A52" s="95">
        <v>2019</v>
      </c>
      <c r="B52" s="87">
        <f>'MER Quantity Data'!E83</f>
        <v>97.603560000000002</v>
      </c>
      <c r="C52" s="77">
        <f t="shared" ca="1" si="2"/>
        <v>5146.9930000000004</v>
      </c>
      <c r="D52" s="88">
        <f t="shared" ca="1" si="1"/>
        <v>52.733660534513291</v>
      </c>
    </row>
    <row r="53" spans="1:4" x14ac:dyDescent="0.2">
      <c r="A53" s="95">
        <v>2020</v>
      </c>
      <c r="B53" s="87">
        <f>'MER Quantity Data'!E84</f>
        <v>91.531221000000002</v>
      </c>
      <c r="C53" s="77">
        <f t="shared" ca="1" si="2"/>
        <v>4580.5119999999997</v>
      </c>
      <c r="D53" s="88">
        <f t="shared" ca="1" si="1"/>
        <v>50.043165052938598</v>
      </c>
    </row>
    <row r="54" spans="1:4" x14ac:dyDescent="0.2">
      <c r="A54" s="95">
        <v>2021</v>
      </c>
      <c r="B54" s="87">
        <f>'MER Quantity Data'!E85</f>
        <v>93.829441000000003</v>
      </c>
      <c r="C54" s="77">
        <f t="shared" ca="1" si="2"/>
        <v>4903.5720000000001</v>
      </c>
      <c r="D54" s="88">
        <f t="shared" ca="1" si="1"/>
        <v>52.260483998833585</v>
      </c>
    </row>
    <row r="55" spans="1:4" x14ac:dyDescent="0.2">
      <c r="A55" s="95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0613-024D-E44D-B200-934F07284B26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D950-9F7F-D44E-A7CC-17E29A5BDE86}">
  <dimension ref="A1:H86"/>
  <sheetViews>
    <sheetView workbookViewId="0">
      <pane xSplit="1" ySplit="12" topLeftCell="C13" activePane="bottomRight" state="frozen"/>
      <selection pane="topRight" activeCell="B1" sqref="B1"/>
      <selection pane="bottomLeft" activeCell="A13" sqref="A13"/>
      <selection pane="bottomRight"/>
    </sheetView>
  </sheetViews>
  <sheetFormatPr baseColWidth="10" defaultColWidth="8.83203125" defaultRowHeight="16" x14ac:dyDescent="0.2"/>
  <cols>
    <col min="1" max="1" width="92.33203125" bestFit="1" customWidth="1"/>
    <col min="2" max="2" width="43.83203125" bestFit="1" customWidth="1"/>
    <col min="3" max="3" width="35.33203125" bestFit="1" customWidth="1"/>
    <col min="4" max="4" width="42.6640625" bestFit="1" customWidth="1"/>
    <col min="5" max="5" width="39.5" bestFit="1" customWidth="1"/>
    <col min="6" max="6" width="36.33203125" bestFit="1" customWidth="1"/>
    <col min="7" max="7" width="55.5" bestFit="1" customWidth="1"/>
    <col min="8" max="8" width="37.33203125" bestFit="1" customWidth="1"/>
  </cols>
  <sheetData>
    <row r="1" spans="1:8" ht="19" x14ac:dyDescent="0.25">
      <c r="A1" s="69" t="s">
        <v>1427</v>
      </c>
    </row>
    <row r="2" spans="1:8" ht="19" x14ac:dyDescent="0.25">
      <c r="A2" s="70" t="s">
        <v>1555</v>
      </c>
    </row>
    <row r="4" spans="1:8" x14ac:dyDescent="0.2">
      <c r="A4" s="71" t="str">
        <f>HYPERLINK("http://www.eia.gov/totalenergy/data/monthly/dataunits.cfm","Note: Information about data precision.")</f>
        <v>Note: Information about data precision.</v>
      </c>
    </row>
    <row r="6" spans="1:8" x14ac:dyDescent="0.2">
      <c r="A6" t="s">
        <v>1556</v>
      </c>
    </row>
    <row r="7" spans="1:8" x14ac:dyDescent="0.2">
      <c r="A7" t="s">
        <v>1557</v>
      </c>
    </row>
    <row r="9" spans="1:8" x14ac:dyDescent="0.2">
      <c r="A9" s="72" t="s">
        <v>1430</v>
      </c>
    </row>
    <row r="11" spans="1:8" x14ac:dyDescent="0.2">
      <c r="A11" s="73" t="s">
        <v>1422</v>
      </c>
      <c r="B11" s="73" t="s">
        <v>1431</v>
      </c>
      <c r="C11" s="73" t="s">
        <v>1432</v>
      </c>
      <c r="D11" s="73" t="s">
        <v>1433</v>
      </c>
      <c r="E11" s="73" t="s">
        <v>1434</v>
      </c>
      <c r="F11" s="73" t="s">
        <v>1435</v>
      </c>
      <c r="G11" s="73" t="s">
        <v>1436</v>
      </c>
      <c r="H11" s="73" t="s">
        <v>1437</v>
      </c>
    </row>
    <row r="12" spans="1:8" x14ac:dyDescent="0.2">
      <c r="A12" s="100" t="s">
        <v>1491</v>
      </c>
      <c r="B12" s="73" t="s">
        <v>1438</v>
      </c>
      <c r="C12" s="73" t="s">
        <v>1438</v>
      </c>
      <c r="D12" s="73" t="s">
        <v>1439</v>
      </c>
      <c r="E12" s="73" t="s">
        <v>1440</v>
      </c>
      <c r="F12" s="73" t="s">
        <v>1441</v>
      </c>
      <c r="G12" s="73" t="s">
        <v>1442</v>
      </c>
      <c r="H12" s="73" t="s">
        <v>1440</v>
      </c>
    </row>
    <row r="13" spans="1:8" x14ac:dyDescent="0.2">
      <c r="A13" s="22">
        <v>1949</v>
      </c>
      <c r="B13">
        <v>149.19999999999999</v>
      </c>
      <c r="C13" t="s">
        <v>1443</v>
      </c>
      <c r="D13" t="s">
        <v>1443</v>
      </c>
      <c r="E13">
        <v>272.5</v>
      </c>
      <c r="F13">
        <v>2108</v>
      </c>
      <c r="G13">
        <v>0.12926000000000001</v>
      </c>
      <c r="H13">
        <v>510.3</v>
      </c>
    </row>
    <row r="14" spans="1:8" x14ac:dyDescent="0.2">
      <c r="A14" s="22">
        <v>1950</v>
      </c>
      <c r="B14">
        <v>152.30000000000001</v>
      </c>
      <c r="C14">
        <v>2557.6</v>
      </c>
      <c r="D14">
        <v>6</v>
      </c>
      <c r="E14">
        <v>299.8</v>
      </c>
      <c r="F14">
        <v>2291.1</v>
      </c>
      <c r="G14">
        <v>0.13086999999999999</v>
      </c>
      <c r="H14">
        <v>577.79999999999995</v>
      </c>
    </row>
    <row r="15" spans="1:8" x14ac:dyDescent="0.2">
      <c r="A15" s="22">
        <v>1951</v>
      </c>
      <c r="B15">
        <v>154.9</v>
      </c>
      <c r="C15">
        <v>2594.9</v>
      </c>
      <c r="D15">
        <v>6</v>
      </c>
      <c r="E15">
        <v>346.9</v>
      </c>
      <c r="F15">
        <v>2475.4</v>
      </c>
      <c r="G15">
        <v>0.14013999999999999</v>
      </c>
      <c r="H15">
        <v>654.6</v>
      </c>
    </row>
    <row r="16" spans="1:8" x14ac:dyDescent="0.2">
      <c r="A16" s="22">
        <v>1952</v>
      </c>
      <c r="B16">
        <v>157.6</v>
      </c>
      <c r="C16">
        <v>2636.8</v>
      </c>
      <c r="D16">
        <v>6</v>
      </c>
      <c r="E16">
        <v>367.3</v>
      </c>
      <c r="F16">
        <v>2576.6999999999998</v>
      </c>
      <c r="G16">
        <v>0.14255999999999999</v>
      </c>
      <c r="H16">
        <v>686</v>
      </c>
    </row>
    <row r="17" spans="1:8" x14ac:dyDescent="0.2">
      <c r="A17" s="22">
        <v>1953</v>
      </c>
      <c r="B17">
        <v>160.19999999999999</v>
      </c>
      <c r="C17">
        <v>2682.1</v>
      </c>
      <c r="D17">
        <v>6</v>
      </c>
      <c r="E17">
        <v>389.2</v>
      </c>
      <c r="F17">
        <v>2697.5</v>
      </c>
      <c r="G17">
        <v>0.14429</v>
      </c>
      <c r="H17">
        <v>739.2</v>
      </c>
    </row>
    <row r="18" spans="1:8" x14ac:dyDescent="0.2">
      <c r="A18" s="22">
        <v>1954</v>
      </c>
      <c r="B18">
        <v>163</v>
      </c>
      <c r="C18">
        <v>2730.2</v>
      </c>
      <c r="D18">
        <v>6</v>
      </c>
      <c r="E18">
        <v>390.5</v>
      </c>
      <c r="F18">
        <v>2681.9</v>
      </c>
      <c r="G18">
        <v>0.14563000000000001</v>
      </c>
      <c r="H18">
        <v>739.9</v>
      </c>
    </row>
    <row r="19" spans="1:8" x14ac:dyDescent="0.2">
      <c r="A19" s="22">
        <v>1955</v>
      </c>
      <c r="B19">
        <v>165.9</v>
      </c>
      <c r="C19">
        <v>2782.1</v>
      </c>
      <c r="D19">
        <v>6</v>
      </c>
      <c r="E19">
        <v>425.5</v>
      </c>
      <c r="F19">
        <v>2873.2</v>
      </c>
      <c r="G19">
        <v>0.14809</v>
      </c>
      <c r="H19">
        <v>802.6</v>
      </c>
    </row>
    <row r="20" spans="1:8" x14ac:dyDescent="0.2">
      <c r="A20" s="22">
        <v>1956</v>
      </c>
      <c r="B20">
        <v>168.9</v>
      </c>
      <c r="C20">
        <v>2835.3</v>
      </c>
      <c r="D20">
        <v>6</v>
      </c>
      <c r="E20">
        <v>449.4</v>
      </c>
      <c r="F20">
        <v>2934.4</v>
      </c>
      <c r="G20">
        <v>0.15312999999999999</v>
      </c>
      <c r="H20">
        <v>841.8</v>
      </c>
    </row>
    <row r="21" spans="1:8" x14ac:dyDescent="0.2">
      <c r="A21" s="22">
        <v>1957</v>
      </c>
      <c r="B21">
        <v>172</v>
      </c>
      <c r="C21">
        <v>2891.4</v>
      </c>
      <c r="D21">
        <v>5.9</v>
      </c>
      <c r="E21">
        <v>474</v>
      </c>
      <c r="F21">
        <v>2996.2</v>
      </c>
      <c r="G21">
        <v>0.15820999999999999</v>
      </c>
      <c r="H21">
        <v>875.5</v>
      </c>
    </row>
    <row r="22" spans="1:8" x14ac:dyDescent="0.2">
      <c r="A22" s="22">
        <v>1958</v>
      </c>
      <c r="B22">
        <v>174.9</v>
      </c>
      <c r="C22">
        <v>2948.2</v>
      </c>
      <c r="D22">
        <v>5.9</v>
      </c>
      <c r="E22">
        <v>481.2</v>
      </c>
      <c r="F22">
        <v>2974</v>
      </c>
      <c r="G22">
        <v>0.16181000000000001</v>
      </c>
      <c r="H22">
        <v>897.5</v>
      </c>
    </row>
    <row r="23" spans="1:8" x14ac:dyDescent="0.2">
      <c r="A23" s="22">
        <v>1959</v>
      </c>
      <c r="B23">
        <v>177.8</v>
      </c>
      <c r="C23">
        <v>3000.7</v>
      </c>
      <c r="D23">
        <v>5.9</v>
      </c>
      <c r="E23">
        <v>521.70000000000005</v>
      </c>
      <c r="F23">
        <v>3180.2</v>
      </c>
      <c r="G23">
        <v>0.16403000000000001</v>
      </c>
      <c r="H23">
        <v>978.9</v>
      </c>
    </row>
    <row r="24" spans="1:8" x14ac:dyDescent="0.2">
      <c r="A24" s="22">
        <v>1960</v>
      </c>
      <c r="B24">
        <v>180.7</v>
      </c>
      <c r="C24">
        <v>3043</v>
      </c>
      <c r="D24">
        <v>5.9</v>
      </c>
      <c r="E24">
        <v>542.4</v>
      </c>
      <c r="F24">
        <v>3262.1</v>
      </c>
      <c r="G24">
        <v>0.16627</v>
      </c>
      <c r="H24">
        <v>1006</v>
      </c>
    </row>
    <row r="25" spans="1:8" x14ac:dyDescent="0.2">
      <c r="A25" s="22">
        <v>1961</v>
      </c>
      <c r="B25">
        <v>183.7</v>
      </c>
      <c r="C25">
        <v>3084.1</v>
      </c>
      <c r="D25">
        <v>6</v>
      </c>
      <c r="E25">
        <v>562.20000000000005</v>
      </c>
      <c r="F25">
        <v>3345.7</v>
      </c>
      <c r="G25">
        <v>0.16803999999999999</v>
      </c>
      <c r="H25">
        <v>1029.7</v>
      </c>
    </row>
    <row r="26" spans="1:8" x14ac:dyDescent="0.2">
      <c r="A26" s="22">
        <v>1962</v>
      </c>
      <c r="B26">
        <v>186.5</v>
      </c>
      <c r="C26">
        <v>3140.2</v>
      </c>
      <c r="D26">
        <v>5.9</v>
      </c>
      <c r="E26">
        <v>603.9</v>
      </c>
      <c r="F26">
        <v>3550.7</v>
      </c>
      <c r="G26">
        <v>0.17008999999999999</v>
      </c>
      <c r="H26">
        <v>1105.5</v>
      </c>
    </row>
    <row r="27" spans="1:8" x14ac:dyDescent="0.2">
      <c r="A27" s="22">
        <v>1963</v>
      </c>
      <c r="B27">
        <v>189.2</v>
      </c>
      <c r="C27">
        <v>3210</v>
      </c>
      <c r="D27">
        <v>5.9</v>
      </c>
      <c r="E27">
        <v>637.5</v>
      </c>
      <c r="F27">
        <v>3705.3</v>
      </c>
      <c r="G27">
        <v>0.17204</v>
      </c>
      <c r="H27">
        <v>1163</v>
      </c>
    </row>
    <row r="28" spans="1:8" x14ac:dyDescent="0.2">
      <c r="A28" s="22">
        <v>1964</v>
      </c>
      <c r="B28">
        <v>191.9</v>
      </c>
      <c r="C28">
        <v>3281.5</v>
      </c>
      <c r="D28">
        <v>5.8</v>
      </c>
      <c r="E28">
        <v>684.5</v>
      </c>
      <c r="F28">
        <v>3918.8</v>
      </c>
      <c r="G28">
        <v>0.17466000000000001</v>
      </c>
      <c r="H28">
        <v>1242.7</v>
      </c>
    </row>
    <row r="29" spans="1:8" x14ac:dyDescent="0.2">
      <c r="A29" s="22">
        <v>1965</v>
      </c>
      <c r="B29">
        <v>194.3</v>
      </c>
      <c r="C29">
        <v>3350.8</v>
      </c>
      <c r="D29">
        <v>5.8</v>
      </c>
      <c r="E29">
        <v>742.3</v>
      </c>
      <c r="F29">
        <v>4173.3999999999996</v>
      </c>
      <c r="G29">
        <v>0.17785999999999999</v>
      </c>
      <c r="H29">
        <v>1356</v>
      </c>
    </row>
    <row r="30" spans="1:8" x14ac:dyDescent="0.2">
      <c r="A30" s="22">
        <v>1966</v>
      </c>
      <c r="B30">
        <v>196.6</v>
      </c>
      <c r="C30">
        <v>3421.1</v>
      </c>
      <c r="D30">
        <v>5.7</v>
      </c>
      <c r="E30">
        <v>813.4</v>
      </c>
      <c r="F30">
        <v>4448.7</v>
      </c>
      <c r="G30">
        <v>0.18284</v>
      </c>
      <c r="H30">
        <v>1479.2</v>
      </c>
    </row>
    <row r="31" spans="1:8" x14ac:dyDescent="0.2">
      <c r="A31" s="22">
        <v>1967</v>
      </c>
      <c r="B31">
        <v>198.7</v>
      </c>
      <c r="C31">
        <v>3490.8</v>
      </c>
      <c r="D31">
        <v>5.7</v>
      </c>
      <c r="E31">
        <v>860</v>
      </c>
      <c r="F31">
        <v>4570.7</v>
      </c>
      <c r="G31">
        <v>0.18815000000000001</v>
      </c>
      <c r="H31">
        <v>1555</v>
      </c>
    </row>
    <row r="32" spans="1:8" x14ac:dyDescent="0.2">
      <c r="A32" s="22">
        <v>1968</v>
      </c>
      <c r="B32">
        <v>200.7</v>
      </c>
      <c r="C32">
        <v>3562.9</v>
      </c>
      <c r="D32">
        <v>5.6</v>
      </c>
      <c r="E32">
        <v>940.7</v>
      </c>
      <c r="F32">
        <v>4795.3999999999996</v>
      </c>
      <c r="G32">
        <v>0.19616</v>
      </c>
      <c r="H32">
        <v>1689.8</v>
      </c>
    </row>
    <row r="33" spans="1:8" x14ac:dyDescent="0.2">
      <c r="A33" s="22">
        <v>1969</v>
      </c>
      <c r="B33">
        <v>202.7</v>
      </c>
      <c r="C33">
        <v>3637.8</v>
      </c>
      <c r="D33">
        <v>5.6</v>
      </c>
      <c r="E33">
        <v>1017.6</v>
      </c>
      <c r="F33">
        <v>4945.2</v>
      </c>
      <c r="G33">
        <v>0.20577999999999999</v>
      </c>
      <c r="H33">
        <v>1824.9</v>
      </c>
    </row>
    <row r="34" spans="1:8" x14ac:dyDescent="0.2">
      <c r="A34" s="22">
        <v>1970</v>
      </c>
      <c r="B34">
        <v>205.1</v>
      </c>
      <c r="C34">
        <v>3713.5</v>
      </c>
      <c r="D34">
        <v>5.5</v>
      </c>
      <c r="E34">
        <v>1073.3</v>
      </c>
      <c r="F34">
        <v>4954.3999999999996</v>
      </c>
      <c r="G34">
        <v>0.21662999999999999</v>
      </c>
      <c r="H34">
        <v>1903</v>
      </c>
    </row>
    <row r="35" spans="1:8" x14ac:dyDescent="0.2">
      <c r="A35" s="22">
        <v>1971</v>
      </c>
      <c r="B35">
        <v>207.7</v>
      </c>
      <c r="C35">
        <v>3791.2</v>
      </c>
      <c r="D35">
        <v>5.5</v>
      </c>
      <c r="E35">
        <v>1164.9000000000001</v>
      </c>
      <c r="F35">
        <v>5117.6000000000004</v>
      </c>
      <c r="G35">
        <v>0.22761999999999999</v>
      </c>
      <c r="H35">
        <v>2049.3000000000002</v>
      </c>
    </row>
    <row r="36" spans="1:8" x14ac:dyDescent="0.2">
      <c r="A36" s="22">
        <v>1972</v>
      </c>
      <c r="B36">
        <v>209.9</v>
      </c>
      <c r="C36">
        <v>3867.5</v>
      </c>
      <c r="D36">
        <v>5.4</v>
      </c>
      <c r="E36">
        <v>1279.0999999999999</v>
      </c>
      <c r="F36">
        <v>5386.7</v>
      </c>
      <c r="G36">
        <v>0.23746</v>
      </c>
      <c r="H36">
        <v>2273.6999999999998</v>
      </c>
    </row>
    <row r="37" spans="1:8" x14ac:dyDescent="0.2">
      <c r="A37" s="22">
        <v>1973</v>
      </c>
      <c r="B37">
        <v>211.9</v>
      </c>
      <c r="C37">
        <v>3943.1</v>
      </c>
      <c r="D37">
        <v>5.4</v>
      </c>
      <c r="E37">
        <v>1425.4</v>
      </c>
      <c r="F37">
        <v>5690.9</v>
      </c>
      <c r="G37">
        <v>0.25047000000000003</v>
      </c>
      <c r="H37">
        <v>2556</v>
      </c>
    </row>
    <row r="38" spans="1:8" x14ac:dyDescent="0.2">
      <c r="A38" s="22">
        <v>1974</v>
      </c>
      <c r="B38">
        <v>213.9</v>
      </c>
      <c r="C38">
        <v>4017.8</v>
      </c>
      <c r="D38">
        <v>5.3</v>
      </c>
      <c r="E38">
        <v>1545.2</v>
      </c>
      <c r="F38">
        <v>5660.1</v>
      </c>
      <c r="G38">
        <v>0.27300999999999997</v>
      </c>
      <c r="H38">
        <v>2877.8</v>
      </c>
    </row>
    <row r="39" spans="1:8" x14ac:dyDescent="0.2">
      <c r="A39" s="22">
        <v>1975</v>
      </c>
      <c r="B39">
        <v>216</v>
      </c>
      <c r="C39">
        <v>4089.4</v>
      </c>
      <c r="D39">
        <v>5.3</v>
      </c>
      <c r="E39">
        <v>1684.9</v>
      </c>
      <c r="F39">
        <v>5648.5</v>
      </c>
      <c r="G39">
        <v>0.29829</v>
      </c>
      <c r="H39">
        <v>3055.3</v>
      </c>
    </row>
    <row r="40" spans="1:8" x14ac:dyDescent="0.2">
      <c r="A40" s="22">
        <v>1976</v>
      </c>
      <c r="B40">
        <v>218</v>
      </c>
      <c r="C40">
        <v>4159.5</v>
      </c>
      <c r="D40">
        <v>5.2</v>
      </c>
      <c r="E40">
        <v>1873.4</v>
      </c>
      <c r="F40">
        <v>5952.8</v>
      </c>
      <c r="G40">
        <v>0.31470999999999999</v>
      </c>
      <c r="H40">
        <v>3434.6</v>
      </c>
    </row>
    <row r="41" spans="1:8" x14ac:dyDescent="0.2">
      <c r="A41" s="22">
        <v>1977</v>
      </c>
      <c r="B41">
        <v>220.2</v>
      </c>
      <c r="C41">
        <v>4230.3999999999996</v>
      </c>
      <c r="D41">
        <v>5.2</v>
      </c>
      <c r="E41">
        <v>2081.8000000000002</v>
      </c>
      <c r="F41">
        <v>6228.1</v>
      </c>
      <c r="G41">
        <v>0.33426</v>
      </c>
      <c r="H41">
        <v>3872.7</v>
      </c>
    </row>
    <row r="42" spans="1:8" x14ac:dyDescent="0.2">
      <c r="A42" s="22">
        <v>1978</v>
      </c>
      <c r="B42">
        <v>222.6</v>
      </c>
      <c r="C42">
        <v>4301.3</v>
      </c>
      <c r="D42">
        <v>5.2</v>
      </c>
      <c r="E42">
        <v>2351.6</v>
      </c>
      <c r="F42">
        <v>6572.8</v>
      </c>
      <c r="G42">
        <v>0.35777999999999999</v>
      </c>
      <c r="H42">
        <v>4366.8</v>
      </c>
    </row>
    <row r="43" spans="1:8" x14ac:dyDescent="0.2">
      <c r="A43" s="22">
        <v>1979</v>
      </c>
      <c r="B43">
        <v>225.1</v>
      </c>
      <c r="C43">
        <v>4374.8999999999996</v>
      </c>
      <c r="D43">
        <v>5.0999999999999996</v>
      </c>
      <c r="E43">
        <v>2627.3</v>
      </c>
      <c r="F43">
        <v>6780.9</v>
      </c>
      <c r="G43">
        <v>0.38746000000000003</v>
      </c>
      <c r="H43">
        <v>4925.5</v>
      </c>
    </row>
    <row r="44" spans="1:8" x14ac:dyDescent="0.2">
      <c r="A44" s="22">
        <v>1980</v>
      </c>
      <c r="B44">
        <v>227.2</v>
      </c>
      <c r="C44">
        <v>4446</v>
      </c>
      <c r="D44">
        <v>5.0999999999999996</v>
      </c>
      <c r="E44">
        <v>2857.3</v>
      </c>
      <c r="F44">
        <v>6763.5</v>
      </c>
      <c r="G44">
        <v>0.42246</v>
      </c>
      <c r="H44">
        <v>5462</v>
      </c>
    </row>
    <row r="45" spans="1:8" x14ac:dyDescent="0.2">
      <c r="A45" s="22">
        <v>1981</v>
      </c>
      <c r="B45">
        <v>229.5</v>
      </c>
      <c r="C45">
        <v>4527.3999999999996</v>
      </c>
      <c r="D45">
        <v>5.0999999999999996</v>
      </c>
      <c r="E45">
        <v>3207</v>
      </c>
      <c r="F45">
        <v>6935.2</v>
      </c>
      <c r="G45">
        <v>0.46243000000000001</v>
      </c>
      <c r="H45">
        <v>6033.5</v>
      </c>
    </row>
    <row r="46" spans="1:8" x14ac:dyDescent="0.2">
      <c r="A46" s="22">
        <v>1982</v>
      </c>
      <c r="B46">
        <v>231.7</v>
      </c>
      <c r="C46">
        <v>4610.6000000000004</v>
      </c>
      <c r="D46">
        <v>5</v>
      </c>
      <c r="E46">
        <v>3343.8</v>
      </c>
      <c r="F46">
        <v>6810.1</v>
      </c>
      <c r="G46">
        <v>0.49099999999999999</v>
      </c>
      <c r="H46">
        <v>6175</v>
      </c>
    </row>
    <row r="47" spans="1:8" x14ac:dyDescent="0.2">
      <c r="A47" s="22">
        <v>1983</v>
      </c>
      <c r="B47">
        <v>233.8</v>
      </c>
      <c r="C47">
        <v>4694.8999999999996</v>
      </c>
      <c r="D47">
        <v>5</v>
      </c>
      <c r="E47">
        <v>3634</v>
      </c>
      <c r="F47">
        <v>7122.3</v>
      </c>
      <c r="G47">
        <v>0.51022999999999996</v>
      </c>
      <c r="H47">
        <v>6631</v>
      </c>
    </row>
    <row r="48" spans="1:8" x14ac:dyDescent="0.2">
      <c r="A48" s="22">
        <v>1984</v>
      </c>
      <c r="B48">
        <v>235.8</v>
      </c>
      <c r="C48">
        <v>4777.1000000000004</v>
      </c>
      <c r="D48">
        <v>4.9000000000000004</v>
      </c>
      <c r="E48">
        <v>4037.6</v>
      </c>
      <c r="F48">
        <v>7637.7</v>
      </c>
      <c r="G48">
        <v>0.52864</v>
      </c>
      <c r="H48">
        <v>7313.8</v>
      </c>
    </row>
    <row r="49" spans="1:8" x14ac:dyDescent="0.2">
      <c r="A49" s="22">
        <v>1985</v>
      </c>
      <c r="B49">
        <v>237.9</v>
      </c>
      <c r="C49">
        <v>4862.3</v>
      </c>
      <c r="D49">
        <v>4.9000000000000004</v>
      </c>
      <c r="E49">
        <v>4339</v>
      </c>
      <c r="F49">
        <v>7956.2</v>
      </c>
      <c r="G49">
        <v>0.54535999999999996</v>
      </c>
      <c r="H49">
        <v>7775.7</v>
      </c>
    </row>
    <row r="50" spans="1:8" x14ac:dyDescent="0.2">
      <c r="A50" s="22">
        <v>1986</v>
      </c>
      <c r="B50">
        <v>240.1</v>
      </c>
      <c r="C50">
        <v>4950</v>
      </c>
      <c r="D50">
        <v>4.9000000000000004</v>
      </c>
      <c r="E50">
        <v>4579.6000000000004</v>
      </c>
      <c r="F50">
        <v>8231.7000000000007</v>
      </c>
      <c r="G50">
        <v>0.55633999999999995</v>
      </c>
      <c r="H50">
        <v>8031</v>
      </c>
    </row>
    <row r="51" spans="1:8" x14ac:dyDescent="0.2">
      <c r="A51" s="22">
        <v>1987</v>
      </c>
      <c r="B51">
        <v>242.3</v>
      </c>
      <c r="C51">
        <v>5040.3</v>
      </c>
      <c r="D51">
        <v>4.8</v>
      </c>
      <c r="E51">
        <v>4855.2</v>
      </c>
      <c r="F51">
        <v>8516.4</v>
      </c>
      <c r="G51">
        <v>0.57010000000000005</v>
      </c>
      <c r="H51">
        <v>8707.5</v>
      </c>
    </row>
    <row r="52" spans="1:8" x14ac:dyDescent="0.2">
      <c r="A52" s="22">
        <v>1988</v>
      </c>
      <c r="B52">
        <v>244.5</v>
      </c>
      <c r="C52">
        <v>5131.6000000000004</v>
      </c>
      <c r="D52">
        <v>4.8</v>
      </c>
      <c r="E52">
        <v>5236.3999999999996</v>
      </c>
      <c r="F52">
        <v>8872.2000000000007</v>
      </c>
      <c r="G52">
        <v>0.59021000000000001</v>
      </c>
      <c r="H52">
        <v>9434.2000000000007</v>
      </c>
    </row>
    <row r="53" spans="1:8" x14ac:dyDescent="0.2">
      <c r="A53" s="22">
        <v>1989</v>
      </c>
      <c r="B53">
        <v>246.8</v>
      </c>
      <c r="C53">
        <v>5222.7</v>
      </c>
      <c r="D53">
        <v>4.7</v>
      </c>
      <c r="E53">
        <v>5641.6</v>
      </c>
      <c r="F53">
        <v>9198</v>
      </c>
      <c r="G53">
        <v>0.61334999999999995</v>
      </c>
      <c r="H53">
        <v>10069.799999999999</v>
      </c>
    </row>
    <row r="54" spans="1:8" x14ac:dyDescent="0.2">
      <c r="A54" s="22">
        <v>1990</v>
      </c>
      <c r="B54">
        <v>249.6</v>
      </c>
      <c r="C54">
        <v>5315.5</v>
      </c>
      <c r="D54">
        <v>4.7</v>
      </c>
      <c r="E54">
        <v>5963.1</v>
      </c>
      <c r="F54">
        <v>9371.5</v>
      </c>
      <c r="G54">
        <v>0.63631000000000004</v>
      </c>
      <c r="H54">
        <v>10624.6</v>
      </c>
    </row>
    <row r="55" spans="1:8" x14ac:dyDescent="0.2">
      <c r="A55" s="22">
        <v>1991</v>
      </c>
      <c r="B55">
        <v>253</v>
      </c>
      <c r="C55">
        <v>5403.3</v>
      </c>
      <c r="D55">
        <v>4.7</v>
      </c>
      <c r="E55">
        <v>6158.1</v>
      </c>
      <c r="F55">
        <v>9361.2999999999993</v>
      </c>
      <c r="G55">
        <v>0.65783000000000003</v>
      </c>
      <c r="H55">
        <v>10808</v>
      </c>
    </row>
    <row r="56" spans="1:8" x14ac:dyDescent="0.2">
      <c r="A56" s="22">
        <v>1992</v>
      </c>
      <c r="B56">
        <v>256.5</v>
      </c>
      <c r="C56">
        <v>5490.5</v>
      </c>
      <c r="D56">
        <v>4.7</v>
      </c>
      <c r="E56">
        <v>6520.3</v>
      </c>
      <c r="F56">
        <v>9691.1</v>
      </c>
      <c r="G56">
        <v>0.67281999999999997</v>
      </c>
      <c r="H56">
        <v>11381</v>
      </c>
    </row>
    <row r="57" spans="1:8" x14ac:dyDescent="0.2">
      <c r="A57" s="22">
        <v>1993</v>
      </c>
      <c r="B57">
        <v>259.89999999999998</v>
      </c>
      <c r="C57">
        <v>5568.2</v>
      </c>
      <c r="D57">
        <v>4.7</v>
      </c>
      <c r="E57">
        <v>6858.6</v>
      </c>
      <c r="F57">
        <v>9957.7000000000007</v>
      </c>
      <c r="G57">
        <v>0.68876999999999999</v>
      </c>
      <c r="H57">
        <v>12024.4</v>
      </c>
    </row>
    <row r="58" spans="1:8" x14ac:dyDescent="0.2">
      <c r="A58" s="22">
        <v>1994</v>
      </c>
      <c r="B58">
        <v>263.10000000000002</v>
      </c>
      <c r="C58">
        <v>5650.2</v>
      </c>
      <c r="D58">
        <v>4.7</v>
      </c>
      <c r="E58">
        <v>7287.2</v>
      </c>
      <c r="F58">
        <v>10358.9</v>
      </c>
      <c r="G58">
        <v>0.70347000000000004</v>
      </c>
      <c r="H58">
        <v>12826.8</v>
      </c>
    </row>
    <row r="59" spans="1:8" x14ac:dyDescent="0.2">
      <c r="A59" s="22">
        <v>1995</v>
      </c>
      <c r="B59">
        <v>266.3</v>
      </c>
      <c r="C59">
        <v>5733.2</v>
      </c>
      <c r="D59">
        <v>4.5999999999999996</v>
      </c>
      <c r="E59">
        <v>7639.7</v>
      </c>
      <c r="F59">
        <v>10637</v>
      </c>
      <c r="G59">
        <v>0.71823000000000004</v>
      </c>
      <c r="H59">
        <v>13653.2</v>
      </c>
    </row>
    <row r="60" spans="1:8" x14ac:dyDescent="0.2">
      <c r="A60" s="22">
        <v>1996</v>
      </c>
      <c r="B60">
        <v>269.39999999999998</v>
      </c>
      <c r="C60">
        <v>5815.3</v>
      </c>
      <c r="D60">
        <v>4.5999999999999996</v>
      </c>
      <c r="E60">
        <v>8073.1</v>
      </c>
      <c r="F60">
        <v>11038.3</v>
      </c>
      <c r="G60">
        <v>0.73138000000000003</v>
      </c>
      <c r="H60">
        <v>14463.4</v>
      </c>
    </row>
    <row r="61" spans="1:8" x14ac:dyDescent="0.2">
      <c r="A61" s="22">
        <v>1997</v>
      </c>
      <c r="B61">
        <v>272.60000000000002</v>
      </c>
      <c r="C61">
        <v>5895.8</v>
      </c>
      <c r="D61">
        <v>4.5999999999999996</v>
      </c>
      <c r="E61">
        <v>8577.6</v>
      </c>
      <c r="F61">
        <v>11529.2</v>
      </c>
      <c r="G61">
        <v>0.74399000000000004</v>
      </c>
      <c r="H61">
        <v>15393.3</v>
      </c>
    </row>
    <row r="62" spans="1:8" x14ac:dyDescent="0.2">
      <c r="A62" s="22">
        <v>1998</v>
      </c>
      <c r="B62">
        <v>275.89999999999998</v>
      </c>
      <c r="C62">
        <v>5975.2</v>
      </c>
      <c r="D62">
        <v>4.5999999999999996</v>
      </c>
      <c r="E62">
        <v>9062.7999999999993</v>
      </c>
      <c r="F62">
        <v>12045.8</v>
      </c>
      <c r="G62">
        <v>0.75236000000000003</v>
      </c>
      <c r="H62">
        <v>16216.8</v>
      </c>
    </row>
    <row r="63" spans="1:8" x14ac:dyDescent="0.2">
      <c r="A63" s="22">
        <v>1999</v>
      </c>
      <c r="B63">
        <v>279</v>
      </c>
      <c r="C63">
        <v>6054</v>
      </c>
      <c r="D63">
        <v>4.5999999999999996</v>
      </c>
      <c r="E63">
        <v>9631.2000000000007</v>
      </c>
      <c r="F63">
        <v>12623.4</v>
      </c>
      <c r="G63">
        <v>0.76295999999999997</v>
      </c>
      <c r="H63">
        <v>17270.7</v>
      </c>
    </row>
    <row r="64" spans="1:8" x14ac:dyDescent="0.2">
      <c r="A64" s="22">
        <v>2000</v>
      </c>
      <c r="B64">
        <v>282.2</v>
      </c>
      <c r="C64">
        <v>6132.5</v>
      </c>
      <c r="D64">
        <v>4.5999999999999996</v>
      </c>
      <c r="E64">
        <v>10251</v>
      </c>
      <c r="F64">
        <v>13138</v>
      </c>
      <c r="G64">
        <v>0.78025</v>
      </c>
      <c r="H64">
        <v>18625.2</v>
      </c>
    </row>
    <row r="65" spans="1:8" x14ac:dyDescent="0.2">
      <c r="A65" s="22">
        <v>2001</v>
      </c>
      <c r="B65">
        <v>285</v>
      </c>
      <c r="C65">
        <v>6211.3</v>
      </c>
      <c r="D65">
        <v>4.5999999999999996</v>
      </c>
      <c r="E65">
        <v>10581.9</v>
      </c>
      <c r="F65">
        <v>13263.4</v>
      </c>
      <c r="G65">
        <v>0.79783000000000004</v>
      </c>
      <c r="H65">
        <v>18881.2</v>
      </c>
    </row>
    <row r="66" spans="1:8" x14ac:dyDescent="0.2">
      <c r="A66" s="22">
        <v>2002</v>
      </c>
      <c r="B66">
        <v>287.60000000000002</v>
      </c>
      <c r="C66">
        <v>6290.3</v>
      </c>
      <c r="D66">
        <v>4.5999999999999996</v>
      </c>
      <c r="E66">
        <v>10929.1</v>
      </c>
      <c r="F66">
        <v>13488.4</v>
      </c>
      <c r="G66">
        <v>0.81025999999999998</v>
      </c>
      <c r="H66">
        <v>19170.8</v>
      </c>
    </row>
    <row r="67" spans="1:8" x14ac:dyDescent="0.2">
      <c r="A67" s="22">
        <v>2003</v>
      </c>
      <c r="B67">
        <v>290.10000000000002</v>
      </c>
      <c r="C67">
        <v>6369.2</v>
      </c>
      <c r="D67">
        <v>4.5999999999999996</v>
      </c>
      <c r="E67">
        <v>11456.5</v>
      </c>
      <c r="F67">
        <v>13865.5</v>
      </c>
      <c r="G67">
        <v>0.82625000000000004</v>
      </c>
      <c r="H67">
        <v>20138</v>
      </c>
    </row>
    <row r="68" spans="1:8" x14ac:dyDescent="0.2">
      <c r="A68" s="22">
        <v>2004</v>
      </c>
      <c r="B68">
        <v>292.8</v>
      </c>
      <c r="C68">
        <v>6448.3</v>
      </c>
      <c r="D68">
        <v>4.5</v>
      </c>
      <c r="E68">
        <v>12217.2</v>
      </c>
      <c r="F68">
        <v>14399.7</v>
      </c>
      <c r="G68">
        <v>0.84843000000000002</v>
      </c>
      <c r="H68">
        <v>21688.9</v>
      </c>
    </row>
    <row r="69" spans="1:8" x14ac:dyDescent="0.2">
      <c r="A69" s="22">
        <v>2005</v>
      </c>
      <c r="B69">
        <v>295.5</v>
      </c>
      <c r="C69">
        <v>6527.1</v>
      </c>
      <c r="D69">
        <v>4.5</v>
      </c>
      <c r="E69">
        <v>13039.2</v>
      </c>
      <c r="F69">
        <v>14901.3</v>
      </c>
      <c r="G69">
        <v>0.87504000000000004</v>
      </c>
      <c r="H69">
        <v>23514.7</v>
      </c>
    </row>
    <row r="70" spans="1:8" x14ac:dyDescent="0.2">
      <c r="A70" s="22">
        <v>2006</v>
      </c>
      <c r="B70">
        <v>298.39999999999998</v>
      </c>
      <c r="C70">
        <v>6607.4</v>
      </c>
      <c r="D70">
        <v>4.5</v>
      </c>
      <c r="E70">
        <v>13815.6</v>
      </c>
      <c r="F70">
        <v>15315.9</v>
      </c>
      <c r="G70">
        <v>0.90203999999999995</v>
      </c>
      <c r="H70">
        <v>24924.7</v>
      </c>
    </row>
    <row r="71" spans="1:8" x14ac:dyDescent="0.2">
      <c r="A71" s="22">
        <v>2007</v>
      </c>
      <c r="B71">
        <v>301.2</v>
      </c>
      <c r="C71">
        <v>6689.4</v>
      </c>
      <c r="D71">
        <v>4.5</v>
      </c>
      <c r="E71">
        <v>14474.2</v>
      </c>
      <c r="F71">
        <v>15623.9</v>
      </c>
      <c r="G71">
        <v>0.92642000000000002</v>
      </c>
      <c r="H71">
        <v>26245</v>
      </c>
    </row>
    <row r="72" spans="1:8" x14ac:dyDescent="0.2">
      <c r="A72" s="22">
        <v>2008</v>
      </c>
      <c r="B72">
        <v>304.10000000000002</v>
      </c>
      <c r="C72">
        <v>6773.3</v>
      </c>
      <c r="D72">
        <v>4.5</v>
      </c>
      <c r="E72">
        <v>14769.9</v>
      </c>
      <c r="F72">
        <v>15643</v>
      </c>
      <c r="G72">
        <v>0.94418999999999997</v>
      </c>
      <c r="H72">
        <v>27023.5</v>
      </c>
    </row>
    <row r="73" spans="1:8" x14ac:dyDescent="0.2">
      <c r="A73" s="22">
        <v>2009</v>
      </c>
      <c r="B73">
        <v>306.8</v>
      </c>
      <c r="C73">
        <v>6857.2</v>
      </c>
      <c r="D73">
        <v>4.5</v>
      </c>
      <c r="E73">
        <v>14478.1</v>
      </c>
      <c r="F73">
        <v>15236.3</v>
      </c>
      <c r="G73">
        <v>0.95023999999999997</v>
      </c>
      <c r="H73">
        <v>24954.6</v>
      </c>
    </row>
    <row r="74" spans="1:8" x14ac:dyDescent="0.2">
      <c r="A74" s="22">
        <v>2010</v>
      </c>
      <c r="B74">
        <v>309.3</v>
      </c>
      <c r="C74">
        <v>6939.8</v>
      </c>
      <c r="D74">
        <v>4.5</v>
      </c>
      <c r="E74">
        <v>15049</v>
      </c>
      <c r="F74">
        <v>15649</v>
      </c>
      <c r="G74">
        <v>0.96165999999999996</v>
      </c>
      <c r="H74">
        <v>26475.7</v>
      </c>
    </row>
    <row r="75" spans="1:8" x14ac:dyDescent="0.2">
      <c r="A75" s="22">
        <v>2011</v>
      </c>
      <c r="B75">
        <v>311.60000000000002</v>
      </c>
      <c r="C75">
        <v>7022.1</v>
      </c>
      <c r="D75">
        <v>4.4000000000000004</v>
      </c>
      <c r="E75">
        <v>15599.7</v>
      </c>
      <c r="F75">
        <v>15891.5</v>
      </c>
      <c r="G75">
        <v>0.98163999999999996</v>
      </c>
      <c r="H75">
        <v>28045.9</v>
      </c>
    </row>
    <row r="76" spans="1:8" x14ac:dyDescent="0.2">
      <c r="A76" s="22">
        <v>2012</v>
      </c>
      <c r="B76">
        <v>313.8</v>
      </c>
      <c r="C76">
        <v>7105</v>
      </c>
      <c r="D76">
        <v>4.4000000000000004</v>
      </c>
      <c r="E76">
        <v>16254</v>
      </c>
      <c r="F76">
        <v>16254</v>
      </c>
      <c r="G76">
        <v>1</v>
      </c>
      <c r="H76">
        <v>29222.799999999999</v>
      </c>
    </row>
    <row r="77" spans="1:8" x14ac:dyDescent="0.2">
      <c r="A77" s="22">
        <v>2013</v>
      </c>
      <c r="B77">
        <v>316</v>
      </c>
      <c r="C77">
        <v>7188.5</v>
      </c>
      <c r="D77">
        <v>4.4000000000000004</v>
      </c>
      <c r="E77">
        <v>16843.2</v>
      </c>
      <c r="F77">
        <v>16553.3</v>
      </c>
      <c r="G77">
        <v>1.0175099999999999</v>
      </c>
      <c r="H77">
        <v>30350.1</v>
      </c>
    </row>
    <row r="78" spans="1:8" x14ac:dyDescent="0.2">
      <c r="A78" s="22">
        <v>2014</v>
      </c>
      <c r="B78">
        <v>318.3</v>
      </c>
      <c r="C78">
        <v>7271.6</v>
      </c>
      <c r="D78">
        <v>4.4000000000000004</v>
      </c>
      <c r="E78">
        <v>17550.7</v>
      </c>
      <c r="F78">
        <v>16932.099999999999</v>
      </c>
      <c r="G78">
        <v>1.03654</v>
      </c>
      <c r="H78">
        <v>31756.400000000001</v>
      </c>
    </row>
    <row r="79" spans="1:8" x14ac:dyDescent="0.2">
      <c r="A79" s="22">
        <v>2015</v>
      </c>
      <c r="B79">
        <v>320.60000000000002</v>
      </c>
      <c r="C79">
        <v>7353.5</v>
      </c>
      <c r="D79">
        <v>4.4000000000000004</v>
      </c>
      <c r="E79">
        <v>18206</v>
      </c>
      <c r="F79">
        <v>17390.3</v>
      </c>
      <c r="G79">
        <v>1.04691</v>
      </c>
      <c r="H79">
        <v>32183.1</v>
      </c>
    </row>
    <row r="80" spans="1:8" x14ac:dyDescent="0.2">
      <c r="A80" s="22">
        <v>2016</v>
      </c>
      <c r="B80">
        <v>322.89999999999998</v>
      </c>
      <c r="C80">
        <v>7435.2</v>
      </c>
      <c r="D80">
        <v>4.3</v>
      </c>
      <c r="E80">
        <v>18695.099999999999</v>
      </c>
      <c r="F80">
        <v>17680.3</v>
      </c>
      <c r="G80">
        <v>1.0573999999999999</v>
      </c>
      <c r="H80">
        <v>32855.1</v>
      </c>
    </row>
    <row r="81" spans="1:8" x14ac:dyDescent="0.2">
      <c r="A81" s="22">
        <v>2017</v>
      </c>
      <c r="B81">
        <v>325</v>
      </c>
      <c r="C81">
        <v>7516.8</v>
      </c>
      <c r="D81">
        <v>4.3</v>
      </c>
      <c r="E81">
        <v>19477.3</v>
      </c>
      <c r="F81">
        <v>18076.7</v>
      </c>
      <c r="G81">
        <v>1.0774900000000001</v>
      </c>
      <c r="H81">
        <v>34392.1</v>
      </c>
    </row>
    <row r="82" spans="1:8" x14ac:dyDescent="0.2">
      <c r="A82" s="22">
        <v>2018</v>
      </c>
      <c r="B82">
        <v>326.7</v>
      </c>
      <c r="C82">
        <v>7597.1</v>
      </c>
      <c r="D82">
        <v>4.3</v>
      </c>
      <c r="E82">
        <v>20533.099999999999</v>
      </c>
      <c r="F82">
        <v>18609.099999999999</v>
      </c>
      <c r="G82">
        <v>1.1033900000000001</v>
      </c>
      <c r="H82">
        <v>36489.5</v>
      </c>
    </row>
    <row r="83" spans="1:8" x14ac:dyDescent="0.2">
      <c r="A83" s="22">
        <v>2019</v>
      </c>
      <c r="B83">
        <v>328.2</v>
      </c>
      <c r="C83">
        <v>7676.7</v>
      </c>
      <c r="D83">
        <v>4.3</v>
      </c>
      <c r="E83">
        <v>21381</v>
      </c>
      <c r="F83">
        <v>19036.099999999999</v>
      </c>
      <c r="G83">
        <v>1.1231800000000001</v>
      </c>
      <c r="H83">
        <v>37709.699999999997</v>
      </c>
    </row>
    <row r="84" spans="1:8" x14ac:dyDescent="0.2">
      <c r="A84" s="22">
        <v>2020</v>
      </c>
      <c r="B84">
        <v>331.5</v>
      </c>
      <c r="C84">
        <v>7756.9</v>
      </c>
      <c r="D84">
        <v>4.3</v>
      </c>
      <c r="E84">
        <v>21060.5</v>
      </c>
      <c r="F84">
        <v>18509.099999999999</v>
      </c>
      <c r="G84">
        <v>1.13784</v>
      </c>
      <c r="H84">
        <v>36562</v>
      </c>
    </row>
    <row r="85" spans="1:8" x14ac:dyDescent="0.2">
      <c r="A85" s="22">
        <v>2021</v>
      </c>
      <c r="B85">
        <v>332</v>
      </c>
      <c r="C85">
        <v>7831.7</v>
      </c>
      <c r="D85">
        <v>4.2</v>
      </c>
      <c r="E85">
        <v>23315.1</v>
      </c>
      <c r="F85">
        <v>19609.8</v>
      </c>
      <c r="G85">
        <v>1.18895</v>
      </c>
      <c r="H85">
        <v>41404.800000000003</v>
      </c>
    </row>
    <row r="86" spans="1:8" x14ac:dyDescent="0.2">
      <c r="A86" s="22">
        <v>2022</v>
      </c>
      <c r="B86">
        <v>333.3</v>
      </c>
      <c r="C86">
        <v>7905.3</v>
      </c>
      <c r="D86">
        <v>4.2</v>
      </c>
      <c r="E86">
        <v>25462.7</v>
      </c>
      <c r="F86">
        <v>20014.099999999999</v>
      </c>
      <c r="G86">
        <v>1.27224</v>
      </c>
      <c r="H86">
        <v>45962.8</v>
      </c>
    </row>
  </sheetData>
  <hyperlinks>
    <hyperlink ref="A4" r:id="rId1" display="http://www.eia.gov/totalenergy/data/monthly/dataunits.cfm" xr:uid="{0E975DCF-8902-034C-BFE8-685DA414DA41}"/>
  </hyperlink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AD08-6311-1A49-98C0-C614BEED47C0}">
  <dimension ref="A1:M86"/>
  <sheetViews>
    <sheetView workbookViewId="0">
      <pane xSplit="1" ySplit="12" topLeftCell="B15" activePane="bottomRight" state="frozen"/>
      <selection pane="topRight" activeCell="B1" sqref="B1"/>
      <selection pane="bottomLeft" activeCell="A13" sqref="A13"/>
      <selection pane="bottomRight" activeCell="E37" sqref="E37"/>
    </sheetView>
  </sheetViews>
  <sheetFormatPr baseColWidth="10" defaultColWidth="8.83203125" defaultRowHeight="16" x14ac:dyDescent="0.2"/>
  <cols>
    <col min="1" max="1" width="58.33203125" bestFit="1" customWidth="1"/>
    <col min="2" max="2" width="32" bestFit="1" customWidth="1"/>
    <col min="3" max="4" width="36.33203125" bestFit="1" customWidth="1"/>
    <col min="5" max="5" width="34.1640625" bestFit="1" customWidth="1"/>
    <col min="6" max="7" width="24.5" bestFit="1" customWidth="1"/>
    <col min="8" max="8" width="28.6640625" bestFit="1" customWidth="1"/>
    <col min="9" max="9" width="40.5" bestFit="1" customWidth="1"/>
    <col min="10" max="10" width="33" bestFit="1" customWidth="1"/>
    <col min="11" max="12" width="37.33203125" bestFit="1" customWidth="1"/>
    <col min="13" max="13" width="35.33203125" bestFit="1" customWidth="1"/>
  </cols>
  <sheetData>
    <row r="1" spans="1:13" ht="19" x14ac:dyDescent="0.25">
      <c r="A1" s="69" t="s">
        <v>1427</v>
      </c>
    </row>
    <row r="2" spans="1:13" ht="19" x14ac:dyDescent="0.25">
      <c r="A2" s="70" t="s">
        <v>1555</v>
      </c>
    </row>
    <row r="4" spans="1:13" x14ac:dyDescent="0.2">
      <c r="A4" s="71" t="str">
        <f>HYPERLINK("http://www.eia.gov/totalenergy/data/monthly/dataunits.cfm","Note: Information about data precision.")</f>
        <v>Note: Information about data precision.</v>
      </c>
    </row>
    <row r="6" spans="1:13" x14ac:dyDescent="0.2">
      <c r="A6" t="s">
        <v>1556</v>
      </c>
    </row>
    <row r="7" spans="1:13" x14ac:dyDescent="0.2">
      <c r="A7" t="s">
        <v>1557</v>
      </c>
    </row>
    <row r="9" spans="1:13" x14ac:dyDescent="0.2">
      <c r="A9" s="72" t="s">
        <v>1558</v>
      </c>
    </row>
    <row r="11" spans="1:13" x14ac:dyDescent="0.2">
      <c r="A11" s="73" t="s">
        <v>1514</v>
      </c>
      <c r="B11" s="73" t="s">
        <v>1559</v>
      </c>
      <c r="C11" s="73" t="s">
        <v>1560</v>
      </c>
      <c r="D11" s="73" t="s">
        <v>1561</v>
      </c>
      <c r="E11" s="73" t="s">
        <v>1562</v>
      </c>
      <c r="F11" s="73" t="s">
        <v>1563</v>
      </c>
      <c r="G11" s="73" t="s">
        <v>1564</v>
      </c>
      <c r="H11" s="73" t="s">
        <v>1565</v>
      </c>
      <c r="I11" s="73" t="s">
        <v>1566</v>
      </c>
      <c r="J11" s="73" t="s">
        <v>1567</v>
      </c>
      <c r="K11" s="73" t="s">
        <v>1568</v>
      </c>
      <c r="L11" s="73" t="s">
        <v>1569</v>
      </c>
      <c r="M11" s="73" t="s">
        <v>1570</v>
      </c>
    </row>
    <row r="12" spans="1:13" x14ac:dyDescent="0.2">
      <c r="A12" s="73"/>
      <c r="B12" s="73" t="s">
        <v>1571</v>
      </c>
      <c r="C12" s="73" t="s">
        <v>1571</v>
      </c>
      <c r="D12" s="73" t="s">
        <v>1571</v>
      </c>
      <c r="E12" s="73" t="s">
        <v>1571</v>
      </c>
      <c r="F12" s="73" t="s">
        <v>1571</v>
      </c>
      <c r="G12" s="73" t="s">
        <v>1571</v>
      </c>
      <c r="H12" s="73" t="s">
        <v>1571</v>
      </c>
      <c r="I12" s="73" t="s">
        <v>1571</v>
      </c>
      <c r="J12" s="73" t="s">
        <v>1571</v>
      </c>
      <c r="K12" s="73" t="s">
        <v>1571</v>
      </c>
      <c r="L12" s="73" t="s">
        <v>1571</v>
      </c>
      <c r="M12" s="73" t="s">
        <v>1571</v>
      </c>
    </row>
    <row r="13" spans="1:13" x14ac:dyDescent="0.2">
      <c r="A13" s="22">
        <v>1949</v>
      </c>
      <c r="B13">
        <v>28.740479000000001</v>
      </c>
      <c r="C13">
        <v>0</v>
      </c>
      <c r="D13">
        <v>1.872627</v>
      </c>
      <c r="E13">
        <v>30.613105999999998</v>
      </c>
      <c r="F13">
        <v>1.4481580000000001</v>
      </c>
      <c r="G13">
        <v>1.5917600000000001</v>
      </c>
      <c r="H13">
        <v>-0.14360200000000001</v>
      </c>
      <c r="I13">
        <v>0.39691500000000002</v>
      </c>
      <c r="J13">
        <v>28.988371000000001</v>
      </c>
      <c r="K13">
        <v>0</v>
      </c>
      <c r="L13">
        <v>1.872627</v>
      </c>
      <c r="M13">
        <v>30.866419</v>
      </c>
    </row>
    <row r="14" spans="1:13" x14ac:dyDescent="0.2">
      <c r="A14" s="22">
        <v>1950</v>
      </c>
      <c r="B14">
        <v>32.553204999999998</v>
      </c>
      <c r="C14">
        <v>0</v>
      </c>
      <c r="D14">
        <v>1.906525</v>
      </c>
      <c r="E14">
        <v>34.45973</v>
      </c>
      <c r="F14">
        <v>1.912887</v>
      </c>
      <c r="G14">
        <v>1.465322</v>
      </c>
      <c r="H14">
        <v>0.44756499999999999</v>
      </c>
      <c r="I14">
        <v>-1.379921</v>
      </c>
      <c r="J14">
        <v>31.614754999999999</v>
      </c>
      <c r="K14">
        <v>0</v>
      </c>
      <c r="L14">
        <v>1.906525</v>
      </c>
      <c r="M14">
        <v>33.527374000000002</v>
      </c>
    </row>
    <row r="15" spans="1:13" x14ac:dyDescent="0.2">
      <c r="A15" s="22">
        <v>1951</v>
      </c>
      <c r="B15">
        <v>35.782117999999997</v>
      </c>
      <c r="C15">
        <v>0</v>
      </c>
      <c r="D15">
        <v>1.8908</v>
      </c>
      <c r="E15">
        <v>37.672919</v>
      </c>
      <c r="F15">
        <v>1.892425</v>
      </c>
      <c r="G15">
        <v>2.6215449999999998</v>
      </c>
      <c r="H15">
        <v>-0.72911899999999996</v>
      </c>
      <c r="I15">
        <v>-1.057801</v>
      </c>
      <c r="J15">
        <v>33.987735999999998</v>
      </c>
      <c r="K15">
        <v>0</v>
      </c>
      <c r="L15">
        <v>1.8908</v>
      </c>
      <c r="M15">
        <v>35.885997000000003</v>
      </c>
    </row>
    <row r="16" spans="1:13" x14ac:dyDescent="0.2">
      <c r="A16" s="22">
        <v>1952</v>
      </c>
      <c r="B16">
        <v>34.964661999999997</v>
      </c>
      <c r="C16">
        <v>0</v>
      </c>
      <c r="D16">
        <v>1.8486940000000001</v>
      </c>
      <c r="E16">
        <v>36.813355999999999</v>
      </c>
      <c r="F16">
        <v>2.1459839999999999</v>
      </c>
      <c r="G16">
        <v>2.3651309999999999</v>
      </c>
      <c r="H16">
        <v>-0.21914700000000001</v>
      </c>
      <c r="I16">
        <v>-0.95965900000000004</v>
      </c>
      <c r="J16">
        <v>33.778115999999997</v>
      </c>
      <c r="K16">
        <v>0</v>
      </c>
      <c r="L16">
        <v>1.8486940000000001</v>
      </c>
      <c r="M16">
        <v>35.634549999999997</v>
      </c>
    </row>
    <row r="17" spans="1:13" x14ac:dyDescent="0.2">
      <c r="A17" s="22">
        <v>1953</v>
      </c>
      <c r="B17">
        <v>35.338360999999999</v>
      </c>
      <c r="C17">
        <v>0</v>
      </c>
      <c r="D17">
        <v>1.792616</v>
      </c>
      <c r="E17">
        <v>37.130975999999997</v>
      </c>
      <c r="F17">
        <v>2.3130419999999998</v>
      </c>
      <c r="G17">
        <v>1.8660129999999999</v>
      </c>
      <c r="H17">
        <v>0.44702900000000001</v>
      </c>
      <c r="I17">
        <v>-0.97625200000000001</v>
      </c>
      <c r="J17">
        <v>34.802286000000002</v>
      </c>
      <c r="K17">
        <v>0</v>
      </c>
      <c r="L17">
        <v>1.792616</v>
      </c>
      <c r="M17">
        <v>36.601753000000002</v>
      </c>
    </row>
    <row r="18" spans="1:13" x14ac:dyDescent="0.2">
      <c r="A18" s="22">
        <v>1954</v>
      </c>
      <c r="B18">
        <v>33.752228000000002</v>
      </c>
      <c r="C18">
        <v>0</v>
      </c>
      <c r="D18">
        <v>1.775242</v>
      </c>
      <c r="E18">
        <v>35.527470000000001</v>
      </c>
      <c r="F18">
        <v>2.3478759999999999</v>
      </c>
      <c r="G18">
        <v>1.6963010000000001</v>
      </c>
      <c r="H18">
        <v>0.65157500000000002</v>
      </c>
      <c r="I18">
        <v>-0.54436200000000001</v>
      </c>
      <c r="J18">
        <v>33.851458000000001</v>
      </c>
      <c r="K18">
        <v>0</v>
      </c>
      <c r="L18">
        <v>1.775242</v>
      </c>
      <c r="M18">
        <v>35.634683000000003</v>
      </c>
    </row>
    <row r="19" spans="1:13" x14ac:dyDescent="0.2">
      <c r="A19" s="22">
        <v>1955</v>
      </c>
      <c r="B19">
        <v>37.346797000000002</v>
      </c>
      <c r="C19">
        <v>0</v>
      </c>
      <c r="D19">
        <v>1.82074</v>
      </c>
      <c r="E19">
        <v>39.167537000000003</v>
      </c>
      <c r="F19">
        <v>2.7899080000000001</v>
      </c>
      <c r="G19">
        <v>2.2855080000000001</v>
      </c>
      <c r="H19">
        <v>0.50439900000000004</v>
      </c>
      <c r="I19">
        <v>-0.45689999999999997</v>
      </c>
      <c r="J19">
        <v>37.380419000000003</v>
      </c>
      <c r="K19">
        <v>0</v>
      </c>
      <c r="L19">
        <v>1.82074</v>
      </c>
      <c r="M19">
        <v>39.215038</v>
      </c>
    </row>
    <row r="20" spans="1:13" x14ac:dyDescent="0.2">
      <c r="A20" s="22">
        <v>1956</v>
      </c>
      <c r="B20">
        <v>39.753010000000003</v>
      </c>
      <c r="C20">
        <v>0</v>
      </c>
      <c r="D20">
        <v>1.843178</v>
      </c>
      <c r="E20">
        <v>41.596187999999998</v>
      </c>
      <c r="F20">
        <v>3.2067410000000001</v>
      </c>
      <c r="G20">
        <v>2.9453770000000001</v>
      </c>
      <c r="H20">
        <v>0.26136399999999999</v>
      </c>
      <c r="I20">
        <v>-1.1431990000000001</v>
      </c>
      <c r="J20">
        <v>38.855656000000003</v>
      </c>
      <c r="K20">
        <v>0</v>
      </c>
      <c r="L20">
        <v>1.843178</v>
      </c>
      <c r="M20">
        <v>40.714353000000003</v>
      </c>
    </row>
    <row r="21" spans="1:13" x14ac:dyDescent="0.2">
      <c r="A21" s="22">
        <v>1957</v>
      </c>
      <c r="B21">
        <v>40.11844</v>
      </c>
      <c r="C21">
        <v>1.12E-4</v>
      </c>
      <c r="D21">
        <v>1.7885979999999999</v>
      </c>
      <c r="E21">
        <v>41.907150000000001</v>
      </c>
      <c r="F21">
        <v>3.5289830000000002</v>
      </c>
      <c r="G21">
        <v>3.439441</v>
      </c>
      <c r="H21">
        <v>8.9540999999999996E-2</v>
      </c>
      <c r="I21">
        <v>-1.3033790000000001</v>
      </c>
      <c r="J21">
        <v>38.892315000000004</v>
      </c>
      <c r="K21">
        <v>1.12E-4</v>
      </c>
      <c r="L21">
        <v>1.7885979999999999</v>
      </c>
      <c r="M21">
        <v>40.693313000000003</v>
      </c>
    </row>
    <row r="22" spans="1:13" x14ac:dyDescent="0.2">
      <c r="A22" s="22">
        <v>1958</v>
      </c>
      <c r="B22">
        <v>37.205122000000003</v>
      </c>
      <c r="C22">
        <v>1.915E-3</v>
      </c>
      <c r="D22">
        <v>1.8131360000000001</v>
      </c>
      <c r="E22">
        <v>39.020172000000002</v>
      </c>
      <c r="F22">
        <v>3.8843709999999998</v>
      </c>
      <c r="G22">
        <v>2.049839</v>
      </c>
      <c r="H22">
        <v>1.834533</v>
      </c>
      <c r="I22">
        <v>-0.34737800000000002</v>
      </c>
      <c r="J22">
        <v>38.680954999999997</v>
      </c>
      <c r="K22">
        <v>1.915E-3</v>
      </c>
      <c r="L22">
        <v>1.8131360000000001</v>
      </c>
      <c r="M22">
        <v>40.507325999999999</v>
      </c>
    </row>
    <row r="23" spans="1:13" x14ac:dyDescent="0.2">
      <c r="A23" s="22">
        <v>1959</v>
      </c>
      <c r="B23">
        <v>39.032065000000003</v>
      </c>
      <c r="C23">
        <v>2.1870000000000001E-3</v>
      </c>
      <c r="D23">
        <v>1.8344929999999999</v>
      </c>
      <c r="E23">
        <v>40.868746000000002</v>
      </c>
      <c r="F23">
        <v>4.0762780000000003</v>
      </c>
      <c r="G23">
        <v>1.5338080000000001</v>
      </c>
      <c r="H23">
        <v>2.5424699999999998</v>
      </c>
      <c r="I23">
        <v>-1.055097</v>
      </c>
      <c r="J23">
        <v>40.507311999999999</v>
      </c>
      <c r="K23">
        <v>2.1870000000000001E-3</v>
      </c>
      <c r="L23">
        <v>1.8344929999999999</v>
      </c>
      <c r="M23">
        <v>42.356119</v>
      </c>
    </row>
    <row r="24" spans="1:13" x14ac:dyDescent="0.2">
      <c r="A24" s="22">
        <v>1960</v>
      </c>
      <c r="B24">
        <v>39.854830999999997</v>
      </c>
      <c r="C24">
        <v>6.0260000000000001E-3</v>
      </c>
      <c r="D24">
        <v>1.8298730000000001</v>
      </c>
      <c r="E24">
        <v>41.690730000000002</v>
      </c>
      <c r="F24">
        <v>4.1876259999999998</v>
      </c>
      <c r="G24">
        <v>1.4774750000000001</v>
      </c>
      <c r="H24">
        <v>2.7101510000000002</v>
      </c>
      <c r="I24">
        <v>-0.45848</v>
      </c>
      <c r="J24">
        <v>42.091028000000001</v>
      </c>
      <c r="K24">
        <v>6.0260000000000001E-3</v>
      </c>
      <c r="L24">
        <v>1.8298730000000001</v>
      </c>
      <c r="M24">
        <v>43.942400999999997</v>
      </c>
    </row>
    <row r="25" spans="1:13" x14ac:dyDescent="0.2">
      <c r="A25" s="22">
        <v>1961</v>
      </c>
      <c r="B25">
        <v>40.288690000000003</v>
      </c>
      <c r="C25">
        <v>1.9678000000000001E-2</v>
      </c>
      <c r="D25">
        <v>1.8257730000000001</v>
      </c>
      <c r="E25">
        <v>42.134141</v>
      </c>
      <c r="F25">
        <v>4.4369009999999998</v>
      </c>
      <c r="G25">
        <v>1.376584</v>
      </c>
      <c r="H25">
        <v>3.0603159999999998</v>
      </c>
      <c r="I25">
        <v>-0.63012900000000005</v>
      </c>
      <c r="J25">
        <v>42.711188999999997</v>
      </c>
      <c r="K25">
        <v>1.9678000000000001E-2</v>
      </c>
      <c r="L25">
        <v>1.8257730000000001</v>
      </c>
      <c r="M25">
        <v>44.564329000000001</v>
      </c>
    </row>
    <row r="26" spans="1:13" x14ac:dyDescent="0.2">
      <c r="A26" s="22">
        <v>1962</v>
      </c>
      <c r="B26">
        <v>41.709896000000001</v>
      </c>
      <c r="C26">
        <v>2.6394000000000001E-2</v>
      </c>
      <c r="D26">
        <v>1.887502</v>
      </c>
      <c r="E26">
        <v>43.623792000000002</v>
      </c>
      <c r="F26">
        <v>4.9942789999999997</v>
      </c>
      <c r="G26">
        <v>1.4725360000000001</v>
      </c>
      <c r="H26">
        <v>3.521744</v>
      </c>
      <c r="I26">
        <v>-0.60043000000000002</v>
      </c>
      <c r="J26">
        <v>44.629379999999998</v>
      </c>
      <c r="K26">
        <v>2.6394000000000001E-2</v>
      </c>
      <c r="L26">
        <v>1.887502</v>
      </c>
      <c r="M26">
        <v>46.545105</v>
      </c>
    </row>
    <row r="27" spans="1:13" x14ac:dyDescent="0.2">
      <c r="A27" s="22">
        <v>1963</v>
      </c>
      <c r="B27">
        <v>44.014730999999998</v>
      </c>
      <c r="C27">
        <v>3.8147E-2</v>
      </c>
      <c r="D27">
        <v>1.9004829999999999</v>
      </c>
      <c r="E27">
        <v>45.953361999999998</v>
      </c>
      <c r="F27">
        <v>5.0866540000000002</v>
      </c>
      <c r="G27">
        <v>1.835183</v>
      </c>
      <c r="H27">
        <v>3.251471</v>
      </c>
      <c r="I27">
        <v>-0.81214799999999998</v>
      </c>
      <c r="J27">
        <v>46.453719999999997</v>
      </c>
      <c r="K27">
        <v>3.8147E-2</v>
      </c>
      <c r="L27">
        <v>1.9004829999999999</v>
      </c>
      <c r="M27">
        <v>48.392685</v>
      </c>
    </row>
    <row r="28" spans="1:13" x14ac:dyDescent="0.2">
      <c r="A28" s="22">
        <v>1964</v>
      </c>
      <c r="B28">
        <v>45.763179999999998</v>
      </c>
      <c r="C28">
        <v>3.9819E-2</v>
      </c>
      <c r="D28">
        <v>1.9526859999999999</v>
      </c>
      <c r="E28">
        <v>47.755685999999997</v>
      </c>
      <c r="F28">
        <v>5.4472959999999997</v>
      </c>
      <c r="G28">
        <v>1.8146610000000001</v>
      </c>
      <c r="H28">
        <v>3.6326350000000001</v>
      </c>
      <c r="I28">
        <v>-0.90545699999999996</v>
      </c>
      <c r="J28">
        <v>48.483687000000003</v>
      </c>
      <c r="K28">
        <v>3.9819E-2</v>
      </c>
      <c r="L28">
        <v>1.9526859999999999</v>
      </c>
      <c r="M28">
        <v>50.482863000000002</v>
      </c>
    </row>
    <row r="29" spans="1:13" x14ac:dyDescent="0.2">
      <c r="A29" s="22">
        <v>1965</v>
      </c>
      <c r="B29">
        <v>47.205317999999998</v>
      </c>
      <c r="C29">
        <v>4.3164000000000001E-2</v>
      </c>
      <c r="D29">
        <v>2.007517</v>
      </c>
      <c r="E29">
        <v>49.255999000000003</v>
      </c>
      <c r="F29">
        <v>5.8919350000000001</v>
      </c>
      <c r="G29">
        <v>1.8289329999999999</v>
      </c>
      <c r="H29">
        <v>4.0630030000000001</v>
      </c>
      <c r="I29">
        <v>-0.75407800000000003</v>
      </c>
      <c r="J29">
        <v>50.514724000000001</v>
      </c>
      <c r="K29">
        <v>4.3164000000000001E-2</v>
      </c>
      <c r="L29">
        <v>2.007517</v>
      </c>
      <c r="M29">
        <v>52.564923</v>
      </c>
    </row>
    <row r="30" spans="1:13" x14ac:dyDescent="0.2">
      <c r="A30" s="22">
        <v>1966</v>
      </c>
      <c r="B30">
        <v>50.010528999999998</v>
      </c>
      <c r="C30">
        <v>6.4158000000000007E-2</v>
      </c>
      <c r="D30">
        <v>2.0449890000000002</v>
      </c>
      <c r="E30">
        <v>52.119675999999998</v>
      </c>
      <c r="F30">
        <v>6.1458320000000004</v>
      </c>
      <c r="G30">
        <v>1.829067</v>
      </c>
      <c r="H30">
        <v>4.316764</v>
      </c>
      <c r="I30">
        <v>-0.87474700000000005</v>
      </c>
      <c r="J30">
        <v>53.448822</v>
      </c>
      <c r="K30">
        <v>6.4158000000000007E-2</v>
      </c>
      <c r="L30">
        <v>2.0449890000000002</v>
      </c>
      <c r="M30">
        <v>55.561695</v>
      </c>
    </row>
    <row r="31" spans="1:13" x14ac:dyDescent="0.2">
      <c r="A31" s="22">
        <v>1967</v>
      </c>
      <c r="B31">
        <v>52.568322000000002</v>
      </c>
      <c r="C31">
        <v>8.8456000000000007E-2</v>
      </c>
      <c r="D31">
        <v>2.1088529999999999</v>
      </c>
      <c r="E31">
        <v>54.765630999999999</v>
      </c>
      <c r="F31">
        <v>6.1591550000000002</v>
      </c>
      <c r="G31">
        <v>2.115402</v>
      </c>
      <c r="H31">
        <v>4.0437529999999997</v>
      </c>
      <c r="I31">
        <v>-1.495924</v>
      </c>
      <c r="J31">
        <v>55.117170999999999</v>
      </c>
      <c r="K31">
        <v>8.8456000000000007E-2</v>
      </c>
      <c r="L31">
        <v>2.1088529999999999</v>
      </c>
      <c r="M31">
        <v>57.313459999999999</v>
      </c>
    </row>
    <row r="32" spans="1:13" x14ac:dyDescent="0.2">
      <c r="A32" s="22">
        <v>1968</v>
      </c>
      <c r="B32">
        <v>54.274268999999997</v>
      </c>
      <c r="C32">
        <v>0.14153399999999999</v>
      </c>
      <c r="D32">
        <v>2.1916609999999999</v>
      </c>
      <c r="E32">
        <v>56.607464</v>
      </c>
      <c r="F32">
        <v>6.9051140000000002</v>
      </c>
      <c r="G32">
        <v>1.998489</v>
      </c>
      <c r="H32">
        <v>4.906625</v>
      </c>
      <c r="I32">
        <v>-0.693604</v>
      </c>
      <c r="J32">
        <v>58.489441999999997</v>
      </c>
      <c r="K32">
        <v>0.14153399999999999</v>
      </c>
      <c r="L32">
        <v>2.1916609999999999</v>
      </c>
      <c r="M32">
        <v>60.820484999999998</v>
      </c>
    </row>
    <row r="33" spans="1:13" x14ac:dyDescent="0.2">
      <c r="A33" s="22">
        <v>1969</v>
      </c>
      <c r="B33">
        <v>56.251914999999997</v>
      </c>
      <c r="C33">
        <v>0.153722</v>
      </c>
      <c r="D33">
        <v>2.3074180000000002</v>
      </c>
      <c r="E33">
        <v>58.713054999999997</v>
      </c>
      <c r="F33">
        <v>7.6762160000000002</v>
      </c>
      <c r="G33">
        <v>2.1256590000000002</v>
      </c>
      <c r="H33">
        <v>5.5505579999999997</v>
      </c>
      <c r="I33">
        <v>-0.45482699999999998</v>
      </c>
      <c r="J33">
        <v>61.343989000000001</v>
      </c>
      <c r="K33">
        <v>0.153722</v>
      </c>
      <c r="L33">
        <v>2.3074180000000002</v>
      </c>
      <c r="M33">
        <v>63.808785</v>
      </c>
    </row>
    <row r="34" spans="1:13" x14ac:dyDescent="0.2">
      <c r="A34" s="22">
        <v>1970</v>
      </c>
      <c r="B34">
        <v>59.152138999999998</v>
      </c>
      <c r="C34">
        <v>0.239347</v>
      </c>
      <c r="D34">
        <v>2.289021</v>
      </c>
      <c r="E34">
        <v>61.680506999999999</v>
      </c>
      <c r="F34">
        <v>8.3416149999999991</v>
      </c>
      <c r="G34">
        <v>2.6321349999999999</v>
      </c>
      <c r="H34">
        <v>5.7094800000000001</v>
      </c>
      <c r="I34">
        <v>-1.35416</v>
      </c>
      <c r="J34">
        <v>63.500771999999998</v>
      </c>
      <c r="K34">
        <v>0.239347</v>
      </c>
      <c r="L34">
        <v>2.289021</v>
      </c>
      <c r="M34">
        <v>66.035826999999998</v>
      </c>
    </row>
    <row r="35" spans="1:13" x14ac:dyDescent="0.2">
      <c r="A35" s="22">
        <v>1971</v>
      </c>
      <c r="B35">
        <v>58.010669999999998</v>
      </c>
      <c r="C35">
        <v>0.412939</v>
      </c>
      <c r="D35">
        <v>2.3538329999999998</v>
      </c>
      <c r="E35">
        <v>60.777442000000001</v>
      </c>
      <c r="F35">
        <v>9.53477</v>
      </c>
      <c r="G35">
        <v>2.1508980000000002</v>
      </c>
      <c r="H35">
        <v>7.3838720000000002</v>
      </c>
      <c r="I35">
        <v>-0.809423</v>
      </c>
      <c r="J35">
        <v>64.573072999999994</v>
      </c>
      <c r="K35">
        <v>0.412939</v>
      </c>
      <c r="L35">
        <v>2.3538329999999998</v>
      </c>
      <c r="M35">
        <v>67.351890999999995</v>
      </c>
    </row>
    <row r="36" spans="1:13" x14ac:dyDescent="0.2">
      <c r="A36" s="22">
        <v>1972</v>
      </c>
      <c r="B36">
        <v>58.904079000000003</v>
      </c>
      <c r="C36">
        <v>0.58375200000000005</v>
      </c>
      <c r="D36">
        <v>2.4494910000000001</v>
      </c>
      <c r="E36">
        <v>61.937322000000002</v>
      </c>
      <c r="F36">
        <v>11.387141</v>
      </c>
      <c r="G36">
        <v>2.1183100000000001</v>
      </c>
      <c r="H36">
        <v>9.2688310000000005</v>
      </c>
      <c r="I36">
        <v>-0.47863499999999998</v>
      </c>
      <c r="J36">
        <v>67.668047999999999</v>
      </c>
      <c r="K36">
        <v>0.58375200000000005</v>
      </c>
      <c r="L36">
        <v>2.4494910000000001</v>
      </c>
      <c r="M36">
        <v>70.727518000000003</v>
      </c>
    </row>
    <row r="37" spans="1:13" x14ac:dyDescent="0.2">
      <c r="A37" s="22">
        <v>1973</v>
      </c>
      <c r="B37">
        <v>58.207231999999998</v>
      </c>
      <c r="C37">
        <v>0.91017700000000001</v>
      </c>
      <c r="D37">
        <v>2.4755440000000002</v>
      </c>
      <c r="E37">
        <v>61.592951999999997</v>
      </c>
      <c r="F37">
        <v>14.613144999999999</v>
      </c>
      <c r="G37">
        <v>2.0330859999999999</v>
      </c>
      <c r="H37">
        <v>12.580059</v>
      </c>
      <c r="I37">
        <v>-0.456125</v>
      </c>
      <c r="J37">
        <v>70.282449999999997</v>
      </c>
      <c r="K37">
        <v>0.91017700000000001</v>
      </c>
      <c r="L37">
        <v>2.4755440000000002</v>
      </c>
      <c r="M37">
        <v>73.716886000000002</v>
      </c>
    </row>
    <row r="38" spans="1:13" x14ac:dyDescent="0.2">
      <c r="A38" s="22">
        <v>1974</v>
      </c>
      <c r="B38">
        <v>56.294407999999997</v>
      </c>
      <c r="C38">
        <v>1.2720830000000001</v>
      </c>
      <c r="D38">
        <v>2.586001</v>
      </c>
      <c r="E38">
        <v>60.152492000000002</v>
      </c>
      <c r="F38">
        <v>14.304275000000001</v>
      </c>
      <c r="G38">
        <v>2.2033659999999999</v>
      </c>
      <c r="H38">
        <v>12.100909</v>
      </c>
      <c r="I38">
        <v>-0.47993000000000002</v>
      </c>
      <c r="J38">
        <v>67.872076000000007</v>
      </c>
      <c r="K38">
        <v>1.2720830000000001</v>
      </c>
      <c r="L38">
        <v>2.586001</v>
      </c>
      <c r="M38">
        <v>71.773471000000001</v>
      </c>
    </row>
    <row r="39" spans="1:13" x14ac:dyDescent="0.2">
      <c r="A39" s="22">
        <v>1975</v>
      </c>
      <c r="B39">
        <v>54.696919000000001</v>
      </c>
      <c r="C39">
        <v>1.8997980000000001</v>
      </c>
      <c r="D39">
        <v>2.5441669999999998</v>
      </c>
      <c r="E39">
        <v>59.140884</v>
      </c>
      <c r="F39">
        <v>14.032389</v>
      </c>
      <c r="G39">
        <v>2.323251</v>
      </c>
      <c r="H39">
        <v>11.709137</v>
      </c>
      <c r="I39">
        <v>-1.0619639999999999</v>
      </c>
      <c r="J39">
        <v>65.322990000000004</v>
      </c>
      <c r="K39">
        <v>1.8997980000000001</v>
      </c>
      <c r="L39">
        <v>2.5441669999999998</v>
      </c>
      <c r="M39">
        <v>69.788058000000007</v>
      </c>
    </row>
    <row r="40" spans="1:13" x14ac:dyDescent="0.2">
      <c r="A40" s="22">
        <v>1976</v>
      </c>
      <c r="B40">
        <v>54.683563999999997</v>
      </c>
      <c r="C40">
        <v>2.1111209999999998</v>
      </c>
      <c r="D40">
        <v>2.704698</v>
      </c>
      <c r="E40">
        <v>59.499381999999997</v>
      </c>
      <c r="F40">
        <v>16.760058999999998</v>
      </c>
      <c r="G40">
        <v>2.1716880000000001</v>
      </c>
      <c r="H40">
        <v>14.588371</v>
      </c>
      <c r="I40">
        <v>-0.171178</v>
      </c>
      <c r="J40">
        <v>69.071378999999993</v>
      </c>
      <c r="K40">
        <v>2.1111209999999998</v>
      </c>
      <c r="L40">
        <v>2.704698</v>
      </c>
      <c r="M40">
        <v>73.916574999999995</v>
      </c>
    </row>
    <row r="41" spans="1:13" x14ac:dyDescent="0.2">
      <c r="A41" s="22">
        <v>1977</v>
      </c>
      <c r="B41">
        <v>55.059451000000003</v>
      </c>
      <c r="C41">
        <v>2.701762</v>
      </c>
      <c r="D41">
        <v>2.6134740000000001</v>
      </c>
      <c r="E41">
        <v>60.374687000000002</v>
      </c>
      <c r="F41">
        <v>19.948131</v>
      </c>
      <c r="G41">
        <v>2.0518909999999999</v>
      </c>
      <c r="H41">
        <v>17.896239999999999</v>
      </c>
      <c r="I41">
        <v>-1.946428</v>
      </c>
      <c r="J41">
        <v>70.949841000000006</v>
      </c>
      <c r="K41">
        <v>2.701762</v>
      </c>
      <c r="L41">
        <v>2.6134740000000001</v>
      </c>
      <c r="M41">
        <v>76.324499000000003</v>
      </c>
    </row>
    <row r="42" spans="1:13" x14ac:dyDescent="0.2">
      <c r="A42" s="22">
        <v>1978</v>
      </c>
      <c r="B42">
        <v>55.030639999999998</v>
      </c>
      <c r="C42">
        <v>3.0241259999999999</v>
      </c>
      <c r="D42">
        <v>3.014948</v>
      </c>
      <c r="E42">
        <v>61.069713999999998</v>
      </c>
      <c r="F42">
        <v>19.106169999999999</v>
      </c>
      <c r="G42">
        <v>1.9204369999999999</v>
      </c>
      <c r="H42">
        <v>17.185732999999999</v>
      </c>
      <c r="I42">
        <v>-0.33923500000000001</v>
      </c>
      <c r="J42">
        <v>71.809820000000002</v>
      </c>
      <c r="K42">
        <v>3.0241259999999999</v>
      </c>
      <c r="L42">
        <v>3.014948</v>
      </c>
      <c r="M42">
        <v>77.916212000000002</v>
      </c>
    </row>
    <row r="43" spans="1:13" x14ac:dyDescent="0.2">
      <c r="A43" s="22">
        <v>1979</v>
      </c>
      <c r="B43">
        <v>57.951852000000002</v>
      </c>
      <c r="C43">
        <v>2.775827</v>
      </c>
      <c r="D43">
        <v>3.1310310000000001</v>
      </c>
      <c r="E43">
        <v>63.858710000000002</v>
      </c>
      <c r="F43">
        <v>19.459817000000001</v>
      </c>
      <c r="G43">
        <v>2.8551139999999999</v>
      </c>
      <c r="H43">
        <v>16.604703000000001</v>
      </c>
      <c r="I43">
        <v>-1.6434489999999999</v>
      </c>
      <c r="J43">
        <v>72.843726000000004</v>
      </c>
      <c r="K43">
        <v>2.775827</v>
      </c>
      <c r="L43">
        <v>3.1310310000000001</v>
      </c>
      <c r="M43">
        <v>78.819963999999999</v>
      </c>
    </row>
    <row r="44" spans="1:13" x14ac:dyDescent="0.2">
      <c r="A44" s="22">
        <v>1980</v>
      </c>
      <c r="B44">
        <v>58.979084</v>
      </c>
      <c r="C44">
        <v>2.739169</v>
      </c>
      <c r="D44">
        <v>3.4453779999999998</v>
      </c>
      <c r="E44">
        <v>65.163630999999995</v>
      </c>
      <c r="F44">
        <v>15.796234999999999</v>
      </c>
      <c r="G44">
        <v>3.6947709999999998</v>
      </c>
      <c r="H44">
        <v>12.101464</v>
      </c>
      <c r="I44">
        <v>-1.2269460000000001</v>
      </c>
      <c r="J44">
        <v>69.782202999999996</v>
      </c>
      <c r="K44">
        <v>2.739169</v>
      </c>
      <c r="L44">
        <v>3.4453779999999998</v>
      </c>
      <c r="M44">
        <v>76.038149000000004</v>
      </c>
    </row>
    <row r="45" spans="1:13" x14ac:dyDescent="0.2">
      <c r="A45" s="22">
        <v>1981</v>
      </c>
      <c r="B45">
        <v>58.488230999999999</v>
      </c>
      <c r="C45">
        <v>3.0075889999999998</v>
      </c>
      <c r="D45">
        <v>3.5159220000000002</v>
      </c>
      <c r="E45">
        <v>65.011741000000001</v>
      </c>
      <c r="F45">
        <v>13.719027000000001</v>
      </c>
      <c r="G45">
        <v>4.3072410000000003</v>
      </c>
      <c r="H45">
        <v>9.4117859999999993</v>
      </c>
      <c r="I45">
        <v>-0.26410699999999998</v>
      </c>
      <c r="J45">
        <v>67.522503999999998</v>
      </c>
      <c r="K45">
        <v>3.0075889999999998</v>
      </c>
      <c r="L45">
        <v>3.5159220000000002</v>
      </c>
      <c r="M45">
        <v>74.159419999999997</v>
      </c>
    </row>
    <row r="46" spans="1:13" x14ac:dyDescent="0.2">
      <c r="A46" s="22">
        <v>1982</v>
      </c>
      <c r="B46">
        <v>57.415947000000003</v>
      </c>
      <c r="C46">
        <v>3.131148</v>
      </c>
      <c r="D46">
        <v>3.7457959999999999</v>
      </c>
      <c r="E46">
        <v>64.292890999999997</v>
      </c>
      <c r="F46">
        <v>11.861081</v>
      </c>
      <c r="G46">
        <v>4.6076009999999998</v>
      </c>
      <c r="H46">
        <v>7.2534809999999998</v>
      </c>
      <c r="I46">
        <v>-0.73402400000000001</v>
      </c>
      <c r="J46">
        <v>63.835377000000001</v>
      </c>
      <c r="K46">
        <v>3.131148</v>
      </c>
      <c r="L46">
        <v>3.7457959999999999</v>
      </c>
      <c r="M46">
        <v>70.812347000000003</v>
      </c>
    </row>
    <row r="47" spans="1:13" x14ac:dyDescent="0.2">
      <c r="A47" s="22">
        <v>1983</v>
      </c>
      <c r="B47">
        <v>54.368170999999997</v>
      </c>
      <c r="C47">
        <v>3.2025489999999999</v>
      </c>
      <c r="D47">
        <v>4.0691639999999998</v>
      </c>
      <c r="E47">
        <v>61.639884000000002</v>
      </c>
      <c r="F47">
        <v>11.751802</v>
      </c>
      <c r="G47">
        <v>3.6929310000000002</v>
      </c>
      <c r="H47">
        <v>8.0588719999999991</v>
      </c>
      <c r="I47">
        <v>0.79018999999999995</v>
      </c>
      <c r="J47">
        <v>63.096685999999998</v>
      </c>
      <c r="K47">
        <v>3.2025489999999999</v>
      </c>
      <c r="L47">
        <v>4.0691639999999998</v>
      </c>
      <c r="M47">
        <v>70.488945999999999</v>
      </c>
    </row>
    <row r="48" spans="1:13" x14ac:dyDescent="0.2">
      <c r="A48" s="22">
        <v>1984</v>
      </c>
      <c r="B48">
        <v>58.809192000000003</v>
      </c>
      <c r="C48">
        <v>3.5525310000000001</v>
      </c>
      <c r="D48">
        <v>4.1041210000000001</v>
      </c>
      <c r="E48">
        <v>66.465843000000007</v>
      </c>
      <c r="F48">
        <v>12.470726000000001</v>
      </c>
      <c r="G48">
        <v>3.7861470000000002</v>
      </c>
      <c r="H48">
        <v>8.6845789999999994</v>
      </c>
      <c r="I48">
        <v>-0.91346899999999998</v>
      </c>
      <c r="J48">
        <v>66.444979000000004</v>
      </c>
      <c r="K48">
        <v>3.5525310000000001</v>
      </c>
      <c r="L48">
        <v>4.1041210000000001</v>
      </c>
      <c r="M48">
        <v>74.236953999999997</v>
      </c>
    </row>
    <row r="49" spans="1:13" x14ac:dyDescent="0.2">
      <c r="A49" s="22">
        <v>1985</v>
      </c>
      <c r="B49">
        <v>57.501721000000003</v>
      </c>
      <c r="C49">
        <v>4.0755629999999998</v>
      </c>
      <c r="D49">
        <v>4.0181740000000001</v>
      </c>
      <c r="E49">
        <v>65.595456999999996</v>
      </c>
      <c r="F49">
        <v>11.780575000000001</v>
      </c>
      <c r="G49">
        <v>4.1961779999999997</v>
      </c>
      <c r="H49">
        <v>7.5843970000000001</v>
      </c>
      <c r="I49">
        <v>1.0884370000000001</v>
      </c>
      <c r="J49">
        <v>66.034899999999993</v>
      </c>
      <c r="K49">
        <v>4.0755629999999998</v>
      </c>
      <c r="L49">
        <v>4.0181740000000001</v>
      </c>
      <c r="M49">
        <v>74.268292000000002</v>
      </c>
    </row>
    <row r="50" spans="1:13" x14ac:dyDescent="0.2">
      <c r="A50" s="22">
        <v>1986</v>
      </c>
      <c r="B50">
        <v>56.539006999999998</v>
      </c>
      <c r="C50">
        <v>4.380109</v>
      </c>
      <c r="D50">
        <v>3.9704730000000001</v>
      </c>
      <c r="E50">
        <v>64.889589000000001</v>
      </c>
      <c r="F50">
        <v>14.151401999999999</v>
      </c>
      <c r="G50">
        <v>4.0214790000000002</v>
      </c>
      <c r="H50">
        <v>10.129923</v>
      </c>
      <c r="I50">
        <v>-0.56128999999999996</v>
      </c>
      <c r="J50">
        <v>65.985157999999998</v>
      </c>
      <c r="K50">
        <v>4.380109</v>
      </c>
      <c r="L50">
        <v>3.9704730000000001</v>
      </c>
      <c r="M50">
        <v>74.458220999999995</v>
      </c>
    </row>
    <row r="51" spans="1:13" x14ac:dyDescent="0.2">
      <c r="A51" s="22">
        <v>1987</v>
      </c>
      <c r="B51">
        <v>57.130642999999999</v>
      </c>
      <c r="C51">
        <v>4.753933</v>
      </c>
      <c r="D51">
        <v>3.7744430000000002</v>
      </c>
      <c r="E51">
        <v>65.659019000000001</v>
      </c>
      <c r="F51">
        <v>15.398223</v>
      </c>
      <c r="G51">
        <v>3.8119499999999999</v>
      </c>
      <c r="H51">
        <v>11.586273</v>
      </c>
      <c r="I51">
        <v>-8.4454000000000001E-2</v>
      </c>
      <c r="J51">
        <v>68.474361000000002</v>
      </c>
      <c r="K51">
        <v>4.753933</v>
      </c>
      <c r="L51">
        <v>3.7744430000000002</v>
      </c>
      <c r="M51">
        <v>77.160837999999998</v>
      </c>
    </row>
    <row r="52" spans="1:13" x14ac:dyDescent="0.2">
      <c r="A52" s="22">
        <v>1988</v>
      </c>
      <c r="B52">
        <v>57.845857000000002</v>
      </c>
      <c r="C52">
        <v>5.5869679999999997</v>
      </c>
      <c r="D52">
        <v>3.8226819999999999</v>
      </c>
      <c r="E52">
        <v>67.255506999999994</v>
      </c>
      <c r="F52">
        <v>17.295929999999998</v>
      </c>
      <c r="G52">
        <v>4.3664529999999999</v>
      </c>
      <c r="H52">
        <v>12.929477</v>
      </c>
      <c r="I52">
        <v>0.840113</v>
      </c>
      <c r="J52">
        <v>71.507047999999998</v>
      </c>
      <c r="K52">
        <v>5.5869679999999997</v>
      </c>
      <c r="L52">
        <v>3.8226819999999999</v>
      </c>
      <c r="M52">
        <v>81.025097000000002</v>
      </c>
    </row>
    <row r="53" spans="1:13" x14ac:dyDescent="0.2">
      <c r="A53" s="22">
        <v>1989</v>
      </c>
      <c r="B53">
        <v>57.447702999999997</v>
      </c>
      <c r="C53">
        <v>5.6021609999999997</v>
      </c>
      <c r="D53">
        <v>4.2061359999999999</v>
      </c>
      <c r="E53">
        <v>67.256000999999998</v>
      </c>
      <c r="F53">
        <v>18.766297000000002</v>
      </c>
      <c r="G53">
        <v>4.6608989999999997</v>
      </c>
      <c r="H53">
        <v>14.105399</v>
      </c>
      <c r="I53">
        <v>1.3500719999999999</v>
      </c>
      <c r="J53">
        <v>72.865724999999998</v>
      </c>
      <c r="K53">
        <v>5.6021609999999997</v>
      </c>
      <c r="L53">
        <v>4.2061359999999999</v>
      </c>
      <c r="M53">
        <v>82.711472000000001</v>
      </c>
    </row>
    <row r="54" spans="1:13" x14ac:dyDescent="0.2">
      <c r="A54" s="22">
        <v>1990</v>
      </c>
      <c r="B54">
        <v>58.523186000000003</v>
      </c>
      <c r="C54">
        <v>6.1043500000000002</v>
      </c>
      <c r="D54">
        <v>3.862708</v>
      </c>
      <c r="E54">
        <v>68.490245000000002</v>
      </c>
      <c r="F54">
        <v>18.817257999999999</v>
      </c>
      <c r="G54">
        <v>4.7524839999999999</v>
      </c>
      <c r="H54">
        <v>14.064774999999999</v>
      </c>
      <c r="I54">
        <v>-0.29947499999999999</v>
      </c>
      <c r="J54">
        <v>72.280597999999998</v>
      </c>
      <c r="K54">
        <v>6.1043500000000002</v>
      </c>
      <c r="L54">
        <v>3.862708</v>
      </c>
      <c r="M54">
        <v>82.255544999999998</v>
      </c>
    </row>
    <row r="55" spans="1:13" x14ac:dyDescent="0.2">
      <c r="A55" s="22">
        <v>1991</v>
      </c>
      <c r="B55">
        <v>57.831147999999999</v>
      </c>
      <c r="C55">
        <v>6.4221320000000004</v>
      </c>
      <c r="D55">
        <v>3.9014310000000001</v>
      </c>
      <c r="E55">
        <v>68.154712000000004</v>
      </c>
      <c r="F55">
        <v>18.334821000000002</v>
      </c>
      <c r="G55">
        <v>5.1409649999999996</v>
      </c>
      <c r="H55">
        <v>13.193856</v>
      </c>
      <c r="I55">
        <v>0.86537900000000001</v>
      </c>
      <c r="J55">
        <v>71.823417000000006</v>
      </c>
      <c r="K55">
        <v>6.4221320000000004</v>
      </c>
      <c r="L55">
        <v>3.9014310000000001</v>
      </c>
      <c r="M55">
        <v>82.213947000000005</v>
      </c>
    </row>
    <row r="56" spans="1:13" x14ac:dyDescent="0.2">
      <c r="A56" s="22">
        <v>1992</v>
      </c>
      <c r="B56">
        <v>57.614680999999997</v>
      </c>
      <c r="C56">
        <v>6.4792059999999996</v>
      </c>
      <c r="D56">
        <v>3.9317479999999998</v>
      </c>
      <c r="E56">
        <v>68.025634999999994</v>
      </c>
      <c r="F56">
        <v>19.372204</v>
      </c>
      <c r="G56">
        <v>4.9369420000000002</v>
      </c>
      <c r="H56">
        <v>14.435263000000001</v>
      </c>
      <c r="I56">
        <v>1.3751789999999999</v>
      </c>
      <c r="J56">
        <v>73.338389000000006</v>
      </c>
      <c r="K56">
        <v>6.4792059999999996</v>
      </c>
      <c r="L56">
        <v>3.9317479999999998</v>
      </c>
      <c r="M56">
        <v>83.836077000000003</v>
      </c>
    </row>
    <row r="57" spans="1:13" x14ac:dyDescent="0.2">
      <c r="A57" s="22">
        <v>1993</v>
      </c>
      <c r="B57">
        <v>55.780270000000002</v>
      </c>
      <c r="C57">
        <v>6.4104989999999997</v>
      </c>
      <c r="D57">
        <v>4.0073119999999998</v>
      </c>
      <c r="E57">
        <v>66.198081000000002</v>
      </c>
      <c r="F57">
        <v>21.218333999999999</v>
      </c>
      <c r="G57">
        <v>4.2266719999999998</v>
      </c>
      <c r="H57">
        <v>16.991662000000002</v>
      </c>
      <c r="I57">
        <v>2.0015480000000001</v>
      </c>
      <c r="J57">
        <v>74.678843999999998</v>
      </c>
      <c r="K57">
        <v>6.4104989999999997</v>
      </c>
      <c r="L57">
        <v>4.0070379999999997</v>
      </c>
      <c r="M57">
        <v>85.191289999999995</v>
      </c>
    </row>
    <row r="58" spans="1:13" x14ac:dyDescent="0.2">
      <c r="A58" s="22">
        <v>1994</v>
      </c>
      <c r="B58">
        <v>58.002045000000003</v>
      </c>
      <c r="C58">
        <v>6.6938769999999996</v>
      </c>
      <c r="D58">
        <v>4.0564609999999997</v>
      </c>
      <c r="E58">
        <v>68.752384000000006</v>
      </c>
      <c r="F58">
        <v>22.306671999999999</v>
      </c>
      <c r="G58">
        <v>4.0352839999999999</v>
      </c>
      <c r="H58">
        <v>18.271388000000002</v>
      </c>
      <c r="I58">
        <v>2.8781999999999999E-2</v>
      </c>
      <c r="J58">
        <v>76.149277999999995</v>
      </c>
      <c r="K58">
        <v>6.6938769999999996</v>
      </c>
      <c r="L58">
        <v>4.0564609999999997</v>
      </c>
      <c r="M58">
        <v>87.052554000000001</v>
      </c>
    </row>
    <row r="59" spans="1:13" x14ac:dyDescent="0.2">
      <c r="A59" s="22">
        <v>1995</v>
      </c>
      <c r="B59">
        <v>57.496395</v>
      </c>
      <c r="C59">
        <v>7.0754359999999998</v>
      </c>
      <c r="D59">
        <v>4.2945830000000003</v>
      </c>
      <c r="E59">
        <v>68.866415000000003</v>
      </c>
      <c r="F59">
        <v>22.179611999999999</v>
      </c>
      <c r="G59">
        <v>4.495889</v>
      </c>
      <c r="H59">
        <v>17.683723000000001</v>
      </c>
      <c r="I59">
        <v>2.1178409999999999</v>
      </c>
      <c r="J59">
        <v>77.162043999999995</v>
      </c>
      <c r="K59">
        <v>7.0754359999999998</v>
      </c>
      <c r="L59">
        <v>4.2966430000000004</v>
      </c>
      <c r="M59">
        <v>88.667979000000003</v>
      </c>
    </row>
    <row r="60" spans="1:13" x14ac:dyDescent="0.2">
      <c r="A60" s="22">
        <v>1996</v>
      </c>
      <c r="B60">
        <v>58.337657999999998</v>
      </c>
      <c r="C60">
        <v>7.0866740000000004</v>
      </c>
      <c r="D60">
        <v>4.4799939999999996</v>
      </c>
      <c r="E60">
        <v>69.904325999999998</v>
      </c>
      <c r="F60">
        <v>23.633255999999999</v>
      </c>
      <c r="G60">
        <v>4.6125530000000001</v>
      </c>
      <c r="H60">
        <v>19.020702</v>
      </c>
      <c r="I60">
        <v>2.4785870000000001</v>
      </c>
      <c r="J60">
        <v>79.698299000000006</v>
      </c>
      <c r="K60">
        <v>7.0866740000000004</v>
      </c>
      <c r="L60">
        <v>4.4814990000000003</v>
      </c>
      <c r="M60">
        <v>91.403616</v>
      </c>
    </row>
    <row r="61" spans="1:13" x14ac:dyDescent="0.2">
      <c r="A61" s="22">
        <v>1997</v>
      </c>
      <c r="B61">
        <v>58.806283000000001</v>
      </c>
      <c r="C61">
        <v>6.5969920000000002</v>
      </c>
      <c r="D61">
        <v>4.4660630000000001</v>
      </c>
      <c r="E61">
        <v>69.869337999999999</v>
      </c>
      <c r="F61">
        <v>25.119240000000001</v>
      </c>
      <c r="G61">
        <v>4.4933969999999999</v>
      </c>
      <c r="H61">
        <v>20.625843</v>
      </c>
      <c r="I61">
        <v>1.461071</v>
      </c>
      <c r="J61">
        <v>80.779681999999994</v>
      </c>
      <c r="K61">
        <v>6.5969920000000002</v>
      </c>
      <c r="L61">
        <v>4.4633750000000001</v>
      </c>
      <c r="M61">
        <v>91.956252000000006</v>
      </c>
    </row>
    <row r="62" spans="1:13" x14ac:dyDescent="0.2">
      <c r="A62" s="22">
        <v>1998</v>
      </c>
      <c r="B62">
        <v>59.265917999999999</v>
      </c>
      <c r="C62">
        <v>7.0678089999999996</v>
      </c>
      <c r="D62">
        <v>4.1741390000000003</v>
      </c>
      <c r="E62">
        <v>70.507864999999995</v>
      </c>
      <c r="F62">
        <v>26.472518999999998</v>
      </c>
      <c r="G62">
        <v>4.236745</v>
      </c>
      <c r="H62">
        <v>22.235773999999999</v>
      </c>
      <c r="I62">
        <v>-0.142045</v>
      </c>
      <c r="J62">
        <v>81.272862000000003</v>
      </c>
      <c r="K62">
        <v>7.0678089999999996</v>
      </c>
      <c r="L62">
        <v>4.1726989999999997</v>
      </c>
      <c r="M62">
        <v>92.601594000000006</v>
      </c>
    </row>
    <row r="63" spans="1:13" x14ac:dyDescent="0.2">
      <c r="A63" s="22">
        <v>1999</v>
      </c>
      <c r="B63">
        <v>57.559797000000003</v>
      </c>
      <c r="C63">
        <v>7.6102559999999997</v>
      </c>
      <c r="D63">
        <v>4.2026009999999996</v>
      </c>
      <c r="E63">
        <v>69.372653999999997</v>
      </c>
      <c r="F63">
        <v>27.151581</v>
      </c>
      <c r="G63">
        <v>3.6687859999999999</v>
      </c>
      <c r="H63">
        <v>23.482794999999999</v>
      </c>
      <c r="I63">
        <v>1.3760889999999999</v>
      </c>
      <c r="J63">
        <v>82.321597999999994</v>
      </c>
      <c r="K63">
        <v>7.6102559999999997</v>
      </c>
      <c r="L63">
        <v>4.2007599999999998</v>
      </c>
      <c r="M63">
        <v>94.231538</v>
      </c>
    </row>
    <row r="64" spans="1:13" x14ac:dyDescent="0.2">
      <c r="A64" s="22">
        <v>2000</v>
      </c>
      <c r="B64">
        <v>57.306573999999998</v>
      </c>
      <c r="C64">
        <v>7.862349</v>
      </c>
      <c r="D64">
        <v>4.0930330000000001</v>
      </c>
      <c r="E64">
        <v>69.261955999999998</v>
      </c>
      <c r="F64">
        <v>28.865252999999999</v>
      </c>
      <c r="G64">
        <v>3.9616549999999999</v>
      </c>
      <c r="H64">
        <v>24.903597000000001</v>
      </c>
      <c r="I64">
        <v>2.5280369999999999</v>
      </c>
      <c r="J64">
        <v>84.620441999999997</v>
      </c>
      <c r="K64">
        <v>7.862349</v>
      </c>
      <c r="L64">
        <v>4.095599</v>
      </c>
      <c r="M64">
        <v>96.69359</v>
      </c>
    </row>
    <row r="65" spans="1:13" x14ac:dyDescent="0.2">
      <c r="A65" s="22">
        <v>2001</v>
      </c>
      <c r="B65">
        <v>58.484744999999997</v>
      </c>
      <c r="C65">
        <v>8.0288529999999998</v>
      </c>
      <c r="D65">
        <v>3.5137510000000001</v>
      </c>
      <c r="E65">
        <v>70.027349999999998</v>
      </c>
      <c r="F65">
        <v>30.052174999999998</v>
      </c>
      <c r="G65">
        <v>3.731109</v>
      </c>
      <c r="H65">
        <v>26.321065999999998</v>
      </c>
      <c r="I65">
        <v>-1.9327030000000001</v>
      </c>
      <c r="J65">
        <v>82.799757999999997</v>
      </c>
      <c r="K65">
        <v>8.0288529999999998</v>
      </c>
      <c r="L65">
        <v>3.5119449999999999</v>
      </c>
      <c r="M65">
        <v>94.415712999999997</v>
      </c>
    </row>
    <row r="66" spans="1:13" x14ac:dyDescent="0.2">
      <c r="A66" s="22">
        <v>2002</v>
      </c>
      <c r="B66">
        <v>56.776710999999999</v>
      </c>
      <c r="C66">
        <v>8.145429</v>
      </c>
      <c r="D66">
        <v>3.7709410000000001</v>
      </c>
      <c r="E66">
        <v>68.693081000000006</v>
      </c>
      <c r="F66">
        <v>29.330542999999999</v>
      </c>
      <c r="G66">
        <v>3.6082399999999999</v>
      </c>
      <c r="H66">
        <v>25.722303</v>
      </c>
      <c r="I66">
        <v>1.1600459999999999</v>
      </c>
      <c r="J66">
        <v>83.592250000000007</v>
      </c>
      <c r="K66">
        <v>8.145429</v>
      </c>
      <c r="L66">
        <v>3.7661560000000001</v>
      </c>
      <c r="M66">
        <v>95.575430999999995</v>
      </c>
    </row>
    <row r="67" spans="1:13" x14ac:dyDescent="0.2">
      <c r="A67" s="22">
        <v>2003</v>
      </c>
      <c r="B67">
        <v>55.982582999999998</v>
      </c>
      <c r="C67">
        <v>7.9596220000000004</v>
      </c>
      <c r="D67">
        <v>3.9141859999999999</v>
      </c>
      <c r="E67">
        <v>67.856392</v>
      </c>
      <c r="F67">
        <v>31.006947</v>
      </c>
      <c r="G67">
        <v>4.0131300000000003</v>
      </c>
      <c r="H67">
        <v>26.993817</v>
      </c>
      <c r="I67">
        <v>0.95628400000000002</v>
      </c>
      <c r="J67">
        <v>83.909087</v>
      </c>
      <c r="K67">
        <v>7.9596220000000004</v>
      </c>
      <c r="L67">
        <v>3.9158789999999999</v>
      </c>
      <c r="M67">
        <v>95.806493000000003</v>
      </c>
    </row>
    <row r="68" spans="1:13" x14ac:dyDescent="0.2">
      <c r="A68" s="22">
        <v>2004</v>
      </c>
      <c r="B68">
        <v>55.88402</v>
      </c>
      <c r="C68">
        <v>8.2227739999999994</v>
      </c>
      <c r="D68">
        <v>4.0934710000000001</v>
      </c>
      <c r="E68">
        <v>68.200265000000002</v>
      </c>
      <c r="F68">
        <v>33.492251000000003</v>
      </c>
      <c r="G68">
        <v>4.3513599999999997</v>
      </c>
      <c r="H68">
        <v>29.140891</v>
      </c>
      <c r="I68">
        <v>0.69201299999999999</v>
      </c>
      <c r="J68">
        <v>85.666270999999995</v>
      </c>
      <c r="K68">
        <v>8.2227739999999994</v>
      </c>
      <c r="L68">
        <v>4.1055270000000004</v>
      </c>
      <c r="M68">
        <v>98.033168000000003</v>
      </c>
    </row>
    <row r="69" spans="1:13" x14ac:dyDescent="0.2">
      <c r="A69" s="22">
        <v>2005</v>
      </c>
      <c r="B69">
        <v>54.995300999999998</v>
      </c>
      <c r="C69">
        <v>8.1608099999999997</v>
      </c>
      <c r="D69">
        <v>4.2201599999999999</v>
      </c>
      <c r="E69">
        <v>67.376270000000005</v>
      </c>
      <c r="F69">
        <v>34.659267999999997</v>
      </c>
      <c r="G69">
        <v>4.4618859999999998</v>
      </c>
      <c r="H69">
        <v>30.197382000000001</v>
      </c>
      <c r="I69">
        <v>0.52727100000000005</v>
      </c>
      <c r="J69">
        <v>85.622667000000007</v>
      </c>
      <c r="K69">
        <v>8.1608099999999997</v>
      </c>
      <c r="L69">
        <v>4.2329040000000004</v>
      </c>
      <c r="M69">
        <v>98.100924000000006</v>
      </c>
    </row>
    <row r="70" spans="1:13" x14ac:dyDescent="0.2">
      <c r="A70" s="22">
        <v>2006</v>
      </c>
      <c r="B70">
        <v>55.876707000000003</v>
      </c>
      <c r="C70">
        <v>8.2146260000000009</v>
      </c>
      <c r="D70">
        <v>4.4296470000000001</v>
      </c>
      <c r="E70">
        <v>68.520979999999994</v>
      </c>
      <c r="F70">
        <v>34.648789000000001</v>
      </c>
      <c r="G70">
        <v>4.7273360000000002</v>
      </c>
      <c r="H70">
        <v>29.921453</v>
      </c>
      <c r="I70">
        <v>-1.207489</v>
      </c>
      <c r="J70">
        <v>84.477197000000004</v>
      </c>
      <c r="K70">
        <v>8.2146260000000009</v>
      </c>
      <c r="L70">
        <v>4.4802720000000003</v>
      </c>
      <c r="M70">
        <v>97.234943999999999</v>
      </c>
    </row>
    <row r="71" spans="1:13" x14ac:dyDescent="0.2">
      <c r="A71" s="22">
        <v>2007</v>
      </c>
      <c r="B71">
        <v>56.369112999999999</v>
      </c>
      <c r="C71">
        <v>8.4585889999999999</v>
      </c>
      <c r="D71">
        <v>4.5821160000000001</v>
      </c>
      <c r="E71">
        <v>69.409818000000001</v>
      </c>
      <c r="F71">
        <v>34.678533999999999</v>
      </c>
      <c r="G71">
        <v>5.3378100000000002</v>
      </c>
      <c r="H71">
        <v>29.340724999999999</v>
      </c>
      <c r="I71">
        <v>0.21457000000000001</v>
      </c>
      <c r="J71">
        <v>85.805031999999997</v>
      </c>
      <c r="K71">
        <v>8.4585889999999999</v>
      </c>
      <c r="L71">
        <v>4.5948589999999996</v>
      </c>
      <c r="M71">
        <v>98.965112000000005</v>
      </c>
    </row>
    <row r="72" spans="1:13" x14ac:dyDescent="0.2">
      <c r="A72" s="22">
        <v>2008</v>
      </c>
      <c r="B72">
        <v>57.526851999999998</v>
      </c>
      <c r="C72">
        <v>8.4264910000000004</v>
      </c>
      <c r="D72">
        <v>5.0845630000000002</v>
      </c>
      <c r="E72">
        <v>71.037906000000007</v>
      </c>
      <c r="F72">
        <v>32.970368000000001</v>
      </c>
      <c r="G72">
        <v>6.9491829999999997</v>
      </c>
      <c r="H72">
        <v>26.021184999999999</v>
      </c>
      <c r="I72">
        <v>-0.41236299999999998</v>
      </c>
      <c r="J72">
        <v>83.040546000000006</v>
      </c>
      <c r="K72">
        <v>8.4264910000000004</v>
      </c>
      <c r="L72">
        <v>5.0677050000000001</v>
      </c>
      <c r="M72">
        <v>96.646727999999996</v>
      </c>
    </row>
    <row r="73" spans="1:13" x14ac:dyDescent="0.2">
      <c r="A73" s="22">
        <v>2009</v>
      </c>
      <c r="B73">
        <v>56.611548999999997</v>
      </c>
      <c r="C73">
        <v>8.3552199999999992</v>
      </c>
      <c r="D73">
        <v>5.3091460000000001</v>
      </c>
      <c r="E73">
        <v>70.275914999999998</v>
      </c>
      <c r="F73">
        <v>29.690334</v>
      </c>
      <c r="G73">
        <v>6.9202000000000004</v>
      </c>
      <c r="H73">
        <v>22.770133999999999</v>
      </c>
      <c r="I73">
        <v>-1.419619</v>
      </c>
      <c r="J73">
        <v>77.862483999999995</v>
      </c>
      <c r="K73">
        <v>8.3552199999999992</v>
      </c>
      <c r="L73">
        <v>5.2925370000000003</v>
      </c>
      <c r="M73">
        <v>91.626429000000002</v>
      </c>
    </row>
    <row r="74" spans="1:13" x14ac:dyDescent="0.2">
      <c r="A74" s="22">
        <v>2010</v>
      </c>
      <c r="B74">
        <v>58.159289999999999</v>
      </c>
      <c r="C74">
        <v>8.4344330000000003</v>
      </c>
      <c r="D74">
        <v>5.9425800000000004</v>
      </c>
      <c r="E74">
        <v>72.536302000000006</v>
      </c>
      <c r="F74">
        <v>29.865766000000001</v>
      </c>
      <c r="G74">
        <v>8.1760300000000008</v>
      </c>
      <c r="H74">
        <v>21.689737000000001</v>
      </c>
      <c r="I74">
        <v>0.91576500000000005</v>
      </c>
      <c r="J74">
        <v>80.723061000000001</v>
      </c>
      <c r="K74">
        <v>8.4344330000000003</v>
      </c>
      <c r="L74">
        <v>5.8956770000000001</v>
      </c>
      <c r="M74">
        <v>95.141803999999993</v>
      </c>
    </row>
    <row r="75" spans="1:13" x14ac:dyDescent="0.2">
      <c r="A75" s="22">
        <v>2011</v>
      </c>
      <c r="B75">
        <v>60.529496999999999</v>
      </c>
      <c r="C75">
        <v>8.2686980000000005</v>
      </c>
      <c r="D75">
        <v>6.4040030000000003</v>
      </c>
      <c r="E75">
        <v>75.202197999999996</v>
      </c>
      <c r="F75">
        <v>28.747980999999999</v>
      </c>
      <c r="G75">
        <v>10.372719</v>
      </c>
      <c r="H75">
        <v>18.375263</v>
      </c>
      <c r="I75">
        <v>0.38899899999999998</v>
      </c>
      <c r="J75">
        <v>79.262601000000004</v>
      </c>
      <c r="K75">
        <v>8.2686980000000005</v>
      </c>
      <c r="L75">
        <v>6.3080590000000001</v>
      </c>
      <c r="M75">
        <v>93.966459</v>
      </c>
    </row>
    <row r="76" spans="1:13" x14ac:dyDescent="0.2">
      <c r="A76" s="22">
        <v>2012</v>
      </c>
      <c r="B76">
        <v>62.297744000000002</v>
      </c>
      <c r="C76">
        <v>8.0618219999999994</v>
      </c>
      <c r="D76">
        <v>6.1869699999999996</v>
      </c>
      <c r="E76">
        <v>76.546535000000006</v>
      </c>
      <c r="F76">
        <v>27.068145999999999</v>
      </c>
      <c r="G76">
        <v>11.267352000000001</v>
      </c>
      <c r="H76">
        <v>15.800794</v>
      </c>
      <c r="I76">
        <v>-0.67000700000000002</v>
      </c>
      <c r="J76">
        <v>77.303882000000002</v>
      </c>
      <c r="K76">
        <v>8.0618219999999994</v>
      </c>
      <c r="L76">
        <v>6.1503620000000003</v>
      </c>
      <c r="M76">
        <v>91.677322000000004</v>
      </c>
    </row>
    <row r="77" spans="1:13" x14ac:dyDescent="0.2">
      <c r="A77" s="22">
        <v>2013</v>
      </c>
      <c r="B77">
        <v>64.179522000000006</v>
      </c>
      <c r="C77">
        <v>8.2444330000000008</v>
      </c>
      <c r="D77">
        <v>6.5607829999999998</v>
      </c>
      <c r="E77">
        <v>78.984737999999993</v>
      </c>
      <c r="F77">
        <v>24.622565999999999</v>
      </c>
      <c r="G77">
        <v>11.787545</v>
      </c>
      <c r="H77">
        <v>12.83502</v>
      </c>
      <c r="I77">
        <v>2.4334410000000002</v>
      </c>
      <c r="J77">
        <v>79.224270000000004</v>
      </c>
      <c r="K77">
        <v>8.2444330000000008</v>
      </c>
      <c r="L77">
        <v>6.5870230000000003</v>
      </c>
      <c r="M77">
        <v>94.253198999999995</v>
      </c>
    </row>
    <row r="78" spans="1:13" x14ac:dyDescent="0.2">
      <c r="A78" s="22">
        <v>2014</v>
      </c>
      <c r="B78">
        <v>69.618994000000001</v>
      </c>
      <c r="C78">
        <v>8.3375590000000006</v>
      </c>
      <c r="D78">
        <v>6.8355889999999997</v>
      </c>
      <c r="E78">
        <v>84.792141999999998</v>
      </c>
      <c r="F78">
        <v>23.240985999999999</v>
      </c>
      <c r="G78">
        <v>12.269774999999999</v>
      </c>
      <c r="H78">
        <v>10.971211</v>
      </c>
      <c r="I78">
        <v>-0.42849199999999998</v>
      </c>
      <c r="J78">
        <v>80.016732000000005</v>
      </c>
      <c r="K78">
        <v>8.3375590000000006</v>
      </c>
      <c r="L78">
        <v>6.7990110000000001</v>
      </c>
      <c r="M78">
        <v>95.334861000000004</v>
      </c>
    </row>
    <row r="79" spans="1:13" x14ac:dyDescent="0.2">
      <c r="A79" s="22">
        <v>2015</v>
      </c>
      <c r="B79">
        <v>70.186278999999999</v>
      </c>
      <c r="C79">
        <v>8.3368859999999998</v>
      </c>
      <c r="D79">
        <v>6.8459269999999997</v>
      </c>
      <c r="E79">
        <v>85.369091999999995</v>
      </c>
      <c r="F79">
        <v>23.793672999999998</v>
      </c>
      <c r="G79">
        <v>12.902151999999999</v>
      </c>
      <c r="H79">
        <v>10.891520999999999</v>
      </c>
      <c r="I79">
        <v>-1.7764709999999999</v>
      </c>
      <c r="J79">
        <v>79.090311</v>
      </c>
      <c r="K79">
        <v>8.3368859999999998</v>
      </c>
      <c r="L79">
        <v>6.8294649999999999</v>
      </c>
      <c r="M79">
        <v>94.484143000000003</v>
      </c>
    </row>
    <row r="80" spans="1:13" x14ac:dyDescent="0.2">
      <c r="A80" s="22">
        <v>2016</v>
      </c>
      <c r="B80">
        <v>65.434558999999993</v>
      </c>
      <c r="C80">
        <v>8.4267529999999997</v>
      </c>
      <c r="D80">
        <v>7.1884170000000003</v>
      </c>
      <c r="E80">
        <v>81.049728999999999</v>
      </c>
      <c r="F80">
        <v>25.378086</v>
      </c>
      <c r="G80">
        <v>14.119206999999999</v>
      </c>
      <c r="H80">
        <v>11.258879</v>
      </c>
      <c r="I80">
        <v>1.783784</v>
      </c>
      <c r="J80">
        <v>78.319019999999995</v>
      </c>
      <c r="K80">
        <v>8.4267529999999997</v>
      </c>
      <c r="L80">
        <v>7.119713</v>
      </c>
      <c r="M80">
        <v>94.092392000000004</v>
      </c>
    </row>
    <row r="81" spans="1:13" x14ac:dyDescent="0.2">
      <c r="A81" s="22">
        <v>2017</v>
      </c>
      <c r="B81">
        <v>68.448418000000004</v>
      </c>
      <c r="C81">
        <v>8.4189679999999996</v>
      </c>
      <c r="D81">
        <v>7.5045950000000001</v>
      </c>
      <c r="E81">
        <v>84.371981000000005</v>
      </c>
      <c r="F81">
        <v>25.457850000000001</v>
      </c>
      <c r="G81">
        <v>17.945598</v>
      </c>
      <c r="H81">
        <v>7.5122520000000002</v>
      </c>
      <c r="I81">
        <v>2.0174759999999998</v>
      </c>
      <c r="J81">
        <v>77.907116000000002</v>
      </c>
      <c r="K81">
        <v>8.4189679999999996</v>
      </c>
      <c r="L81">
        <v>7.3834799999999996</v>
      </c>
      <c r="M81">
        <v>93.901707999999999</v>
      </c>
    </row>
    <row r="82" spans="1:13" x14ac:dyDescent="0.2">
      <c r="A82" s="22">
        <v>2018</v>
      </c>
      <c r="B82">
        <v>75.780469999999994</v>
      </c>
      <c r="C82">
        <v>8.4380679999999995</v>
      </c>
      <c r="D82">
        <v>7.7441950000000004</v>
      </c>
      <c r="E82">
        <v>91.962733</v>
      </c>
      <c r="F82">
        <v>24.833272000000001</v>
      </c>
      <c r="G82">
        <v>21.223654</v>
      </c>
      <c r="H82">
        <v>3.6096180000000002</v>
      </c>
      <c r="I82">
        <v>1.8324940000000001</v>
      </c>
      <c r="J82">
        <v>81.280531999999994</v>
      </c>
      <c r="K82">
        <v>8.4380679999999995</v>
      </c>
      <c r="L82">
        <v>7.5345610000000001</v>
      </c>
      <c r="M82">
        <v>97.404844999999995</v>
      </c>
    </row>
    <row r="83" spans="1:13" x14ac:dyDescent="0.2">
      <c r="A83" s="22">
        <v>2019</v>
      </c>
      <c r="B83">
        <v>81.398889999999994</v>
      </c>
      <c r="C83">
        <v>8.4518520000000006</v>
      </c>
      <c r="D83">
        <v>7.7528180000000004</v>
      </c>
      <c r="E83">
        <v>97.603560000000002</v>
      </c>
      <c r="F83">
        <v>22.865227000000001</v>
      </c>
      <c r="G83">
        <v>23.475567999999999</v>
      </c>
      <c r="H83">
        <v>-0.61034100000000002</v>
      </c>
      <c r="I83">
        <v>-0.38978600000000002</v>
      </c>
      <c r="J83">
        <v>80.424546000000007</v>
      </c>
      <c r="K83">
        <v>8.4518520000000006</v>
      </c>
      <c r="L83">
        <v>7.5938160000000003</v>
      </c>
      <c r="M83">
        <v>96.603432999999995</v>
      </c>
    </row>
    <row r="84" spans="1:13" x14ac:dyDescent="0.2">
      <c r="A84" s="22">
        <v>2020</v>
      </c>
      <c r="B84">
        <v>75.814943999999997</v>
      </c>
      <c r="C84">
        <v>8.2510750000000002</v>
      </c>
      <c r="D84">
        <v>7.4652029999999998</v>
      </c>
      <c r="E84">
        <v>91.531221000000002</v>
      </c>
      <c r="F84">
        <v>19.988063</v>
      </c>
      <c r="G84">
        <v>23.463923000000001</v>
      </c>
      <c r="H84">
        <v>-3.4758599999999999</v>
      </c>
      <c r="I84">
        <v>0.73399000000000003</v>
      </c>
      <c r="J84">
        <v>73.076279999999997</v>
      </c>
      <c r="K84">
        <v>8.2510750000000002</v>
      </c>
      <c r="L84">
        <v>7.3005599999999999</v>
      </c>
      <c r="M84">
        <v>88.789350999999996</v>
      </c>
    </row>
    <row r="85" spans="1:13" x14ac:dyDescent="0.2">
      <c r="A85" s="22">
        <v>2021</v>
      </c>
      <c r="B85">
        <v>77.891227000000001</v>
      </c>
      <c r="C85">
        <v>8.1309129999999996</v>
      </c>
      <c r="D85">
        <v>7.8072999999999997</v>
      </c>
      <c r="E85">
        <v>93.829441000000003</v>
      </c>
      <c r="F85">
        <v>21.455386000000001</v>
      </c>
      <c r="G85">
        <v>25.071446999999999</v>
      </c>
      <c r="H85">
        <v>-3.6160610000000002</v>
      </c>
      <c r="I85">
        <v>3.1259570000000001</v>
      </c>
      <c r="J85">
        <v>77.430058000000002</v>
      </c>
      <c r="K85">
        <v>8.1309129999999996</v>
      </c>
      <c r="L85">
        <v>7.644234</v>
      </c>
      <c r="M85">
        <v>93.339337</v>
      </c>
    </row>
    <row r="86" spans="1:13" x14ac:dyDescent="0.2">
      <c r="A86" s="22">
        <v>2022</v>
      </c>
      <c r="B86">
        <v>81.592462999999995</v>
      </c>
      <c r="C86">
        <v>8.0463609999999992</v>
      </c>
      <c r="D86">
        <v>8.3042529999999992</v>
      </c>
      <c r="E86">
        <v>97.943077000000002</v>
      </c>
      <c r="F86">
        <v>21.506533000000001</v>
      </c>
      <c r="G86">
        <v>27.338550999999999</v>
      </c>
      <c r="H86">
        <v>-5.8320179999999997</v>
      </c>
      <c r="I86">
        <v>2.681597</v>
      </c>
      <c r="J86">
        <v>78.517966999999999</v>
      </c>
      <c r="K86">
        <v>8.0463609999999992</v>
      </c>
      <c r="L86">
        <v>8.087707</v>
      </c>
      <c r="M86">
        <v>94.792655999999994</v>
      </c>
    </row>
  </sheetData>
  <hyperlinks>
    <hyperlink ref="A4" r:id="rId1" display="http://www.eia.gov/totalenergy/data/monthly/dataunits.cfm" xr:uid="{48BFF91E-0A9B-1345-9516-9955D694A6F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D73C-38A4-6646-8A19-E654F131926D}">
  <dimension ref="A1:O62"/>
  <sheetViews>
    <sheetView workbookViewId="0">
      <pane xSplit="1" ySplit="12" topLeftCell="L13" activePane="bottomRight" state="frozen"/>
      <selection pane="topRight" activeCell="B1" sqref="B1"/>
      <selection pane="bottomLeft" activeCell="A13" sqref="A13"/>
      <selection pane="bottomRight"/>
    </sheetView>
  </sheetViews>
  <sheetFormatPr baseColWidth="10" defaultColWidth="8.83203125" defaultRowHeight="16" x14ac:dyDescent="0.2"/>
  <cols>
    <col min="1" max="1" width="89.6640625" bestFit="1" customWidth="1"/>
    <col min="2" max="2" width="56.6640625" bestFit="1" customWidth="1"/>
    <col min="3" max="3" width="69.5" bestFit="1" customWidth="1"/>
    <col min="4" max="4" width="42.6640625" bestFit="1" customWidth="1"/>
    <col min="5" max="5" width="59.83203125" bestFit="1" customWidth="1"/>
    <col min="6" max="9" width="42.6640625" bestFit="1" customWidth="1"/>
    <col min="10" max="10" width="52.33203125" bestFit="1" customWidth="1"/>
    <col min="11" max="13" width="42.6640625" bestFit="1" customWidth="1"/>
    <col min="14" max="14" width="48.1640625" bestFit="1" customWidth="1"/>
    <col min="15" max="15" width="42.6640625" bestFit="1" customWidth="1"/>
  </cols>
  <sheetData>
    <row r="1" spans="1:15" ht="19" x14ac:dyDescent="0.25">
      <c r="A1" s="69" t="s">
        <v>1427</v>
      </c>
    </row>
    <row r="2" spans="1:15" ht="19" x14ac:dyDescent="0.25">
      <c r="A2" s="70" t="s">
        <v>1555</v>
      </c>
    </row>
    <row r="4" spans="1:15" x14ac:dyDescent="0.2">
      <c r="A4" s="71" t="str">
        <f>HYPERLINK("http://www.eia.gov/totalenergy/data/monthly/dataunits.cfm","Note: Information about data precision.")</f>
        <v>Note: Information about data precision.</v>
      </c>
    </row>
    <row r="6" spans="1:15" x14ac:dyDescent="0.2">
      <c r="A6" t="s">
        <v>1556</v>
      </c>
    </row>
    <row r="7" spans="1:15" x14ac:dyDescent="0.2">
      <c r="A7" t="s">
        <v>1557</v>
      </c>
    </row>
    <row r="9" spans="1:15" x14ac:dyDescent="0.2">
      <c r="A9" s="72" t="s">
        <v>1513</v>
      </c>
    </row>
    <row r="11" spans="1:15" x14ac:dyDescent="0.2">
      <c r="A11" s="73" t="s">
        <v>1514</v>
      </c>
      <c r="B11" s="73" t="s">
        <v>1515</v>
      </c>
      <c r="C11" s="73" t="s">
        <v>1516</v>
      </c>
      <c r="D11" s="73" t="s">
        <v>1517</v>
      </c>
      <c r="E11" s="73" t="s">
        <v>1518</v>
      </c>
      <c r="F11" s="73" t="s">
        <v>1519</v>
      </c>
      <c r="G11" s="73" t="s">
        <v>1520</v>
      </c>
      <c r="H11" s="73" t="s">
        <v>1521</v>
      </c>
      <c r="I11" s="73" t="s">
        <v>1522</v>
      </c>
      <c r="J11" s="73" t="s">
        <v>1523</v>
      </c>
      <c r="K11" s="73" t="s">
        <v>1524</v>
      </c>
      <c r="L11" s="73" t="s">
        <v>1525</v>
      </c>
      <c r="M11" s="73" t="s">
        <v>1526</v>
      </c>
      <c r="N11" s="73" t="s">
        <v>1527</v>
      </c>
      <c r="O11" s="73" t="s">
        <v>1528</v>
      </c>
    </row>
    <row r="12" spans="1:15" x14ac:dyDescent="0.2">
      <c r="A12" s="100" t="s">
        <v>1533</v>
      </c>
      <c r="B12" s="73" t="s">
        <v>1529</v>
      </c>
      <c r="C12" s="73" t="s">
        <v>1529</v>
      </c>
      <c r="D12" s="73" t="s">
        <v>1529</v>
      </c>
      <c r="E12" s="73" t="s">
        <v>1529</v>
      </c>
      <c r="F12" s="73" t="s">
        <v>1529</v>
      </c>
      <c r="G12" s="73" t="s">
        <v>1529</v>
      </c>
      <c r="H12" s="73" t="s">
        <v>1529</v>
      </c>
      <c r="I12" s="73" t="s">
        <v>1529</v>
      </c>
      <c r="J12" s="73" t="s">
        <v>1529</v>
      </c>
      <c r="K12" s="73" t="s">
        <v>1529</v>
      </c>
      <c r="L12" s="73" t="s">
        <v>1529</v>
      </c>
      <c r="M12" s="73" t="s">
        <v>1529</v>
      </c>
      <c r="N12" s="73" t="s">
        <v>1529</v>
      </c>
      <c r="O12" s="73" t="s">
        <v>1529</v>
      </c>
    </row>
    <row r="13" spans="1:15" x14ac:dyDescent="0.2">
      <c r="A13" s="22">
        <v>1973</v>
      </c>
      <c r="B13">
        <v>1220.645</v>
      </c>
      <c r="C13">
        <v>1174.8589999999999</v>
      </c>
      <c r="D13">
        <v>5.7690000000000001</v>
      </c>
      <c r="E13">
        <v>485.041</v>
      </c>
      <c r="F13">
        <v>79.540000000000006</v>
      </c>
      <c r="G13">
        <v>154.16200000000001</v>
      </c>
      <c r="H13">
        <v>32.747</v>
      </c>
      <c r="I13">
        <v>13.29</v>
      </c>
      <c r="J13">
        <v>911.37300000000005</v>
      </c>
      <c r="K13">
        <v>55.137</v>
      </c>
      <c r="L13">
        <v>486.2</v>
      </c>
      <c r="M13">
        <v>102.15300000000001</v>
      </c>
      <c r="N13">
        <v>2325.4119999999998</v>
      </c>
      <c r="O13">
        <v>4720.9160000000002</v>
      </c>
    </row>
    <row r="14" spans="1:15" x14ac:dyDescent="0.2">
      <c r="A14" s="22">
        <v>1974</v>
      </c>
      <c r="B14">
        <v>1199.2840000000001</v>
      </c>
      <c r="C14">
        <v>1134.2149999999999</v>
      </c>
      <c r="D14">
        <v>5.6589999999999998</v>
      </c>
      <c r="E14">
        <v>462.39699999999999</v>
      </c>
      <c r="F14">
        <v>76.569000000000003</v>
      </c>
      <c r="G14">
        <v>144.42699999999999</v>
      </c>
      <c r="H14">
        <v>26.704000000000001</v>
      </c>
      <c r="I14">
        <v>12.728</v>
      </c>
      <c r="J14">
        <v>892.67600000000004</v>
      </c>
      <c r="K14">
        <v>50.472999999999999</v>
      </c>
      <c r="L14">
        <v>454.59800000000001</v>
      </c>
      <c r="M14">
        <v>101.288</v>
      </c>
      <c r="N14">
        <v>2227.518</v>
      </c>
      <c r="O14">
        <v>4561.0169999999998</v>
      </c>
    </row>
    <row r="15" spans="1:15" x14ac:dyDescent="0.2">
      <c r="A15" s="22">
        <v>1975</v>
      </c>
      <c r="B15">
        <v>1195.0319999999999</v>
      </c>
      <c r="C15">
        <v>1042.5039999999999</v>
      </c>
      <c r="D15">
        <v>4.9089999999999998</v>
      </c>
      <c r="E15">
        <v>447.17599999999999</v>
      </c>
      <c r="F15">
        <v>72.840999999999994</v>
      </c>
      <c r="G15">
        <v>145.61600000000001</v>
      </c>
      <c r="H15">
        <v>24.064</v>
      </c>
      <c r="I15">
        <v>11.268000000000001</v>
      </c>
      <c r="J15">
        <v>911.4</v>
      </c>
      <c r="K15">
        <v>52.101999999999997</v>
      </c>
      <c r="L15">
        <v>424.09699999999998</v>
      </c>
      <c r="M15">
        <v>96.927000000000007</v>
      </c>
      <c r="N15">
        <v>2190.4009999999998</v>
      </c>
      <c r="O15">
        <v>4427.9369999999999</v>
      </c>
    </row>
    <row r="16" spans="1:15" x14ac:dyDescent="0.2">
      <c r="A16" s="22">
        <v>1976</v>
      </c>
      <c r="B16">
        <v>1281.173</v>
      </c>
      <c r="C16">
        <v>1062.8050000000001</v>
      </c>
      <c r="D16">
        <v>4.6630000000000003</v>
      </c>
      <c r="E16">
        <v>492.73700000000002</v>
      </c>
      <c r="F16">
        <v>75.039000000000001</v>
      </c>
      <c r="G16">
        <v>144.11600000000001</v>
      </c>
      <c r="H16">
        <v>25.695</v>
      </c>
      <c r="I16">
        <v>12.518000000000001</v>
      </c>
      <c r="J16">
        <v>955.39700000000005</v>
      </c>
      <c r="K16">
        <v>51.548000000000002</v>
      </c>
      <c r="L16">
        <v>483.82799999999997</v>
      </c>
      <c r="M16">
        <v>105.093</v>
      </c>
      <c r="N16">
        <v>2350.634</v>
      </c>
      <c r="O16">
        <v>4694.6120000000001</v>
      </c>
    </row>
    <row r="17" spans="1:15" x14ac:dyDescent="0.2">
      <c r="A17" s="22">
        <v>1977</v>
      </c>
      <c r="B17">
        <v>1315.721</v>
      </c>
      <c r="C17">
        <v>1041.058</v>
      </c>
      <c r="D17">
        <v>4.8620000000000001</v>
      </c>
      <c r="E17">
        <v>525.59500000000003</v>
      </c>
      <c r="F17">
        <v>73.753</v>
      </c>
      <c r="G17">
        <v>151.26400000000001</v>
      </c>
      <c r="H17">
        <v>26.542000000000002</v>
      </c>
      <c r="I17">
        <v>13.097</v>
      </c>
      <c r="J17">
        <v>979.97799999999995</v>
      </c>
      <c r="K17">
        <v>56.552999999999997</v>
      </c>
      <c r="L17">
        <v>529.03700000000003</v>
      </c>
      <c r="M17">
        <v>117.68899999999999</v>
      </c>
      <c r="N17">
        <v>2478.3690000000001</v>
      </c>
      <c r="O17">
        <v>4835.1480000000001</v>
      </c>
    </row>
    <row r="18" spans="1:15" x14ac:dyDescent="0.2">
      <c r="A18" s="22">
        <v>1978</v>
      </c>
      <c r="B18">
        <v>1314.183</v>
      </c>
      <c r="C18">
        <v>1045.2280000000001</v>
      </c>
      <c r="D18">
        <v>4.9400000000000004</v>
      </c>
      <c r="E18">
        <v>538.16099999999994</v>
      </c>
      <c r="F18">
        <v>71.191999999999993</v>
      </c>
      <c r="G18">
        <v>153.91900000000001</v>
      </c>
      <c r="H18">
        <v>26.574999999999999</v>
      </c>
      <c r="I18">
        <v>14.065</v>
      </c>
      <c r="J18">
        <v>1012.064</v>
      </c>
      <c r="K18">
        <v>54.057000000000002</v>
      </c>
      <c r="L18">
        <v>520.702</v>
      </c>
      <c r="M18">
        <v>129.02799999999999</v>
      </c>
      <c r="N18">
        <v>2524.703</v>
      </c>
      <c r="O18">
        <v>4884.1130000000003</v>
      </c>
    </row>
    <row r="19" spans="1:15" x14ac:dyDescent="0.2">
      <c r="A19" s="22">
        <v>1979</v>
      </c>
      <c r="B19">
        <v>1427.4580000000001</v>
      </c>
      <c r="C19">
        <v>1080.4849999999999</v>
      </c>
      <c r="D19">
        <v>4.8609999999999998</v>
      </c>
      <c r="E19">
        <v>519.15099999999995</v>
      </c>
      <c r="F19">
        <v>81.864999999999995</v>
      </c>
      <c r="G19">
        <v>156.75200000000001</v>
      </c>
      <c r="H19">
        <v>28.454000000000001</v>
      </c>
      <c r="I19">
        <v>14.717000000000001</v>
      </c>
      <c r="J19">
        <v>960.53700000000003</v>
      </c>
      <c r="K19">
        <v>52.030999999999999</v>
      </c>
      <c r="L19">
        <v>486.86799999999999</v>
      </c>
      <c r="M19">
        <v>136.71899999999999</v>
      </c>
      <c r="N19">
        <v>2441.9549999999999</v>
      </c>
      <c r="O19">
        <v>4949.8969999999999</v>
      </c>
    </row>
    <row r="20" spans="1:15" x14ac:dyDescent="0.2">
      <c r="A20" s="22">
        <v>1980</v>
      </c>
      <c r="B20">
        <v>1453.7940000000001</v>
      </c>
      <c r="C20">
        <v>1058.0540000000001</v>
      </c>
      <c r="D20">
        <v>4.4489999999999998</v>
      </c>
      <c r="E20">
        <v>450.80900000000003</v>
      </c>
      <c r="F20">
        <v>78.025000000000006</v>
      </c>
      <c r="G20">
        <v>155.81100000000001</v>
      </c>
      <c r="H20">
        <v>24.056000000000001</v>
      </c>
      <c r="I20">
        <v>13.105</v>
      </c>
      <c r="J20">
        <v>900.745</v>
      </c>
      <c r="K20">
        <v>50.116</v>
      </c>
      <c r="L20">
        <v>433.29500000000002</v>
      </c>
      <c r="M20">
        <v>134.06899999999999</v>
      </c>
      <c r="N20">
        <v>2244.48</v>
      </c>
      <c r="O20">
        <v>4756.3280000000004</v>
      </c>
    </row>
    <row r="21" spans="1:15" x14ac:dyDescent="0.2">
      <c r="A21" s="22">
        <v>1981</v>
      </c>
      <c r="B21">
        <v>1502.932</v>
      </c>
      <c r="C21">
        <v>1032.0889999999999</v>
      </c>
      <c r="D21">
        <v>3.89</v>
      </c>
      <c r="E21">
        <v>443.64800000000002</v>
      </c>
      <c r="F21">
        <v>77.921999999999997</v>
      </c>
      <c r="G21">
        <v>146.691</v>
      </c>
      <c r="H21">
        <v>19.215</v>
      </c>
      <c r="I21">
        <v>12.569000000000001</v>
      </c>
      <c r="J21">
        <v>899.51099999999997</v>
      </c>
      <c r="K21">
        <v>53.167000000000002</v>
      </c>
      <c r="L21">
        <v>359.67099999999999</v>
      </c>
      <c r="M21">
        <v>85.379000000000005</v>
      </c>
      <c r="N21">
        <v>2101.6619999999998</v>
      </c>
      <c r="O21">
        <v>4636.6840000000002</v>
      </c>
    </row>
    <row r="22" spans="1:15" x14ac:dyDescent="0.2">
      <c r="A22" s="22">
        <v>1982</v>
      </c>
      <c r="B22">
        <v>1449.085</v>
      </c>
      <c r="C22">
        <v>960.90099999999995</v>
      </c>
      <c r="D22">
        <v>3.2480000000000002</v>
      </c>
      <c r="E22">
        <v>418.89100000000002</v>
      </c>
      <c r="F22">
        <v>79.278000000000006</v>
      </c>
      <c r="G22">
        <v>147.35400000000001</v>
      </c>
      <c r="H22">
        <v>19.488</v>
      </c>
      <c r="I22">
        <v>11.461</v>
      </c>
      <c r="J22">
        <v>892.91800000000001</v>
      </c>
      <c r="K22">
        <v>52.375</v>
      </c>
      <c r="L22">
        <v>295.69299999999998</v>
      </c>
      <c r="M22">
        <v>73.784999999999997</v>
      </c>
      <c r="N22">
        <v>1994.492</v>
      </c>
      <c r="O22">
        <v>4404.4780000000001</v>
      </c>
    </row>
    <row r="23" spans="1:15" x14ac:dyDescent="0.2">
      <c r="A23" s="22">
        <v>1983</v>
      </c>
      <c r="B23">
        <v>1504.796</v>
      </c>
      <c r="C23">
        <v>901.09400000000005</v>
      </c>
      <c r="D23">
        <v>3.2959999999999998</v>
      </c>
      <c r="E23">
        <v>422.07400000000001</v>
      </c>
      <c r="F23">
        <v>73.585999999999999</v>
      </c>
      <c r="G23">
        <v>152.29</v>
      </c>
      <c r="H23">
        <v>19.234999999999999</v>
      </c>
      <c r="I23">
        <v>12</v>
      </c>
      <c r="J23">
        <v>904.23800000000006</v>
      </c>
      <c r="K23">
        <v>48.326999999999998</v>
      </c>
      <c r="L23">
        <v>244.77099999999999</v>
      </c>
      <c r="M23">
        <v>98.284999999999997</v>
      </c>
      <c r="N23">
        <v>1978.1020000000001</v>
      </c>
      <c r="O23">
        <v>4383.9920000000002</v>
      </c>
    </row>
    <row r="24" spans="1:15" x14ac:dyDescent="0.2">
      <c r="A24" s="22">
        <v>1984</v>
      </c>
      <c r="B24">
        <v>1616.1030000000001</v>
      </c>
      <c r="C24">
        <v>962.25199999999995</v>
      </c>
      <c r="D24">
        <v>3.0339999999999998</v>
      </c>
      <c r="E24">
        <v>447.56599999999997</v>
      </c>
      <c r="F24">
        <v>79.847999999999999</v>
      </c>
      <c r="G24">
        <v>171.696</v>
      </c>
      <c r="H24">
        <v>17.504999999999999</v>
      </c>
      <c r="I24">
        <v>12.795999999999999</v>
      </c>
      <c r="J24">
        <v>916.35</v>
      </c>
      <c r="K24">
        <v>52.420999999999999</v>
      </c>
      <c r="L24">
        <v>236.54599999999999</v>
      </c>
      <c r="M24">
        <v>96.790999999999997</v>
      </c>
      <c r="N24">
        <v>2034.5530000000001</v>
      </c>
      <c r="O24">
        <v>4612.9080000000004</v>
      </c>
    </row>
    <row r="25" spans="1:15" x14ac:dyDescent="0.2">
      <c r="A25" s="22">
        <v>1985</v>
      </c>
      <c r="B25">
        <v>1655.0250000000001</v>
      </c>
      <c r="C25">
        <v>926.51599999999996</v>
      </c>
      <c r="D25">
        <v>3.4790000000000001</v>
      </c>
      <c r="E25">
        <v>450.05200000000002</v>
      </c>
      <c r="F25">
        <v>81.894999999999996</v>
      </c>
      <c r="G25">
        <v>177.61199999999999</v>
      </c>
      <c r="H25">
        <v>17.248999999999999</v>
      </c>
      <c r="I25">
        <v>11.926</v>
      </c>
      <c r="J25">
        <v>932.774</v>
      </c>
      <c r="K25">
        <v>55.886000000000003</v>
      </c>
      <c r="L25">
        <v>207.11799999999999</v>
      </c>
      <c r="M25">
        <v>85.879000000000005</v>
      </c>
      <c r="N25">
        <v>2023.8679999999999</v>
      </c>
      <c r="O25">
        <v>4605.41</v>
      </c>
    </row>
    <row r="26" spans="1:15" x14ac:dyDescent="0.2">
      <c r="A26" s="22">
        <v>1986</v>
      </c>
      <c r="B26">
        <v>1635.7329999999999</v>
      </c>
      <c r="C26">
        <v>867.86599999999999</v>
      </c>
      <c r="D26">
        <v>4.0739999999999998</v>
      </c>
      <c r="E26">
        <v>457.30399999999997</v>
      </c>
      <c r="F26">
        <v>79.025000000000006</v>
      </c>
      <c r="G26">
        <v>190.80500000000001</v>
      </c>
      <c r="H26">
        <v>14.881</v>
      </c>
      <c r="I26">
        <v>11.661</v>
      </c>
      <c r="J26">
        <v>960.48500000000001</v>
      </c>
      <c r="K26">
        <v>56.715000000000003</v>
      </c>
      <c r="L26">
        <v>244.357</v>
      </c>
      <c r="M26">
        <v>92.816999999999993</v>
      </c>
      <c r="N26">
        <v>2112.125</v>
      </c>
      <c r="O26">
        <v>4615.7240000000002</v>
      </c>
    </row>
    <row r="27" spans="1:15" x14ac:dyDescent="0.2">
      <c r="A27" s="22">
        <v>1987</v>
      </c>
      <c r="B27">
        <v>1709.4839999999999</v>
      </c>
      <c r="C27">
        <v>922.97199999999998</v>
      </c>
      <c r="D27">
        <v>3.1549999999999998</v>
      </c>
      <c r="E27">
        <v>467.08699999999999</v>
      </c>
      <c r="F27">
        <v>80.841999999999999</v>
      </c>
      <c r="G27">
        <v>202.21899999999999</v>
      </c>
      <c r="H27">
        <v>14.321999999999999</v>
      </c>
      <c r="I27">
        <v>13.183</v>
      </c>
      <c r="J27">
        <v>983.92399999999998</v>
      </c>
      <c r="K27">
        <v>63.140999999999998</v>
      </c>
      <c r="L27">
        <v>217.83199999999999</v>
      </c>
      <c r="M27">
        <v>97.453999999999994</v>
      </c>
      <c r="N27">
        <v>2143.1590000000001</v>
      </c>
      <c r="O27">
        <v>4775.616</v>
      </c>
    </row>
    <row r="28" spans="1:15" x14ac:dyDescent="0.2">
      <c r="A28" s="22">
        <v>1988</v>
      </c>
      <c r="B28">
        <v>1792.7270000000001</v>
      </c>
      <c r="C28">
        <v>964.37300000000005</v>
      </c>
      <c r="D28">
        <v>3.387</v>
      </c>
      <c r="E28">
        <v>491.93299999999999</v>
      </c>
      <c r="F28">
        <v>84.015000000000001</v>
      </c>
      <c r="G28">
        <v>212.10300000000001</v>
      </c>
      <c r="H28">
        <v>14.606999999999999</v>
      </c>
      <c r="I28">
        <v>12.712999999999999</v>
      </c>
      <c r="J28">
        <v>1004.521</v>
      </c>
      <c r="K28">
        <v>66.058000000000007</v>
      </c>
      <c r="L28">
        <v>238.02699999999999</v>
      </c>
      <c r="M28">
        <v>113.82</v>
      </c>
      <c r="N28">
        <v>2241.183</v>
      </c>
      <c r="O28">
        <v>4998.2830000000004</v>
      </c>
    </row>
    <row r="29" spans="1:15" x14ac:dyDescent="0.2">
      <c r="A29" s="22">
        <v>1989</v>
      </c>
      <c r="B29">
        <v>1813.144</v>
      </c>
      <c r="C29">
        <v>1026.9549999999999</v>
      </c>
      <c r="D29">
        <v>3.29</v>
      </c>
      <c r="E29">
        <v>496.11599999999999</v>
      </c>
      <c r="F29">
        <v>82.647999999999996</v>
      </c>
      <c r="G29">
        <v>217.59</v>
      </c>
      <c r="H29">
        <v>12.762</v>
      </c>
      <c r="I29">
        <v>13.04</v>
      </c>
      <c r="J29">
        <v>1000.602</v>
      </c>
      <c r="K29">
        <v>64.966999999999999</v>
      </c>
      <c r="L29">
        <v>236.053</v>
      </c>
      <c r="M29">
        <v>112.738</v>
      </c>
      <c r="N29">
        <v>2239.8049999999998</v>
      </c>
      <c r="O29">
        <v>5084.6329999999998</v>
      </c>
    </row>
    <row r="30" spans="1:15" x14ac:dyDescent="0.2">
      <c r="A30" s="22">
        <v>1990</v>
      </c>
      <c r="B30">
        <v>1820.0229999999999</v>
      </c>
      <c r="C30">
        <v>1026.2539999999999</v>
      </c>
      <c r="D30">
        <v>3.11</v>
      </c>
      <c r="E30">
        <v>474.69299999999998</v>
      </c>
      <c r="F30">
        <v>74.876999999999995</v>
      </c>
      <c r="G30">
        <v>222.61099999999999</v>
      </c>
      <c r="H30">
        <v>6.4420000000000002</v>
      </c>
      <c r="I30">
        <v>13.419</v>
      </c>
      <c r="J30">
        <v>987.90899999999999</v>
      </c>
      <c r="K30">
        <v>71.683999999999997</v>
      </c>
      <c r="L30">
        <v>211.71700000000001</v>
      </c>
      <c r="M30">
        <v>119.05800000000001</v>
      </c>
      <c r="N30">
        <v>2185.5189999999998</v>
      </c>
      <c r="O30">
        <v>5037.9750000000004</v>
      </c>
    </row>
    <row r="31" spans="1:15" x14ac:dyDescent="0.2">
      <c r="A31" s="22">
        <v>1991</v>
      </c>
      <c r="B31">
        <v>1805.942</v>
      </c>
      <c r="C31">
        <v>1047.7560000000001</v>
      </c>
      <c r="D31">
        <v>2.8839999999999999</v>
      </c>
      <c r="E31">
        <v>459.00299999999999</v>
      </c>
      <c r="F31">
        <v>80.317999999999998</v>
      </c>
      <c r="G31">
        <v>215.179</v>
      </c>
      <c r="H31">
        <v>7.0119999999999996</v>
      </c>
      <c r="I31">
        <v>12.005000000000001</v>
      </c>
      <c r="J31">
        <v>980.28499999999997</v>
      </c>
      <c r="K31">
        <v>69.507000000000005</v>
      </c>
      <c r="L31">
        <v>199.49700000000001</v>
      </c>
      <c r="M31">
        <v>103.81100000000001</v>
      </c>
      <c r="N31">
        <v>2129.5010000000002</v>
      </c>
      <c r="O31">
        <v>4990.8040000000001</v>
      </c>
    </row>
    <row r="32" spans="1:15" x14ac:dyDescent="0.2">
      <c r="A32" s="22">
        <v>1992</v>
      </c>
      <c r="B32">
        <v>1821.88</v>
      </c>
      <c r="C32">
        <v>1083.2619999999999</v>
      </c>
      <c r="D32">
        <v>2.8380000000000001</v>
      </c>
      <c r="E32">
        <v>469.41800000000001</v>
      </c>
      <c r="F32">
        <v>85.68</v>
      </c>
      <c r="G32">
        <v>213.38499999999999</v>
      </c>
      <c r="H32">
        <v>6.2880000000000003</v>
      </c>
      <c r="I32">
        <v>12.239000000000001</v>
      </c>
      <c r="J32">
        <v>993.4</v>
      </c>
      <c r="K32">
        <v>81.203999999999994</v>
      </c>
      <c r="L32">
        <v>189.06200000000001</v>
      </c>
      <c r="M32">
        <v>121.223</v>
      </c>
      <c r="N32">
        <v>2174.7359999999999</v>
      </c>
      <c r="O32">
        <v>5088.7550000000001</v>
      </c>
    </row>
    <row r="33" spans="1:15" x14ac:dyDescent="0.2">
      <c r="A33" s="22">
        <v>1993</v>
      </c>
      <c r="B33">
        <v>1881.6780000000001</v>
      </c>
      <c r="C33">
        <v>1110.7049999999999</v>
      </c>
      <c r="D33">
        <v>2.6539999999999999</v>
      </c>
      <c r="E33">
        <v>477.93200000000002</v>
      </c>
      <c r="F33">
        <v>86.135000000000005</v>
      </c>
      <c r="G33">
        <v>215.059</v>
      </c>
      <c r="H33">
        <v>7.5170000000000003</v>
      </c>
      <c r="I33">
        <v>12.462999999999999</v>
      </c>
      <c r="J33">
        <v>1004.18</v>
      </c>
      <c r="K33">
        <v>77.694000000000003</v>
      </c>
      <c r="L33">
        <v>186.09800000000001</v>
      </c>
      <c r="M33">
        <v>110.91200000000001</v>
      </c>
      <c r="N33">
        <v>2180.645</v>
      </c>
      <c r="O33">
        <v>5182.0360000000001</v>
      </c>
    </row>
    <row r="34" spans="1:15" x14ac:dyDescent="0.2">
      <c r="A34" s="22">
        <v>1994</v>
      </c>
      <c r="B34">
        <v>1892.2249999999999</v>
      </c>
      <c r="C34">
        <v>1136.048</v>
      </c>
      <c r="D34">
        <v>2.637</v>
      </c>
      <c r="E34">
        <v>496.55399999999997</v>
      </c>
      <c r="F34">
        <v>90.125</v>
      </c>
      <c r="G34">
        <v>223.81200000000001</v>
      </c>
      <c r="H34">
        <v>7.4130000000000003</v>
      </c>
      <c r="I34">
        <v>13.026</v>
      </c>
      <c r="J34">
        <v>1018.619</v>
      </c>
      <c r="K34">
        <v>76.575000000000003</v>
      </c>
      <c r="L34">
        <v>175.86699999999999</v>
      </c>
      <c r="M34">
        <v>119.435</v>
      </c>
      <c r="N34">
        <v>2224.0630000000001</v>
      </c>
      <c r="O34">
        <v>5262.0420000000004</v>
      </c>
    </row>
    <row r="35" spans="1:15" x14ac:dyDescent="0.2">
      <c r="A35" s="22">
        <v>1995</v>
      </c>
      <c r="B35">
        <v>1912.143</v>
      </c>
      <c r="C35">
        <v>1185.443</v>
      </c>
      <c r="D35">
        <v>2.7370000000000001</v>
      </c>
      <c r="E35">
        <v>503.52300000000002</v>
      </c>
      <c r="F35">
        <v>89.956000000000003</v>
      </c>
      <c r="G35">
        <v>222.114</v>
      </c>
      <c r="H35">
        <v>8.1850000000000005</v>
      </c>
      <c r="I35">
        <v>12.802</v>
      </c>
      <c r="J35">
        <v>1041.7180000000001</v>
      </c>
      <c r="K35">
        <v>77.501999999999995</v>
      </c>
      <c r="L35">
        <v>146.756</v>
      </c>
      <c r="M35">
        <v>111.2</v>
      </c>
      <c r="N35">
        <v>2216.4929999999999</v>
      </c>
      <c r="O35">
        <v>5324.415</v>
      </c>
    </row>
    <row r="36" spans="1:15" x14ac:dyDescent="0.2">
      <c r="A36" s="22">
        <v>1996</v>
      </c>
      <c r="B36">
        <v>1994.5319999999999</v>
      </c>
      <c r="C36">
        <v>1206.7439999999999</v>
      </c>
      <c r="D36">
        <v>2.5830000000000002</v>
      </c>
      <c r="E36">
        <v>529.87900000000002</v>
      </c>
      <c r="F36">
        <v>96.894999999999996</v>
      </c>
      <c r="G36">
        <v>236.47300000000001</v>
      </c>
      <c r="H36">
        <v>9.3759999999999994</v>
      </c>
      <c r="I36">
        <v>12.423999999999999</v>
      </c>
      <c r="J36">
        <v>1062.0150000000001</v>
      </c>
      <c r="K36">
        <v>80.813000000000002</v>
      </c>
      <c r="L36">
        <v>146.56200000000001</v>
      </c>
      <c r="M36">
        <v>129.559</v>
      </c>
      <c r="N36">
        <v>2306.5790000000002</v>
      </c>
      <c r="O36">
        <v>5518.1409999999996</v>
      </c>
    </row>
    <row r="37" spans="1:15" x14ac:dyDescent="0.2">
      <c r="A37" s="22">
        <v>1997</v>
      </c>
      <c r="B37">
        <v>2038.8489999999999</v>
      </c>
      <c r="C37">
        <v>1213.7760000000001</v>
      </c>
      <c r="D37">
        <v>2.7450000000000001</v>
      </c>
      <c r="E37">
        <v>539.45600000000002</v>
      </c>
      <c r="F37">
        <v>95.069000000000003</v>
      </c>
      <c r="G37">
        <v>238.923</v>
      </c>
      <c r="H37">
        <v>9.9779999999999998</v>
      </c>
      <c r="I37">
        <v>13.125</v>
      </c>
      <c r="J37">
        <v>1073.3340000000001</v>
      </c>
      <c r="K37">
        <v>80.233999999999995</v>
      </c>
      <c r="L37">
        <v>137.26300000000001</v>
      </c>
      <c r="M37">
        <v>135.99799999999999</v>
      </c>
      <c r="N37">
        <v>2326.1239999999998</v>
      </c>
      <c r="O37">
        <v>5589.4539999999997</v>
      </c>
    </row>
    <row r="38" spans="1:15" x14ac:dyDescent="0.2">
      <c r="A38" s="22">
        <v>1998</v>
      </c>
      <c r="B38">
        <v>2063.6329999999998</v>
      </c>
      <c r="C38">
        <v>1191.317</v>
      </c>
      <c r="D38">
        <v>2.4540000000000002</v>
      </c>
      <c r="E38">
        <v>543.29</v>
      </c>
      <c r="F38">
        <v>85.843999999999994</v>
      </c>
      <c r="G38">
        <v>242.434</v>
      </c>
      <c r="H38">
        <v>11.821999999999999</v>
      </c>
      <c r="I38">
        <v>13.74</v>
      </c>
      <c r="J38">
        <v>1104.672</v>
      </c>
      <c r="K38">
        <v>93.385000000000005</v>
      </c>
      <c r="L38">
        <v>152.85</v>
      </c>
      <c r="M38">
        <v>120.881</v>
      </c>
      <c r="N38">
        <v>2371.3739999999998</v>
      </c>
      <c r="O38">
        <v>5636.8620000000001</v>
      </c>
    </row>
    <row r="39" spans="1:15" x14ac:dyDescent="0.2">
      <c r="A39" s="22">
        <v>1999</v>
      </c>
      <c r="B39">
        <v>2061.623</v>
      </c>
      <c r="C39">
        <v>1196.9349999999999</v>
      </c>
      <c r="D39">
        <v>2.7080000000000002</v>
      </c>
      <c r="E39">
        <v>560.66499999999996</v>
      </c>
      <c r="F39">
        <v>101.63800000000001</v>
      </c>
      <c r="G39">
        <v>250.017</v>
      </c>
      <c r="H39">
        <v>11.047000000000001</v>
      </c>
      <c r="I39">
        <v>13.884</v>
      </c>
      <c r="J39">
        <v>1125.4159999999999</v>
      </c>
      <c r="K39">
        <v>99.524000000000001</v>
      </c>
      <c r="L39">
        <v>143.03100000000001</v>
      </c>
      <c r="M39">
        <v>123.252</v>
      </c>
      <c r="N39">
        <v>2431.183</v>
      </c>
      <c r="O39">
        <v>5700.3890000000001</v>
      </c>
    </row>
    <row r="40" spans="1:15" x14ac:dyDescent="0.2">
      <c r="A40" s="22">
        <v>2000</v>
      </c>
      <c r="B40">
        <v>2154.7429999999999</v>
      </c>
      <c r="C40">
        <v>1246.05</v>
      </c>
      <c r="D40">
        <v>2.5089999999999999</v>
      </c>
      <c r="E40">
        <v>592.24099999999999</v>
      </c>
      <c r="F40">
        <v>106.027</v>
      </c>
      <c r="G40">
        <v>258.58100000000002</v>
      </c>
      <c r="H40">
        <v>10.236000000000001</v>
      </c>
      <c r="I40">
        <v>13.675000000000001</v>
      </c>
      <c r="J40">
        <v>1141.299</v>
      </c>
      <c r="K40">
        <v>84.974000000000004</v>
      </c>
      <c r="L40">
        <v>156.96899999999999</v>
      </c>
      <c r="M40">
        <v>110.919</v>
      </c>
      <c r="N40">
        <v>2477.431</v>
      </c>
      <c r="O40">
        <v>5888.7309999999998</v>
      </c>
    </row>
    <row r="41" spans="1:15" x14ac:dyDescent="0.2">
      <c r="A41" s="22">
        <v>2001</v>
      </c>
      <c r="B41">
        <v>2087.2559999999999</v>
      </c>
      <c r="C41">
        <v>1191.76</v>
      </c>
      <c r="D41">
        <v>2.415</v>
      </c>
      <c r="E41">
        <v>609.47799999999995</v>
      </c>
      <c r="F41">
        <v>95.902000000000001</v>
      </c>
      <c r="G41">
        <v>247.43199999999999</v>
      </c>
      <c r="H41">
        <v>10.957000000000001</v>
      </c>
      <c r="I41">
        <v>12.53</v>
      </c>
      <c r="J41">
        <v>1148.6020000000001</v>
      </c>
      <c r="K41">
        <v>91.23</v>
      </c>
      <c r="L41">
        <v>139.76499999999999</v>
      </c>
      <c r="M41">
        <v>129.346</v>
      </c>
      <c r="N41">
        <v>2487.6579999999999</v>
      </c>
      <c r="O41">
        <v>5777.924</v>
      </c>
    </row>
    <row r="42" spans="1:15" x14ac:dyDescent="0.2">
      <c r="A42" s="22">
        <v>2002</v>
      </c>
      <c r="B42">
        <v>2092.877</v>
      </c>
      <c r="C42">
        <v>1231.527</v>
      </c>
      <c r="D42">
        <v>2.3319999999999999</v>
      </c>
      <c r="E42">
        <v>598.26900000000001</v>
      </c>
      <c r="F42">
        <v>97.501999999999995</v>
      </c>
      <c r="G42">
        <v>241.245</v>
      </c>
      <c r="H42">
        <v>6.5640000000000001</v>
      </c>
      <c r="I42">
        <v>12.381</v>
      </c>
      <c r="J42">
        <v>1179.376</v>
      </c>
      <c r="K42">
        <v>98.900999999999996</v>
      </c>
      <c r="L42">
        <v>120.541</v>
      </c>
      <c r="M42">
        <v>125.539</v>
      </c>
      <c r="N42">
        <v>2482.65</v>
      </c>
      <c r="O42">
        <v>5820.1769999999997</v>
      </c>
    </row>
    <row r="43" spans="1:15" x14ac:dyDescent="0.2">
      <c r="A43" s="22">
        <v>2003</v>
      </c>
      <c r="B43">
        <v>2133.9209999999998</v>
      </c>
      <c r="C43">
        <v>1195.3810000000001</v>
      </c>
      <c r="D43">
        <v>2.089</v>
      </c>
      <c r="E43">
        <v>622.55100000000004</v>
      </c>
      <c r="F43">
        <v>95.353999999999999</v>
      </c>
      <c r="G43">
        <v>235.839</v>
      </c>
      <c r="H43">
        <v>8.2739999999999991</v>
      </c>
      <c r="I43">
        <v>11.446999999999999</v>
      </c>
      <c r="J43">
        <v>1201.421</v>
      </c>
      <c r="K43">
        <v>97.185000000000002</v>
      </c>
      <c r="L43">
        <v>133.035</v>
      </c>
      <c r="M43">
        <v>138.25700000000001</v>
      </c>
      <c r="N43">
        <v>2545.453</v>
      </c>
      <c r="O43">
        <v>5886.5680000000002</v>
      </c>
    </row>
    <row r="44" spans="1:15" x14ac:dyDescent="0.2">
      <c r="A44" s="22">
        <v>2004</v>
      </c>
      <c r="B44">
        <v>2158.366</v>
      </c>
      <c r="C44">
        <v>1200.931</v>
      </c>
      <c r="D44">
        <v>2.16</v>
      </c>
      <c r="E44">
        <v>645.63699999999994</v>
      </c>
      <c r="F44">
        <v>96.147999999999996</v>
      </c>
      <c r="G44">
        <v>244.29400000000001</v>
      </c>
      <c r="H44">
        <v>9.7680000000000007</v>
      </c>
      <c r="I44">
        <v>11.597</v>
      </c>
      <c r="J44">
        <v>1212.18</v>
      </c>
      <c r="K44">
        <v>111.667</v>
      </c>
      <c r="L44">
        <v>149.39400000000001</v>
      </c>
      <c r="M44">
        <v>140.19399999999999</v>
      </c>
      <c r="N44">
        <v>2623.0390000000002</v>
      </c>
      <c r="O44">
        <v>5993.8819999999996</v>
      </c>
    </row>
    <row r="45" spans="1:15" x14ac:dyDescent="0.2">
      <c r="A45" s="22">
        <v>2005</v>
      </c>
      <c r="B45">
        <v>2180.1460000000002</v>
      </c>
      <c r="C45">
        <v>1182.4659999999999</v>
      </c>
      <c r="D45">
        <v>2.4449999999999998</v>
      </c>
      <c r="E45">
        <v>652.70000000000005</v>
      </c>
      <c r="F45">
        <v>91.731999999999999</v>
      </c>
      <c r="G45">
        <v>250.95400000000001</v>
      </c>
      <c r="H45">
        <v>10.573</v>
      </c>
      <c r="I45">
        <v>11.536</v>
      </c>
      <c r="J45">
        <v>1205.21</v>
      </c>
      <c r="K45">
        <v>109.592</v>
      </c>
      <c r="L45">
        <v>158.50700000000001</v>
      </c>
      <c r="M45">
        <v>139.661</v>
      </c>
      <c r="N45">
        <v>2632.9119999999998</v>
      </c>
      <c r="O45">
        <v>6007.1490000000003</v>
      </c>
    </row>
    <row r="46" spans="1:15" x14ac:dyDescent="0.2">
      <c r="A46" s="22">
        <v>2006</v>
      </c>
      <c r="B46">
        <v>2146.009</v>
      </c>
      <c r="C46">
        <v>1169.6959999999999</v>
      </c>
      <c r="D46">
        <v>2.3119999999999998</v>
      </c>
      <c r="E46">
        <v>657.61400000000003</v>
      </c>
      <c r="F46">
        <v>86.143000000000001</v>
      </c>
      <c r="G46">
        <v>244.066</v>
      </c>
      <c r="H46">
        <v>8.1310000000000002</v>
      </c>
      <c r="I46">
        <v>11.239000000000001</v>
      </c>
      <c r="J46">
        <v>1216.8800000000001</v>
      </c>
      <c r="K46">
        <v>105.93899999999999</v>
      </c>
      <c r="L46">
        <v>118.682</v>
      </c>
      <c r="M46">
        <v>150.881</v>
      </c>
      <c r="N46">
        <v>2601.8879999999999</v>
      </c>
      <c r="O46">
        <v>5929.4960000000001</v>
      </c>
    </row>
    <row r="47" spans="1:15" x14ac:dyDescent="0.2">
      <c r="A47" s="22">
        <v>2007</v>
      </c>
      <c r="B47">
        <v>2171.2950000000001</v>
      </c>
      <c r="C47">
        <v>1245.1579999999999</v>
      </c>
      <c r="D47">
        <v>2.1840000000000002</v>
      </c>
      <c r="E47">
        <v>657.07899999999995</v>
      </c>
      <c r="F47">
        <v>89.697999999999993</v>
      </c>
      <c r="G47">
        <v>242.494</v>
      </c>
      <c r="H47">
        <v>4.8680000000000003</v>
      </c>
      <c r="I47">
        <v>11.606999999999999</v>
      </c>
      <c r="J47">
        <v>1208.6210000000001</v>
      </c>
      <c r="K47">
        <v>99.24</v>
      </c>
      <c r="L47">
        <v>124.55500000000001</v>
      </c>
      <c r="M47">
        <v>147.22999999999999</v>
      </c>
      <c r="N47">
        <v>2587.576</v>
      </c>
      <c r="O47">
        <v>6015.6970000000001</v>
      </c>
    </row>
    <row r="48" spans="1:15" x14ac:dyDescent="0.2">
      <c r="A48" s="22">
        <v>2008</v>
      </c>
      <c r="B48">
        <v>2138.6930000000002</v>
      </c>
      <c r="C48">
        <v>1254.5219999999999</v>
      </c>
      <c r="D48">
        <v>1.9550000000000001</v>
      </c>
      <c r="E48">
        <v>619.03200000000004</v>
      </c>
      <c r="F48">
        <v>88.656999999999996</v>
      </c>
      <c r="G48">
        <v>230.59399999999999</v>
      </c>
      <c r="H48">
        <v>2.161</v>
      </c>
      <c r="I48">
        <v>10.775</v>
      </c>
      <c r="J48">
        <v>1133.5920000000001</v>
      </c>
      <c r="K48">
        <v>93.992999999999995</v>
      </c>
      <c r="L48">
        <v>107.495</v>
      </c>
      <c r="M48">
        <v>129.809</v>
      </c>
      <c r="N48">
        <v>2418.0639999999999</v>
      </c>
      <c r="O48">
        <v>5823.2740000000003</v>
      </c>
    </row>
    <row r="49" spans="1:15" x14ac:dyDescent="0.2">
      <c r="A49" s="22">
        <v>2009</v>
      </c>
      <c r="B49">
        <v>1875.16</v>
      </c>
      <c r="C49">
        <v>1233.3900000000001</v>
      </c>
      <c r="D49">
        <v>1.8360000000000001</v>
      </c>
      <c r="E49">
        <v>562.74400000000003</v>
      </c>
      <c r="F49">
        <v>86.096999999999994</v>
      </c>
      <c r="G49">
        <v>208.23699999999999</v>
      </c>
      <c r="H49">
        <v>2.6579999999999999</v>
      </c>
      <c r="I49">
        <v>9.6880000000000006</v>
      </c>
      <c r="J49">
        <v>1126.547</v>
      </c>
      <c r="K49">
        <v>86.600999999999999</v>
      </c>
      <c r="L49">
        <v>88.064999999999998</v>
      </c>
      <c r="M49">
        <v>111.176</v>
      </c>
      <c r="N49">
        <v>2283.6469999999999</v>
      </c>
      <c r="O49">
        <v>5403.8280000000004</v>
      </c>
    </row>
    <row r="50" spans="1:15" x14ac:dyDescent="0.2">
      <c r="A50" s="22">
        <v>2010</v>
      </c>
      <c r="B50">
        <v>1985.9390000000001</v>
      </c>
      <c r="C50">
        <v>1292.4380000000001</v>
      </c>
      <c r="D50">
        <v>1.87</v>
      </c>
      <c r="E50">
        <v>590.97400000000005</v>
      </c>
      <c r="F50">
        <v>84.364999999999995</v>
      </c>
      <c r="G50">
        <v>214.018</v>
      </c>
      <c r="H50">
        <v>3.0190000000000001</v>
      </c>
      <c r="I50">
        <v>10.763999999999999</v>
      </c>
      <c r="J50">
        <v>1106.9960000000001</v>
      </c>
      <c r="K50">
        <v>80.950999999999993</v>
      </c>
      <c r="L50">
        <v>91.972999999999999</v>
      </c>
      <c r="M50">
        <v>119.10899999999999</v>
      </c>
      <c r="N50">
        <v>2304.0369999999998</v>
      </c>
      <c r="O50">
        <v>5593.8159999999998</v>
      </c>
    </row>
    <row r="51" spans="1:15" x14ac:dyDescent="0.2">
      <c r="A51" s="22">
        <v>2011</v>
      </c>
      <c r="B51">
        <v>1875.6010000000001</v>
      </c>
      <c r="C51">
        <v>1312.328</v>
      </c>
      <c r="D51">
        <v>1.871</v>
      </c>
      <c r="E51">
        <v>600.25800000000004</v>
      </c>
      <c r="F51">
        <v>78.832999999999998</v>
      </c>
      <c r="G51">
        <v>213.07499999999999</v>
      </c>
      <c r="H51">
        <v>1.8540000000000001</v>
      </c>
      <c r="I51">
        <v>10.212999999999999</v>
      </c>
      <c r="J51">
        <v>1073.7449999999999</v>
      </c>
      <c r="K51">
        <v>78.106999999999999</v>
      </c>
      <c r="L51">
        <v>79.188000000000002</v>
      </c>
      <c r="M51">
        <v>118.056</v>
      </c>
      <c r="N51">
        <v>2255.1999999999998</v>
      </c>
      <c r="O51">
        <v>5454.8509999999997</v>
      </c>
    </row>
    <row r="52" spans="1:15" x14ac:dyDescent="0.2">
      <c r="A52" s="22">
        <v>2012</v>
      </c>
      <c r="B52">
        <v>1657.873</v>
      </c>
      <c r="C52">
        <v>1371.5609999999999</v>
      </c>
      <c r="D52">
        <v>1.7370000000000001</v>
      </c>
      <c r="E52">
        <v>576.76</v>
      </c>
      <c r="F52">
        <v>75.539000000000001</v>
      </c>
      <c r="G52">
        <v>209.58</v>
      </c>
      <c r="H52">
        <v>0.80100000000000005</v>
      </c>
      <c r="I52">
        <v>9.3960000000000008</v>
      </c>
      <c r="J52">
        <v>1065.7829999999999</v>
      </c>
      <c r="K52">
        <v>77.885999999999996</v>
      </c>
      <c r="L52">
        <v>63.581000000000003</v>
      </c>
      <c r="M52">
        <v>114.14400000000001</v>
      </c>
      <c r="N52">
        <v>2195.2060000000001</v>
      </c>
      <c r="O52">
        <v>5236.4780000000001</v>
      </c>
    </row>
    <row r="53" spans="1:15" x14ac:dyDescent="0.2">
      <c r="A53" s="22">
        <v>2013</v>
      </c>
      <c r="B53">
        <v>1717.845</v>
      </c>
      <c r="C53">
        <v>1408.38</v>
      </c>
      <c r="D53">
        <v>1.546</v>
      </c>
      <c r="E53">
        <v>581.18100000000004</v>
      </c>
      <c r="F53">
        <v>85.046000000000006</v>
      </c>
      <c r="G53">
        <v>214.429</v>
      </c>
      <c r="H53">
        <v>0.78700000000000003</v>
      </c>
      <c r="I53">
        <v>9.9420000000000002</v>
      </c>
      <c r="J53">
        <v>1077.386</v>
      </c>
      <c r="K53">
        <v>76.567999999999998</v>
      </c>
      <c r="L53">
        <v>54.798999999999999</v>
      </c>
      <c r="M53">
        <v>119.629</v>
      </c>
      <c r="N53">
        <v>2221.3130000000001</v>
      </c>
      <c r="O53">
        <v>5359.0169999999998</v>
      </c>
    </row>
    <row r="54" spans="1:15" x14ac:dyDescent="0.2">
      <c r="A54" s="22">
        <v>2014</v>
      </c>
      <c r="B54">
        <v>1713.367</v>
      </c>
      <c r="C54">
        <v>1437.5360000000001</v>
      </c>
      <c r="D54">
        <v>1.5</v>
      </c>
      <c r="E54">
        <v>614.18200000000002</v>
      </c>
      <c r="F54">
        <v>86.021000000000001</v>
      </c>
      <c r="G54">
        <v>219.74</v>
      </c>
      <c r="H54">
        <v>1.363</v>
      </c>
      <c r="I54">
        <v>10.37</v>
      </c>
      <c r="J54">
        <v>1084.819</v>
      </c>
      <c r="K54">
        <v>77.108999999999995</v>
      </c>
      <c r="L54">
        <v>44.24</v>
      </c>
      <c r="M54">
        <v>112.23099999999999</v>
      </c>
      <c r="N54">
        <v>2251.576</v>
      </c>
      <c r="O54">
        <v>5414.0280000000002</v>
      </c>
    </row>
    <row r="55" spans="1:15" x14ac:dyDescent="0.2">
      <c r="A55" s="22">
        <v>2015</v>
      </c>
      <c r="B55">
        <v>1481.8979999999999</v>
      </c>
      <c r="C55">
        <v>1478.884</v>
      </c>
      <c r="D55">
        <v>1.462</v>
      </c>
      <c r="E55">
        <v>606.13499999999999</v>
      </c>
      <c r="F55">
        <v>86.316000000000003</v>
      </c>
      <c r="G55">
        <v>231.44800000000001</v>
      </c>
      <c r="H55">
        <v>0.96699999999999997</v>
      </c>
      <c r="I55">
        <v>11.292999999999999</v>
      </c>
      <c r="J55">
        <v>1114.4000000000001</v>
      </c>
      <c r="K55">
        <v>77.421000000000006</v>
      </c>
      <c r="L55">
        <v>44.621000000000002</v>
      </c>
      <c r="M55">
        <v>115.867</v>
      </c>
      <c r="N55">
        <v>2289.9299999999998</v>
      </c>
      <c r="O55">
        <v>5262.2</v>
      </c>
    </row>
    <row r="56" spans="1:15" x14ac:dyDescent="0.2">
      <c r="A56" s="22">
        <v>2016</v>
      </c>
      <c r="B56">
        <v>1355.2</v>
      </c>
      <c r="C56">
        <v>1489.8510000000001</v>
      </c>
      <c r="D56">
        <v>1.415</v>
      </c>
      <c r="E56">
        <v>583.05999999999995</v>
      </c>
      <c r="F56">
        <v>83.149000000000001</v>
      </c>
      <c r="G56">
        <v>241.97300000000001</v>
      </c>
      <c r="H56">
        <v>1.3169999999999999</v>
      </c>
      <c r="I56">
        <v>10.721</v>
      </c>
      <c r="J56">
        <v>1133.5170000000001</v>
      </c>
      <c r="K56">
        <v>77.025999999999996</v>
      </c>
      <c r="L56">
        <v>56.265999999999998</v>
      </c>
      <c r="M56">
        <v>123.898</v>
      </c>
      <c r="N56">
        <v>2312.3429999999998</v>
      </c>
      <c r="O56">
        <v>5169.0439999999999</v>
      </c>
    </row>
    <row r="57" spans="1:15" x14ac:dyDescent="0.2">
      <c r="A57" s="22">
        <v>2017</v>
      </c>
      <c r="B57">
        <v>1317.952</v>
      </c>
      <c r="C57">
        <v>1470.9639999999999</v>
      </c>
      <c r="D57">
        <v>1.4490000000000001</v>
      </c>
      <c r="E57">
        <v>591.20299999999997</v>
      </c>
      <c r="F57">
        <v>85.57</v>
      </c>
      <c r="G57">
        <v>251.46899999999999</v>
      </c>
      <c r="H57">
        <v>0.78400000000000003</v>
      </c>
      <c r="I57">
        <v>9.8829999999999991</v>
      </c>
      <c r="J57">
        <v>1131.251</v>
      </c>
      <c r="K57">
        <v>70.659000000000006</v>
      </c>
      <c r="L57">
        <v>58.786000000000001</v>
      </c>
      <c r="M57">
        <v>130.46299999999999</v>
      </c>
      <c r="N57">
        <v>2331.5160000000001</v>
      </c>
      <c r="O57">
        <v>5131.5290000000005</v>
      </c>
    </row>
    <row r="58" spans="1:15" x14ac:dyDescent="0.2">
      <c r="A58" s="22">
        <v>2018</v>
      </c>
      <c r="B58">
        <v>1262.5550000000001</v>
      </c>
      <c r="C58">
        <v>1626.9079999999999</v>
      </c>
      <c r="D58">
        <v>1.5489999999999999</v>
      </c>
      <c r="E58">
        <v>626.45600000000002</v>
      </c>
      <c r="F58">
        <v>97.83</v>
      </c>
      <c r="G58">
        <v>255.18299999999999</v>
      </c>
      <c r="H58">
        <v>0.82</v>
      </c>
      <c r="I58">
        <v>9.5909999999999993</v>
      </c>
      <c r="J58">
        <v>1131.4000000000001</v>
      </c>
      <c r="K58">
        <v>72.712000000000003</v>
      </c>
      <c r="L58">
        <v>54.637</v>
      </c>
      <c r="M58">
        <v>127.146</v>
      </c>
      <c r="N58">
        <v>2377.3229999999999</v>
      </c>
      <c r="O58">
        <v>5277.8819999999996</v>
      </c>
    </row>
    <row r="59" spans="1:15" x14ac:dyDescent="0.2">
      <c r="A59" s="22">
        <v>2019</v>
      </c>
      <c r="B59">
        <v>1077.52</v>
      </c>
      <c r="C59">
        <v>1684.624</v>
      </c>
      <c r="D59">
        <v>1.617</v>
      </c>
      <c r="E59">
        <v>620.82500000000005</v>
      </c>
      <c r="F59">
        <v>107.291</v>
      </c>
      <c r="G59">
        <v>260.61900000000003</v>
      </c>
      <c r="H59">
        <v>1.026</v>
      </c>
      <c r="I59">
        <v>9.2449999999999992</v>
      </c>
      <c r="J59">
        <v>1127.6769999999999</v>
      </c>
      <c r="K59">
        <v>67.477999999999994</v>
      </c>
      <c r="L59">
        <v>47.314</v>
      </c>
      <c r="M59">
        <v>130.804</v>
      </c>
      <c r="N59">
        <v>2373.8969999999999</v>
      </c>
      <c r="O59">
        <v>5146.9930000000004</v>
      </c>
    </row>
    <row r="60" spans="1:15" x14ac:dyDescent="0.2">
      <c r="A60" s="22">
        <v>2020</v>
      </c>
      <c r="B60">
        <v>876.19500000000005</v>
      </c>
      <c r="C60">
        <v>1649.8230000000001</v>
      </c>
      <c r="D60">
        <v>1.397</v>
      </c>
      <c r="E60">
        <v>572.245</v>
      </c>
      <c r="F60">
        <v>104.66800000000001</v>
      </c>
      <c r="G60">
        <v>161.358</v>
      </c>
      <c r="H60">
        <v>1.1379999999999999</v>
      </c>
      <c r="I60">
        <v>8.3960000000000008</v>
      </c>
      <c r="J60">
        <v>977.44399999999996</v>
      </c>
      <c r="K60">
        <v>58.027000000000001</v>
      </c>
      <c r="L60">
        <v>35.866999999999997</v>
      </c>
      <c r="M60">
        <v>122.979</v>
      </c>
      <c r="N60">
        <v>2043.519</v>
      </c>
      <c r="O60">
        <v>4580.5119999999997</v>
      </c>
    </row>
    <row r="61" spans="1:15" x14ac:dyDescent="0.2">
      <c r="A61" s="22">
        <v>2021</v>
      </c>
      <c r="B61">
        <v>1002.651</v>
      </c>
      <c r="C61">
        <v>1655.1220000000001</v>
      </c>
      <c r="D61">
        <v>1.49</v>
      </c>
      <c r="E61">
        <v>610.96699999999998</v>
      </c>
      <c r="F61">
        <v>111.372</v>
      </c>
      <c r="G61">
        <v>204.785</v>
      </c>
      <c r="H61">
        <v>0.9</v>
      </c>
      <c r="I61">
        <v>8.6110000000000007</v>
      </c>
      <c r="J61">
        <v>1066.5329999999999</v>
      </c>
      <c r="K61">
        <v>60.045999999999999</v>
      </c>
      <c r="L61">
        <v>54.064999999999998</v>
      </c>
      <c r="M61">
        <v>116.05500000000001</v>
      </c>
      <c r="N61">
        <v>2234.8240000000001</v>
      </c>
      <c r="O61">
        <v>4903.5720000000001</v>
      </c>
    </row>
    <row r="62" spans="1:15" x14ac:dyDescent="0.2">
      <c r="A62" s="22">
        <v>2022</v>
      </c>
      <c r="B62">
        <v>934.69799999999998</v>
      </c>
      <c r="C62">
        <v>1745.6289999999999</v>
      </c>
      <c r="D62">
        <v>1.5429999999999999</v>
      </c>
      <c r="E62">
        <v>619.45600000000002</v>
      </c>
      <c r="F62">
        <v>95.847999999999999</v>
      </c>
      <c r="G62">
        <v>233.16200000000001</v>
      </c>
      <c r="H62">
        <v>0.79500000000000004</v>
      </c>
      <c r="I62">
        <v>9.0709999999999997</v>
      </c>
      <c r="J62">
        <v>1065.0039999999999</v>
      </c>
      <c r="K62">
        <v>56.758000000000003</v>
      </c>
      <c r="L62">
        <v>56.728000000000002</v>
      </c>
      <c r="M62">
        <v>111.158</v>
      </c>
      <c r="N62">
        <v>2249.5230000000001</v>
      </c>
      <c r="O62">
        <v>4940.8249999999998</v>
      </c>
    </row>
  </sheetData>
  <hyperlinks>
    <hyperlink ref="A4" r:id="rId1" display="http://www.eia.gov/totalenergy/data/monthly/dataunits.cfm" xr:uid="{8A28768A-69D4-2D4C-8551-385E3B6076E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3F2B-AE9A-FD43-96A5-E53B08EE65FF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3715-BAA2-104C-8525-39705A8F4A71}">
  <dimension ref="A1:O57"/>
  <sheetViews>
    <sheetView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D36" sqref="D36"/>
    </sheetView>
  </sheetViews>
  <sheetFormatPr baseColWidth="10" defaultRowHeight="16" x14ac:dyDescent="0.2"/>
  <cols>
    <col min="1" max="1" width="16.5" style="74" customWidth="1"/>
    <col min="2" max="2" width="13.5" style="74" bestFit="1" customWidth="1"/>
    <col min="3" max="3" width="33.83203125" style="74" bestFit="1" customWidth="1"/>
    <col min="4" max="4" width="19.33203125" style="74" bestFit="1" customWidth="1"/>
    <col min="5" max="6" width="10.83203125" style="74"/>
    <col min="7" max="7" width="11" style="74" bestFit="1" customWidth="1"/>
    <col min="8" max="8" width="12.1640625" style="74" bestFit="1" customWidth="1"/>
    <col min="9" max="16384" width="10.83203125" style="74"/>
  </cols>
  <sheetData>
    <row r="1" spans="1:15" x14ac:dyDescent="0.2">
      <c r="A1" s="74" t="s">
        <v>1415</v>
      </c>
      <c r="C1" t="s">
        <v>1531</v>
      </c>
    </row>
    <row r="2" spans="1:15" x14ac:dyDescent="0.2">
      <c r="C2" s="62" t="s">
        <v>1528</v>
      </c>
    </row>
    <row r="3" spans="1:15" x14ac:dyDescent="0.2">
      <c r="C3"/>
    </row>
    <row r="4" spans="1:15" ht="34" x14ac:dyDescent="0.2">
      <c r="A4" s="77"/>
      <c r="B4" s="78" t="s">
        <v>1548</v>
      </c>
      <c r="C4" s="30" t="s">
        <v>1532</v>
      </c>
      <c r="D4" s="78" t="s">
        <v>1549</v>
      </c>
    </row>
    <row r="5" spans="1:15" ht="17" x14ac:dyDescent="0.2">
      <c r="A5" s="77"/>
      <c r="B5" s="79" t="s">
        <v>1571</v>
      </c>
      <c r="C5" s="63" t="str">
        <f ca="1">VLOOKUP("unit",INDIRECT(C$1),MATCH(C$2,INDIRECT(C$1&amp;"_col"),),)</f>
        <v>(Million Metric Tons of Carbon Dioxide)</v>
      </c>
      <c r="D5" s="80" t="s">
        <v>1572</v>
      </c>
      <c r="F5" s="82" t="s">
        <v>1552</v>
      </c>
      <c r="G5" s="82"/>
      <c r="H5" s="83"/>
    </row>
    <row r="6" spans="1:15" x14ac:dyDescent="0.2">
      <c r="A6" s="81">
        <v>1973</v>
      </c>
      <c r="B6" s="87">
        <f>'MER Quantity Data'!B37</f>
        <v>58.207231999999998</v>
      </c>
      <c r="C6" s="35">
        <f ca="1">VLOOKUP($A6,INDIRECT(C$1),MATCH(C$2,INDIRECT(C$1&amp;"_col"),),)</f>
        <v>4720.9160000000002</v>
      </c>
      <c r="D6" s="88">
        <f t="shared" ref="D6:D54" ca="1" si="0">IF(ISERROR(C6/B6),"",C6/B6)</f>
        <v>81.105316947557313</v>
      </c>
      <c r="F6" s="84" t="s">
        <v>1553</v>
      </c>
      <c r="G6" s="74" cm="1">
        <f t="array" aca="1" ref="G6:H6" ca="1">LOGEST(D33:D54)</f>
        <v>0.97271263502767158</v>
      </c>
      <c r="H6" s="76">
        <f ca="1"/>
        <v>119.89084481086829</v>
      </c>
      <c r="I6" s="74">
        <f ca="1">G6-1</f>
        <v>-2.7287364972328421E-2</v>
      </c>
      <c r="L6" s="38" t="s">
        <v>1479</v>
      </c>
      <c r="M6" s="38" t="s">
        <v>1509</v>
      </c>
      <c r="N6" s="38" t="s">
        <v>8</v>
      </c>
      <c r="O6" s="38" t="s">
        <v>1462</v>
      </c>
    </row>
    <row r="7" spans="1:15" ht="17" x14ac:dyDescent="0.2">
      <c r="A7" s="81">
        <f t="shared" ref="A7:A54" si="1">A6+1</f>
        <v>1974</v>
      </c>
      <c r="B7" s="87">
        <f>'MER Quantity Data'!B38</f>
        <v>56.294407999999997</v>
      </c>
      <c r="C7" s="35">
        <f t="shared" ref="C7:C54" ca="1" si="2">VLOOKUP($A7,INDIRECT(C$1),MATCH(C$2,INDIRECT(C$1&amp;"_col"),),)</f>
        <v>4561.0169999999998</v>
      </c>
      <c r="D7" s="88">
        <f t="shared" ca="1" si="0"/>
        <v>81.02078273920209</v>
      </c>
      <c r="F7" s="85" t="s">
        <v>1554</v>
      </c>
      <c r="G7" s="86">
        <f ca="1">G6^10-1</f>
        <v>-0.24169211529667367</v>
      </c>
      <c r="H7" s="76"/>
      <c r="L7" t="s">
        <v>1535</v>
      </c>
      <c r="M7" s="35">
        <v>185</v>
      </c>
      <c r="N7" s="35" t="s">
        <v>1541</v>
      </c>
      <c r="O7" t="s">
        <v>1546</v>
      </c>
    </row>
    <row r="8" spans="1:15" x14ac:dyDescent="0.2">
      <c r="A8" s="81">
        <f t="shared" si="1"/>
        <v>1975</v>
      </c>
      <c r="B8" s="87">
        <f>'MER Quantity Data'!B39</f>
        <v>54.696919000000001</v>
      </c>
      <c r="C8" s="35">
        <f t="shared" ca="1" si="2"/>
        <v>4427.9369999999999</v>
      </c>
      <c r="D8" s="88">
        <f t="shared" ca="1" si="0"/>
        <v>80.954047887048262</v>
      </c>
      <c r="L8" t="s">
        <v>1534</v>
      </c>
      <c r="M8" s="35">
        <f>'MER GDP Data'!O89</f>
        <v>0</v>
      </c>
      <c r="N8" s="35" t="s">
        <v>1542</v>
      </c>
      <c r="O8"/>
    </row>
    <row r="9" spans="1:15" x14ac:dyDescent="0.2">
      <c r="A9" s="81">
        <f t="shared" si="1"/>
        <v>1976</v>
      </c>
      <c r="B9" s="87">
        <f>'MER Quantity Data'!B40</f>
        <v>54.683563999999997</v>
      </c>
      <c r="C9" s="35">
        <f t="shared" ca="1" si="2"/>
        <v>4694.6120000000001</v>
      </c>
      <c r="D9" s="88">
        <f t="shared" ca="1" si="0"/>
        <v>85.850512596435749</v>
      </c>
      <c r="L9" t="s">
        <v>1536</v>
      </c>
      <c r="M9" s="35" t="e">
        <f>M7/M8</f>
        <v>#DIV/0!</v>
      </c>
      <c r="N9" s="35" t="s">
        <v>1541</v>
      </c>
      <c r="O9"/>
    </row>
    <row r="10" spans="1:15" x14ac:dyDescent="0.2">
      <c r="A10" s="81">
        <f t="shared" si="1"/>
        <v>1977</v>
      </c>
      <c r="B10" s="87">
        <f>'MER Quantity Data'!B41</f>
        <v>55.059451000000003</v>
      </c>
      <c r="C10" s="35">
        <f t="shared" ca="1" si="2"/>
        <v>4835.1480000000001</v>
      </c>
      <c r="D10" s="88">
        <f t="shared" ca="1" si="0"/>
        <v>87.81685818116857</v>
      </c>
      <c r="L10" t="s">
        <v>1538</v>
      </c>
      <c r="M10" s="35">
        <f>'MER Environment Data'!W65*1000000</f>
        <v>0</v>
      </c>
      <c r="N10" s="35" t="s">
        <v>1540</v>
      </c>
      <c r="O10"/>
    </row>
    <row r="11" spans="1:15" x14ac:dyDescent="0.2">
      <c r="A11" s="81">
        <f t="shared" si="1"/>
        <v>1978</v>
      </c>
      <c r="B11" s="87">
        <f>'MER Quantity Data'!B42</f>
        <v>55.030639999999998</v>
      </c>
      <c r="C11" s="35">
        <f t="shared" ca="1" si="2"/>
        <v>4884.1130000000003</v>
      </c>
      <c r="D11" s="88">
        <f t="shared" ca="1" si="0"/>
        <v>88.752611272556535</v>
      </c>
      <c r="L11" t="s">
        <v>1539</v>
      </c>
      <c r="M11" s="35" t="e">
        <f>M10*M9</f>
        <v>#DIV/0!</v>
      </c>
      <c r="N11" s="35" t="s">
        <v>1543</v>
      </c>
      <c r="O11"/>
    </row>
    <row r="12" spans="1:15" x14ac:dyDescent="0.2">
      <c r="A12" s="81">
        <f t="shared" si="1"/>
        <v>1979</v>
      </c>
      <c r="B12" s="87">
        <f>'MER Quantity Data'!B43</f>
        <v>57.951852000000002</v>
      </c>
      <c r="C12" s="35">
        <f t="shared" ca="1" si="2"/>
        <v>4949.8969999999999</v>
      </c>
      <c r="D12" s="88">
        <f t="shared" ca="1" si="0"/>
        <v>85.413957089757886</v>
      </c>
      <c r="L12" t="s">
        <v>1537</v>
      </c>
      <c r="M12" s="35">
        <f>'MER GDP Data'!N89*1000000000</f>
        <v>0</v>
      </c>
      <c r="N12" s="35" t="s">
        <v>1543</v>
      </c>
      <c r="O12"/>
    </row>
    <row r="13" spans="1:15" x14ac:dyDescent="0.2">
      <c r="A13" s="81">
        <f t="shared" si="1"/>
        <v>1980</v>
      </c>
      <c r="B13" s="87">
        <f>'MER Quantity Data'!B44</f>
        <v>58.979084</v>
      </c>
      <c r="C13" s="35">
        <f t="shared" ca="1" si="2"/>
        <v>4756.3280000000004</v>
      </c>
      <c r="D13" s="88">
        <f t="shared" ca="1" si="0"/>
        <v>80.644317907684027</v>
      </c>
      <c r="L13" t="s">
        <v>1544</v>
      </c>
      <c r="M13" s="67" t="e">
        <f>M11/M12</f>
        <v>#DIV/0!</v>
      </c>
      <c r="N13" s="35"/>
      <c r="O13"/>
    </row>
    <row r="14" spans="1:15" x14ac:dyDescent="0.2">
      <c r="A14" s="81">
        <f t="shared" si="1"/>
        <v>1981</v>
      </c>
      <c r="B14" s="87">
        <f>'MER Quantity Data'!B45</f>
        <v>58.488230999999999</v>
      </c>
      <c r="C14" s="35">
        <f t="shared" ca="1" si="2"/>
        <v>4636.6840000000002</v>
      </c>
      <c r="D14" s="88">
        <f t="shared" ca="1" si="0"/>
        <v>79.275504160828532</v>
      </c>
    </row>
    <row r="15" spans="1:15" x14ac:dyDescent="0.2">
      <c r="A15" s="81">
        <f t="shared" si="1"/>
        <v>1982</v>
      </c>
      <c r="B15" s="87">
        <f>'MER Quantity Data'!B46</f>
        <v>57.415947000000003</v>
      </c>
      <c r="C15" s="35">
        <f t="shared" ca="1" si="2"/>
        <v>4404.4780000000001</v>
      </c>
      <c r="D15" s="88">
        <f t="shared" ca="1" si="0"/>
        <v>76.711753966193399</v>
      </c>
    </row>
    <row r="16" spans="1:15" x14ac:dyDescent="0.2">
      <c r="A16" s="81">
        <f t="shared" si="1"/>
        <v>1983</v>
      </c>
      <c r="B16" s="87">
        <f>'MER Quantity Data'!B47</f>
        <v>54.368170999999997</v>
      </c>
      <c r="C16" s="35">
        <f t="shared" ca="1" si="2"/>
        <v>4383.9920000000002</v>
      </c>
      <c r="D16" s="88">
        <f t="shared" ca="1" si="0"/>
        <v>80.635267277981455</v>
      </c>
    </row>
    <row r="17" spans="1:4" x14ac:dyDescent="0.2">
      <c r="A17" s="81">
        <f t="shared" si="1"/>
        <v>1984</v>
      </c>
      <c r="B17" s="87">
        <f>'MER Quantity Data'!B48</f>
        <v>58.809192000000003</v>
      </c>
      <c r="C17" s="35">
        <f t="shared" ca="1" si="2"/>
        <v>4612.9080000000004</v>
      </c>
      <c r="D17" s="88">
        <f t="shared" ca="1" si="0"/>
        <v>78.438554299470738</v>
      </c>
    </row>
    <row r="18" spans="1:4" x14ac:dyDescent="0.2">
      <c r="A18" s="81">
        <f t="shared" si="1"/>
        <v>1985</v>
      </c>
      <c r="B18" s="87">
        <f>'MER Quantity Data'!B49</f>
        <v>57.501721000000003</v>
      </c>
      <c r="C18" s="35">
        <f t="shared" ca="1" si="2"/>
        <v>4605.41</v>
      </c>
      <c r="D18" s="88">
        <f t="shared" ca="1" si="0"/>
        <v>80.091689777424222</v>
      </c>
    </row>
    <row r="19" spans="1:4" ht="21" customHeight="1" x14ac:dyDescent="0.2">
      <c r="A19" s="81">
        <f t="shared" si="1"/>
        <v>1986</v>
      </c>
      <c r="B19" s="87">
        <f>'MER Quantity Data'!B50</f>
        <v>56.539006999999998</v>
      </c>
      <c r="C19" s="35">
        <f t="shared" ca="1" si="2"/>
        <v>4615.7240000000002</v>
      </c>
      <c r="D19" s="88">
        <f t="shared" ca="1" si="0"/>
        <v>81.637868171260948</v>
      </c>
    </row>
    <row r="20" spans="1:4" ht="21" customHeight="1" x14ac:dyDescent="0.2">
      <c r="A20" s="81">
        <f t="shared" si="1"/>
        <v>1987</v>
      </c>
      <c r="B20" s="87">
        <f>'MER Quantity Data'!B51</f>
        <v>57.130642999999999</v>
      </c>
      <c r="C20" s="35">
        <f t="shared" ca="1" si="2"/>
        <v>4775.616</v>
      </c>
      <c r="D20" s="88">
        <f t="shared" ca="1" si="0"/>
        <v>83.591147398778617</v>
      </c>
    </row>
    <row r="21" spans="1:4" ht="21" customHeight="1" x14ac:dyDescent="0.2">
      <c r="A21" s="81">
        <f t="shared" si="1"/>
        <v>1988</v>
      </c>
      <c r="B21" s="87">
        <f>'MER Quantity Data'!B52</f>
        <v>57.845857000000002</v>
      </c>
      <c r="C21" s="35">
        <f t="shared" ca="1" si="2"/>
        <v>4998.2830000000004</v>
      </c>
      <c r="D21" s="88">
        <f t="shared" ca="1" si="0"/>
        <v>86.406931441952707</v>
      </c>
    </row>
    <row r="22" spans="1:4" ht="21" customHeight="1" x14ac:dyDescent="0.2">
      <c r="A22" s="81">
        <f t="shared" si="1"/>
        <v>1989</v>
      </c>
      <c r="B22" s="87">
        <f>'MER Quantity Data'!B53</f>
        <v>57.447702999999997</v>
      </c>
      <c r="C22" s="35">
        <f t="shared" ca="1" si="2"/>
        <v>5084.6329999999998</v>
      </c>
      <c r="D22" s="88">
        <f t="shared" ca="1" si="0"/>
        <v>88.508899999013011</v>
      </c>
    </row>
    <row r="23" spans="1:4" ht="21" customHeight="1" x14ac:dyDescent="0.2">
      <c r="A23" s="81">
        <f t="shared" si="1"/>
        <v>1990</v>
      </c>
      <c r="B23" s="87">
        <f>'MER Quantity Data'!B54</f>
        <v>58.523186000000003</v>
      </c>
      <c r="C23" s="35">
        <f t="shared" ca="1" si="2"/>
        <v>5037.9750000000004</v>
      </c>
      <c r="D23" s="88">
        <f t="shared" ca="1" si="0"/>
        <v>86.085111634216219</v>
      </c>
    </row>
    <row r="24" spans="1:4" ht="21" customHeight="1" x14ac:dyDescent="0.2">
      <c r="A24" s="81">
        <f t="shared" si="1"/>
        <v>1991</v>
      </c>
      <c r="B24" s="87">
        <f>'MER Quantity Data'!B55</f>
        <v>57.831147999999999</v>
      </c>
      <c r="C24" s="35">
        <f t="shared" ca="1" si="2"/>
        <v>4990.8040000000001</v>
      </c>
      <c r="D24" s="88">
        <f t="shared" ca="1" si="0"/>
        <v>86.299583746807173</v>
      </c>
    </row>
    <row r="25" spans="1:4" ht="21" customHeight="1" x14ac:dyDescent="0.2">
      <c r="A25" s="81">
        <f t="shared" si="1"/>
        <v>1992</v>
      </c>
      <c r="B25" s="87">
        <f>'MER Quantity Data'!B56</f>
        <v>57.614680999999997</v>
      </c>
      <c r="C25" s="35">
        <f t="shared" ca="1" si="2"/>
        <v>5088.7550000000001</v>
      </c>
      <c r="D25" s="88">
        <f t="shared" ca="1" si="0"/>
        <v>88.323929104111514</v>
      </c>
    </row>
    <row r="26" spans="1:4" ht="21" customHeight="1" x14ac:dyDescent="0.2">
      <c r="A26" s="81">
        <f t="shared" si="1"/>
        <v>1993</v>
      </c>
      <c r="B26" s="87">
        <f>'MER Quantity Data'!B57</f>
        <v>55.780270000000002</v>
      </c>
      <c r="C26" s="35">
        <f t="shared" ca="1" si="2"/>
        <v>5182.0360000000001</v>
      </c>
      <c r="D26" s="88">
        <f t="shared" ca="1" si="0"/>
        <v>92.900876958824327</v>
      </c>
    </row>
    <row r="27" spans="1:4" ht="21" customHeight="1" x14ac:dyDescent="0.2">
      <c r="A27" s="81">
        <f t="shared" si="1"/>
        <v>1994</v>
      </c>
      <c r="B27" s="87">
        <f>'MER Quantity Data'!B58</f>
        <v>58.002045000000003</v>
      </c>
      <c r="C27" s="35">
        <f t="shared" ca="1" si="2"/>
        <v>5262.0420000000004</v>
      </c>
      <c r="D27" s="88">
        <f t="shared" ca="1" si="0"/>
        <v>90.721663348249194</v>
      </c>
    </row>
    <row r="28" spans="1:4" ht="21" customHeight="1" x14ac:dyDescent="0.2">
      <c r="A28" s="81">
        <f t="shared" si="1"/>
        <v>1995</v>
      </c>
      <c r="B28" s="87">
        <f>'MER Quantity Data'!B59</f>
        <v>57.496395</v>
      </c>
      <c r="C28" s="35">
        <f t="shared" ca="1" si="2"/>
        <v>5324.415</v>
      </c>
      <c r="D28" s="88">
        <f t="shared" ca="1" si="0"/>
        <v>92.604327627845194</v>
      </c>
    </row>
    <row r="29" spans="1:4" ht="21" customHeight="1" x14ac:dyDescent="0.2">
      <c r="A29" s="81">
        <f t="shared" si="1"/>
        <v>1996</v>
      </c>
      <c r="B29" s="87">
        <f>'MER Quantity Data'!B60</f>
        <v>58.337657999999998</v>
      </c>
      <c r="C29" s="35">
        <f t="shared" ca="1" si="2"/>
        <v>5518.1409999999996</v>
      </c>
      <c r="D29" s="88">
        <f t="shared" ca="1" si="0"/>
        <v>94.589690247764139</v>
      </c>
    </row>
    <row r="30" spans="1:4" ht="21" customHeight="1" x14ac:dyDescent="0.2">
      <c r="A30" s="81">
        <f t="shared" si="1"/>
        <v>1997</v>
      </c>
      <c r="B30" s="87">
        <f>'MER Quantity Data'!B61</f>
        <v>58.806283000000001</v>
      </c>
      <c r="C30" s="35">
        <f t="shared" ca="1" si="2"/>
        <v>5589.4539999999997</v>
      </c>
      <c r="D30" s="88">
        <f t="shared" ca="1" si="0"/>
        <v>95.048585199646098</v>
      </c>
    </row>
    <row r="31" spans="1:4" ht="21" customHeight="1" x14ac:dyDescent="0.2">
      <c r="A31" s="81">
        <f t="shared" si="1"/>
        <v>1998</v>
      </c>
      <c r="B31" s="87">
        <f>'MER Quantity Data'!B62</f>
        <v>59.265917999999999</v>
      </c>
      <c r="C31" s="35">
        <f t="shared" ca="1" si="2"/>
        <v>5636.8620000000001</v>
      </c>
      <c r="D31" s="88">
        <f t="shared" ca="1" si="0"/>
        <v>95.111358943263141</v>
      </c>
    </row>
    <row r="32" spans="1:4" ht="21" customHeight="1" x14ac:dyDescent="0.2">
      <c r="A32" s="81">
        <f t="shared" si="1"/>
        <v>1999</v>
      </c>
      <c r="B32" s="87">
        <f>'MER Quantity Data'!B63</f>
        <v>57.559797000000003</v>
      </c>
      <c r="C32" s="35">
        <f t="shared" ca="1" si="2"/>
        <v>5700.3890000000001</v>
      </c>
      <c r="D32" s="88">
        <f t="shared" ca="1" si="0"/>
        <v>99.034209589029643</v>
      </c>
    </row>
    <row r="33" spans="1:4" ht="21" customHeight="1" x14ac:dyDescent="0.2">
      <c r="A33" s="81">
        <f t="shared" si="1"/>
        <v>2000</v>
      </c>
      <c r="B33" s="87">
        <f>'MER Quantity Data'!B64</f>
        <v>57.306573999999998</v>
      </c>
      <c r="C33" s="35">
        <f t="shared" ca="1" si="2"/>
        <v>5888.7309999999998</v>
      </c>
      <c r="D33" s="88">
        <f t="shared" ca="1" si="0"/>
        <v>102.75838510255386</v>
      </c>
    </row>
    <row r="34" spans="1:4" ht="21" customHeight="1" x14ac:dyDescent="0.2">
      <c r="A34" s="81">
        <f t="shared" si="1"/>
        <v>2001</v>
      </c>
      <c r="B34" s="87">
        <f>'MER Quantity Data'!B65</f>
        <v>58.484744999999997</v>
      </c>
      <c r="C34" s="35">
        <f t="shared" ca="1" si="2"/>
        <v>5777.924</v>
      </c>
      <c r="D34" s="88">
        <f t="shared" ca="1" si="0"/>
        <v>98.793693979515524</v>
      </c>
    </row>
    <row r="35" spans="1:4" ht="21" customHeight="1" x14ac:dyDescent="0.2">
      <c r="A35" s="81">
        <f t="shared" si="1"/>
        <v>2002</v>
      </c>
      <c r="B35" s="87">
        <f>'MER Quantity Data'!B66</f>
        <v>56.776710999999999</v>
      </c>
      <c r="C35" s="35">
        <f t="shared" ca="1" si="2"/>
        <v>5820.1769999999997</v>
      </c>
      <c r="D35" s="88">
        <f t="shared" ca="1" si="0"/>
        <v>102.50993580801114</v>
      </c>
    </row>
    <row r="36" spans="1:4" ht="21" customHeight="1" x14ac:dyDescent="0.2">
      <c r="A36" s="81">
        <f t="shared" si="1"/>
        <v>2003</v>
      </c>
      <c r="B36" s="87">
        <f>'MER Quantity Data'!B67</f>
        <v>55.982582999999998</v>
      </c>
      <c r="C36" s="35">
        <f t="shared" ca="1" si="2"/>
        <v>5886.5680000000002</v>
      </c>
      <c r="D36" s="88">
        <f t="shared" ca="1" si="0"/>
        <v>105.14998923861731</v>
      </c>
    </row>
    <row r="37" spans="1:4" ht="21" customHeight="1" x14ac:dyDescent="0.2">
      <c r="A37" s="81">
        <f t="shared" si="1"/>
        <v>2004</v>
      </c>
      <c r="B37" s="87">
        <f>'MER Quantity Data'!B68</f>
        <v>55.88402</v>
      </c>
      <c r="C37" s="35">
        <f t="shared" ca="1" si="2"/>
        <v>5993.8819999999996</v>
      </c>
      <c r="D37" s="88">
        <f t="shared" ca="1" si="0"/>
        <v>107.25574144451311</v>
      </c>
    </row>
    <row r="38" spans="1:4" ht="21" customHeight="1" x14ac:dyDescent="0.2">
      <c r="A38" s="81">
        <f t="shared" si="1"/>
        <v>2005</v>
      </c>
      <c r="B38" s="87">
        <f>'MER Quantity Data'!B69</f>
        <v>54.995300999999998</v>
      </c>
      <c r="C38" s="35">
        <f t="shared" ca="1" si="2"/>
        <v>6007.1490000000003</v>
      </c>
      <c r="D38" s="88">
        <f t="shared" ca="1" si="0"/>
        <v>109.23022314215537</v>
      </c>
    </row>
    <row r="39" spans="1:4" ht="21" customHeight="1" x14ac:dyDescent="0.2">
      <c r="A39" s="81">
        <f t="shared" si="1"/>
        <v>2006</v>
      </c>
      <c r="B39" s="87">
        <f>'MER Quantity Data'!B70</f>
        <v>55.876707000000003</v>
      </c>
      <c r="C39" s="35">
        <f t="shared" ca="1" si="2"/>
        <v>5929.4960000000001</v>
      </c>
      <c r="D39" s="88">
        <f t="shared" ca="1" si="0"/>
        <v>106.11749185577453</v>
      </c>
    </row>
    <row r="40" spans="1:4" ht="21" customHeight="1" x14ac:dyDescent="0.2">
      <c r="A40" s="81">
        <f t="shared" si="1"/>
        <v>2007</v>
      </c>
      <c r="B40" s="87">
        <f>'MER Quantity Data'!B71</f>
        <v>56.369112999999999</v>
      </c>
      <c r="C40" s="35">
        <f t="shared" ca="1" si="2"/>
        <v>6015.6970000000001</v>
      </c>
      <c r="D40" s="88">
        <f t="shared" ca="1" si="0"/>
        <v>106.71973852063275</v>
      </c>
    </row>
    <row r="41" spans="1:4" ht="21" customHeight="1" x14ac:dyDescent="0.2">
      <c r="A41" s="81">
        <f t="shared" si="1"/>
        <v>2008</v>
      </c>
      <c r="B41" s="87">
        <f>'MER Quantity Data'!B72</f>
        <v>57.526851999999998</v>
      </c>
      <c r="C41" s="35">
        <f t="shared" ca="1" si="2"/>
        <v>5823.2740000000003</v>
      </c>
      <c r="D41" s="88">
        <f t="shared" ca="1" si="0"/>
        <v>101.22705827880171</v>
      </c>
    </row>
    <row r="42" spans="1:4" ht="21" customHeight="1" x14ac:dyDescent="0.2">
      <c r="A42" s="81">
        <f t="shared" si="1"/>
        <v>2009</v>
      </c>
      <c r="B42" s="87">
        <f>'MER Quantity Data'!B73</f>
        <v>56.611548999999997</v>
      </c>
      <c r="C42" s="35">
        <f t="shared" ca="1" si="2"/>
        <v>5403.8280000000004</v>
      </c>
      <c r="D42" s="88">
        <f t="shared" ca="1" si="0"/>
        <v>95.45451582679712</v>
      </c>
    </row>
    <row r="43" spans="1:4" ht="21" customHeight="1" x14ac:dyDescent="0.2">
      <c r="A43" s="81">
        <f t="shared" si="1"/>
        <v>2010</v>
      </c>
      <c r="B43" s="87">
        <f>'MER Quantity Data'!B74</f>
        <v>58.159289999999999</v>
      </c>
      <c r="C43" s="35">
        <f t="shared" ca="1" si="2"/>
        <v>5593.8159999999998</v>
      </c>
      <c r="D43" s="88">
        <f t="shared" ca="1" si="0"/>
        <v>96.180954065979833</v>
      </c>
    </row>
    <row r="44" spans="1:4" ht="21" customHeight="1" x14ac:dyDescent="0.2">
      <c r="A44" s="81">
        <f t="shared" si="1"/>
        <v>2011</v>
      </c>
      <c r="B44" s="87">
        <f>'MER Quantity Data'!B75</f>
        <v>60.529496999999999</v>
      </c>
      <c r="C44" s="35">
        <f t="shared" ca="1" si="2"/>
        <v>5454.8509999999997</v>
      </c>
      <c r="D44" s="88">
        <f t="shared" ca="1" si="0"/>
        <v>90.118888646968273</v>
      </c>
    </row>
    <row r="45" spans="1:4" ht="21" customHeight="1" x14ac:dyDescent="0.2">
      <c r="A45" s="81">
        <f t="shared" si="1"/>
        <v>2012</v>
      </c>
      <c r="B45" s="87">
        <f>'MER Quantity Data'!B76</f>
        <v>62.297744000000002</v>
      </c>
      <c r="C45" s="35">
        <f t="shared" ca="1" si="2"/>
        <v>5236.4780000000001</v>
      </c>
      <c r="D45" s="88">
        <f t="shared" ca="1" si="0"/>
        <v>84.055660185704312</v>
      </c>
    </row>
    <row r="46" spans="1:4" ht="21" customHeight="1" x14ac:dyDescent="0.2">
      <c r="A46" s="81">
        <f t="shared" si="1"/>
        <v>2013</v>
      </c>
      <c r="B46" s="87">
        <f>'MER Quantity Data'!B77</f>
        <v>64.179522000000006</v>
      </c>
      <c r="C46" s="35">
        <f t="shared" ca="1" si="2"/>
        <v>5359.0169999999998</v>
      </c>
      <c r="D46" s="88">
        <f t="shared" ca="1" si="0"/>
        <v>83.500419339364967</v>
      </c>
    </row>
    <row r="47" spans="1:4" ht="21" customHeight="1" x14ac:dyDescent="0.2">
      <c r="A47" s="81">
        <f t="shared" si="1"/>
        <v>2014</v>
      </c>
      <c r="B47" s="87">
        <f>'MER Quantity Data'!B78</f>
        <v>69.618994000000001</v>
      </c>
      <c r="C47" s="35">
        <f t="shared" ca="1" si="2"/>
        <v>5414.0280000000002</v>
      </c>
      <c r="D47" s="88">
        <f t="shared" ca="1" si="0"/>
        <v>77.766535954254095</v>
      </c>
    </row>
    <row r="48" spans="1:4" ht="21" customHeight="1" x14ac:dyDescent="0.2">
      <c r="A48" s="81">
        <f t="shared" si="1"/>
        <v>2015</v>
      </c>
      <c r="B48" s="87">
        <f>'MER Quantity Data'!B79</f>
        <v>70.186278999999999</v>
      </c>
      <c r="C48" s="35">
        <f t="shared" ca="1" si="2"/>
        <v>5262.2</v>
      </c>
      <c r="D48" s="88">
        <f t="shared" ca="1" si="0"/>
        <v>74.97476821644868</v>
      </c>
    </row>
    <row r="49" spans="1:4" ht="21" customHeight="1" x14ac:dyDescent="0.2">
      <c r="A49" s="81">
        <f t="shared" si="1"/>
        <v>2016</v>
      </c>
      <c r="B49" s="87">
        <f>'MER Quantity Data'!B80</f>
        <v>65.434558999999993</v>
      </c>
      <c r="C49" s="35">
        <f t="shared" ca="1" si="2"/>
        <v>5169.0439999999999</v>
      </c>
      <c r="D49" s="88">
        <f t="shared" ca="1" si="0"/>
        <v>78.995626760470728</v>
      </c>
    </row>
    <row r="50" spans="1:4" ht="21" customHeight="1" x14ac:dyDescent="0.2">
      <c r="A50" s="81">
        <f t="shared" si="1"/>
        <v>2017</v>
      </c>
      <c r="B50" s="87">
        <f>'MER Quantity Data'!B81</f>
        <v>68.448418000000004</v>
      </c>
      <c r="C50" s="35">
        <f t="shared" ca="1" si="2"/>
        <v>5131.5290000000005</v>
      </c>
      <c r="D50" s="88">
        <f t="shared" ca="1" si="0"/>
        <v>74.969285630531303</v>
      </c>
    </row>
    <row r="51" spans="1:4" ht="21" customHeight="1" x14ac:dyDescent="0.2">
      <c r="A51" s="81">
        <f t="shared" si="1"/>
        <v>2018</v>
      </c>
      <c r="B51" s="87">
        <f>'MER Quantity Data'!B82</f>
        <v>75.780469999999994</v>
      </c>
      <c r="C51" s="35">
        <f t="shared" ca="1" si="2"/>
        <v>5277.8819999999996</v>
      </c>
      <c r="D51" s="88">
        <f t="shared" ca="1" si="0"/>
        <v>69.646994799583581</v>
      </c>
    </row>
    <row r="52" spans="1:4" ht="21" customHeight="1" x14ac:dyDescent="0.2">
      <c r="A52" s="81">
        <f t="shared" si="1"/>
        <v>2019</v>
      </c>
      <c r="B52" s="87">
        <f>'MER Quantity Data'!B83</f>
        <v>81.398889999999994</v>
      </c>
      <c r="C52" s="35">
        <f t="shared" ca="1" si="2"/>
        <v>5146.9930000000004</v>
      </c>
      <c r="D52" s="88">
        <f t="shared" ca="1" si="0"/>
        <v>63.231734486797066</v>
      </c>
    </row>
    <row r="53" spans="1:4" ht="21" customHeight="1" x14ac:dyDescent="0.2">
      <c r="A53" s="81">
        <f t="shared" si="1"/>
        <v>2020</v>
      </c>
      <c r="B53" s="87">
        <f>'MER Quantity Data'!B84</f>
        <v>75.814943999999997</v>
      </c>
      <c r="C53" s="35">
        <f t="shared" ca="1" si="2"/>
        <v>4580.5119999999997</v>
      </c>
      <c r="D53" s="88">
        <f t="shared" ca="1" si="0"/>
        <v>60.417006968969069</v>
      </c>
    </row>
    <row r="54" spans="1:4" ht="21" customHeight="1" x14ac:dyDescent="0.2">
      <c r="A54" s="81">
        <f t="shared" si="1"/>
        <v>2021</v>
      </c>
      <c r="B54" s="87">
        <f>'MER Quantity Data'!B85</f>
        <v>77.891227000000001</v>
      </c>
      <c r="C54" s="35">
        <f t="shared" ca="1" si="2"/>
        <v>4903.5720000000001</v>
      </c>
      <c r="D54" s="88">
        <f t="shared" ca="1" si="0"/>
        <v>62.954098797288175</v>
      </c>
    </row>
    <row r="55" spans="1:4" ht="21" customHeight="1" x14ac:dyDescent="0.2">
      <c r="A55" s="81"/>
    </row>
    <row r="56" spans="1:4" ht="21" customHeight="1" x14ac:dyDescent="0.2">
      <c r="A56" s="81"/>
    </row>
    <row r="57" spans="1:4" ht="21" customHeight="1" x14ac:dyDescent="0.2"/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6899-75DE-7E4E-B24A-5D29978114E7}">
  <dimension ref="A1:I771"/>
  <sheetViews>
    <sheetView workbookViewId="0">
      <pane xSplit="1" ySplit="11" topLeftCell="B278" activePane="bottomRight" state="frozen"/>
      <selection pane="topRight" activeCell="B1" sqref="B1"/>
      <selection pane="bottomLeft" activeCell="A12" sqref="A12"/>
      <selection pane="bottomRight" activeCell="C288" sqref="C288"/>
    </sheetView>
  </sheetViews>
  <sheetFormatPr baseColWidth="10" defaultRowHeight="16" x14ac:dyDescent="0.2"/>
  <cols>
    <col min="1" max="1" width="4.1640625" customWidth="1"/>
    <col min="2" max="5" width="34" customWidth="1"/>
    <col min="6" max="6" width="8.33203125" customWidth="1"/>
    <col min="7" max="7" width="10.83203125" customWidth="1"/>
    <col min="8" max="9" width="0.1640625" customWidth="1"/>
  </cols>
  <sheetData>
    <row r="1" spans="1:9" x14ac:dyDescent="0.2">
      <c r="A1" s="1"/>
      <c r="B1" s="2"/>
      <c r="C1" s="2"/>
      <c r="D1" s="2"/>
      <c r="E1" s="1"/>
      <c r="F1" s="1"/>
      <c r="G1" s="1"/>
      <c r="H1" s="1"/>
      <c r="I1" s="1"/>
    </row>
    <row r="2" spans="1:9" ht="23" x14ac:dyDescent="0.25">
      <c r="A2" s="1"/>
      <c r="B2" s="3" t="s">
        <v>0</v>
      </c>
      <c r="C2" s="3"/>
      <c r="D2" s="2"/>
      <c r="E2" s="1"/>
      <c r="F2" s="1"/>
      <c r="G2" s="1"/>
      <c r="H2" s="1"/>
      <c r="I2" s="1"/>
    </row>
    <row r="3" spans="1:9" ht="20" x14ac:dyDescent="0.2">
      <c r="A3" s="1"/>
      <c r="B3" s="4" t="s">
        <v>1</v>
      </c>
      <c r="C3" s="2"/>
      <c r="D3" s="2"/>
      <c r="E3" s="1"/>
      <c r="F3" s="1"/>
      <c r="G3" s="1"/>
      <c r="H3" s="1"/>
      <c r="I3" s="1"/>
    </row>
    <row r="4" spans="1:9" x14ac:dyDescent="0.2">
      <c r="A4" s="1"/>
      <c r="B4" s="2"/>
      <c r="C4" s="2"/>
      <c r="D4" s="2"/>
      <c r="E4" s="1"/>
      <c r="F4" s="1"/>
      <c r="G4" s="1"/>
      <c r="H4" s="1"/>
      <c r="I4" s="1"/>
    </row>
    <row r="5" spans="1:9" x14ac:dyDescent="0.2">
      <c r="A5" s="1"/>
      <c r="B5" s="2"/>
      <c r="C5" s="2"/>
      <c r="D5" s="2"/>
      <c r="E5" s="1"/>
      <c r="F5" s="1"/>
      <c r="G5" s="1"/>
      <c r="H5" s="1"/>
      <c r="I5" s="1"/>
    </row>
    <row r="6" spans="1:9" x14ac:dyDescent="0.2">
      <c r="A6" s="1"/>
      <c r="B6" s="2" t="s">
        <v>2</v>
      </c>
      <c r="C6" s="2"/>
      <c r="D6" s="2"/>
      <c r="E6" s="1"/>
      <c r="F6" s="1"/>
      <c r="G6" s="1"/>
      <c r="H6" s="1"/>
      <c r="I6" s="1"/>
    </row>
    <row r="7" spans="1:9" x14ac:dyDescent="0.2">
      <c r="A7" s="1"/>
      <c r="B7" s="5" t="s">
        <v>3</v>
      </c>
      <c r="C7" s="5"/>
      <c r="D7" s="2"/>
      <c r="E7" s="1"/>
      <c r="F7" s="1"/>
      <c r="G7" s="1"/>
      <c r="H7" s="1"/>
      <c r="I7" s="1"/>
    </row>
    <row r="8" spans="1:9" x14ac:dyDescent="0.2">
      <c r="A8" s="1"/>
      <c r="B8" s="5" t="s">
        <v>4</v>
      </c>
      <c r="C8" s="5"/>
      <c r="D8" s="2"/>
      <c r="E8" s="1"/>
      <c r="F8" s="1"/>
      <c r="G8" s="1"/>
      <c r="H8" s="1"/>
      <c r="I8" s="1"/>
    </row>
    <row r="9" spans="1:9" x14ac:dyDescent="0.2">
      <c r="A9" s="1"/>
      <c r="B9" s="5" t="s">
        <v>5</v>
      </c>
      <c r="C9" s="5"/>
      <c r="D9" s="2"/>
      <c r="E9" s="1"/>
      <c r="F9" s="1"/>
      <c r="G9" s="1"/>
      <c r="H9" s="1"/>
      <c r="I9" s="1"/>
    </row>
    <row r="10" spans="1:9" ht="17" thickBot="1" x14ac:dyDescent="0.25">
      <c r="A10" s="2"/>
      <c r="B10" s="2"/>
      <c r="C10" s="2"/>
      <c r="D10" s="2"/>
      <c r="E10" s="1"/>
      <c r="F10" s="1"/>
      <c r="G10" s="1"/>
      <c r="H10" s="1"/>
      <c r="I10" s="1"/>
    </row>
    <row r="11" spans="1:9" ht="18" thickTop="1" thickBot="1" x14ac:dyDescent="0.25">
      <c r="A11" s="1"/>
      <c r="B11" s="6" t="s">
        <v>6</v>
      </c>
      <c r="C11" s="7" t="s">
        <v>7</v>
      </c>
      <c r="D11" s="8" t="s">
        <v>8</v>
      </c>
      <c r="E11" s="1"/>
      <c r="F11" s="1"/>
      <c r="G11" s="1"/>
      <c r="H11" s="1"/>
      <c r="I11" s="1"/>
    </row>
    <row r="12" spans="1:9" ht="113" x14ac:dyDescent="0.2">
      <c r="A12" s="1"/>
      <c r="B12" s="9" t="s">
        <v>9</v>
      </c>
      <c r="C12" s="10" t="s">
        <v>10</v>
      </c>
      <c r="D12" s="11" t="s">
        <v>11</v>
      </c>
      <c r="E12" s="1"/>
      <c r="F12" s="1"/>
      <c r="G12" s="1"/>
      <c r="H12" s="1"/>
      <c r="I12" s="1"/>
    </row>
    <row r="13" spans="1:9" ht="113" x14ac:dyDescent="0.2">
      <c r="A13" s="1"/>
      <c r="B13" s="9" t="s">
        <v>12</v>
      </c>
      <c r="C13" s="10" t="s">
        <v>10</v>
      </c>
      <c r="D13" s="11" t="s">
        <v>13</v>
      </c>
      <c r="E13" s="1"/>
      <c r="F13" s="1"/>
      <c r="G13" s="1"/>
      <c r="H13" s="1"/>
      <c r="I13" s="1"/>
    </row>
    <row r="14" spans="1:9" ht="85" x14ac:dyDescent="0.2">
      <c r="A14" s="1"/>
      <c r="B14" s="9" t="s">
        <v>14</v>
      </c>
      <c r="C14" s="10" t="s">
        <v>15</v>
      </c>
      <c r="D14" s="11" t="s">
        <v>11</v>
      </c>
      <c r="E14" s="1"/>
      <c r="F14" s="1"/>
      <c r="G14" s="1"/>
      <c r="H14" s="1"/>
      <c r="I14" s="1"/>
    </row>
    <row r="15" spans="1:9" ht="71" x14ac:dyDescent="0.2">
      <c r="A15" s="1"/>
      <c r="B15" s="9" t="s">
        <v>16</v>
      </c>
      <c r="C15" s="10" t="s">
        <v>17</v>
      </c>
      <c r="D15" s="11" t="s">
        <v>18</v>
      </c>
      <c r="E15" s="1"/>
      <c r="F15" s="1"/>
      <c r="G15" s="1"/>
      <c r="H15" s="1"/>
      <c r="I15" s="1"/>
    </row>
    <row r="16" spans="1:9" ht="85" x14ac:dyDescent="0.2">
      <c r="A16" s="1"/>
      <c r="B16" s="9" t="s">
        <v>19</v>
      </c>
      <c r="C16" s="10" t="s">
        <v>15</v>
      </c>
      <c r="D16" s="11" t="s">
        <v>13</v>
      </c>
      <c r="E16" s="1"/>
      <c r="F16" s="1"/>
      <c r="G16" s="1"/>
      <c r="H16" s="1"/>
      <c r="I16" s="1"/>
    </row>
    <row r="17" spans="1:9" ht="85" x14ac:dyDescent="0.2">
      <c r="A17" s="1"/>
      <c r="B17" s="9" t="s">
        <v>20</v>
      </c>
      <c r="C17" s="10" t="s">
        <v>21</v>
      </c>
      <c r="D17" s="11" t="s">
        <v>22</v>
      </c>
      <c r="E17" s="1"/>
      <c r="F17" s="1"/>
      <c r="G17" s="1"/>
      <c r="H17" s="1"/>
      <c r="I17" s="1"/>
    </row>
    <row r="18" spans="1:9" ht="57" x14ac:dyDescent="0.2">
      <c r="A18" s="1"/>
      <c r="B18" s="9" t="s">
        <v>23</v>
      </c>
      <c r="C18" s="10" t="s">
        <v>24</v>
      </c>
      <c r="D18" s="11" t="s">
        <v>11</v>
      </c>
      <c r="E18" s="1"/>
      <c r="F18" s="1"/>
      <c r="G18" s="1"/>
      <c r="H18" s="1"/>
      <c r="I18" s="1"/>
    </row>
    <row r="19" spans="1:9" ht="29" x14ac:dyDescent="0.2">
      <c r="A19" s="1"/>
      <c r="B19" s="9" t="s">
        <v>25</v>
      </c>
      <c r="C19" s="10" t="s">
        <v>26</v>
      </c>
      <c r="D19" s="11" t="s">
        <v>18</v>
      </c>
      <c r="E19" s="1"/>
      <c r="F19" s="1"/>
      <c r="G19" s="1"/>
      <c r="H19" s="1"/>
      <c r="I19" s="1"/>
    </row>
    <row r="20" spans="1:9" x14ac:dyDescent="0.2">
      <c r="A20" s="1"/>
      <c r="B20" s="9" t="s">
        <v>27</v>
      </c>
      <c r="C20" s="10" t="s">
        <v>24</v>
      </c>
      <c r="D20" s="11" t="s">
        <v>13</v>
      </c>
      <c r="E20" s="1"/>
      <c r="F20" s="1"/>
      <c r="G20" s="1"/>
      <c r="H20" s="1"/>
      <c r="I20" s="1"/>
    </row>
    <row r="21" spans="1:9" x14ac:dyDescent="0.2">
      <c r="A21" s="1"/>
      <c r="B21" s="9" t="s">
        <v>28</v>
      </c>
      <c r="C21" s="10" t="s">
        <v>29</v>
      </c>
      <c r="D21" s="11" t="s">
        <v>22</v>
      </c>
      <c r="E21" s="1"/>
      <c r="F21" s="1"/>
      <c r="G21" s="1"/>
      <c r="H21" s="1"/>
      <c r="I21" s="1"/>
    </row>
    <row r="22" spans="1:9" ht="29" x14ac:dyDescent="0.2">
      <c r="A22" s="1"/>
      <c r="B22" s="12" t="s">
        <v>30</v>
      </c>
      <c r="C22" s="10" t="s">
        <v>31</v>
      </c>
      <c r="D22" s="11" t="s">
        <v>11</v>
      </c>
      <c r="E22" s="1"/>
      <c r="F22" s="1"/>
      <c r="G22" s="1"/>
      <c r="H22" s="1"/>
      <c r="I22" s="1"/>
    </row>
    <row r="23" spans="1:9" ht="29" x14ac:dyDescent="0.2">
      <c r="A23" s="1"/>
      <c r="B23" s="9" t="s">
        <v>32</v>
      </c>
      <c r="C23" s="10" t="s">
        <v>33</v>
      </c>
      <c r="D23" s="11" t="s">
        <v>18</v>
      </c>
      <c r="E23" s="1"/>
      <c r="F23" s="1"/>
      <c r="G23" s="1"/>
      <c r="H23" s="1"/>
      <c r="I23" s="1"/>
    </row>
    <row r="24" spans="1:9" ht="29" x14ac:dyDescent="0.2">
      <c r="A24" s="1"/>
      <c r="B24" s="9" t="s">
        <v>34</v>
      </c>
      <c r="C24" s="10" t="s">
        <v>31</v>
      </c>
      <c r="D24" s="11" t="s">
        <v>13</v>
      </c>
      <c r="E24" s="1"/>
      <c r="F24" s="1"/>
      <c r="G24" s="1"/>
      <c r="H24" s="1"/>
      <c r="I24" s="1"/>
    </row>
    <row r="25" spans="1:9" ht="29" x14ac:dyDescent="0.2">
      <c r="A25" s="1"/>
      <c r="B25" s="12" t="s">
        <v>35</v>
      </c>
      <c r="C25" s="10" t="s">
        <v>36</v>
      </c>
      <c r="D25" s="11" t="s">
        <v>22</v>
      </c>
      <c r="E25" s="1"/>
      <c r="F25" s="1"/>
      <c r="G25" s="1"/>
      <c r="H25" s="1"/>
      <c r="I25" s="1"/>
    </row>
    <row r="26" spans="1:9" ht="29" x14ac:dyDescent="0.2">
      <c r="A26" s="1"/>
      <c r="B26" s="9" t="s">
        <v>37</v>
      </c>
      <c r="C26" s="10" t="s">
        <v>38</v>
      </c>
      <c r="D26" s="11" t="s">
        <v>11</v>
      </c>
      <c r="E26" s="1"/>
      <c r="F26" s="1"/>
      <c r="G26" s="1"/>
      <c r="H26" s="1"/>
      <c r="I26" s="1"/>
    </row>
    <row r="27" spans="1:9" ht="29" x14ac:dyDescent="0.2">
      <c r="A27" s="1"/>
      <c r="B27" s="9" t="s">
        <v>39</v>
      </c>
      <c r="C27" s="10" t="s">
        <v>40</v>
      </c>
      <c r="D27" s="11" t="s">
        <v>18</v>
      </c>
      <c r="E27" s="1"/>
      <c r="F27" s="1"/>
      <c r="G27" s="1"/>
      <c r="H27" s="1"/>
      <c r="I27" s="1"/>
    </row>
    <row r="28" spans="1:9" ht="29" x14ac:dyDescent="0.2">
      <c r="A28" s="1"/>
      <c r="B28" s="9" t="s">
        <v>41</v>
      </c>
      <c r="C28" s="10" t="s">
        <v>38</v>
      </c>
      <c r="D28" s="11" t="s">
        <v>13</v>
      </c>
      <c r="E28" s="1"/>
      <c r="F28" s="1"/>
      <c r="G28" s="1"/>
      <c r="H28" s="1"/>
      <c r="I28" s="1"/>
    </row>
    <row r="29" spans="1:9" ht="29" x14ac:dyDescent="0.2">
      <c r="A29" s="1"/>
      <c r="B29" s="9" t="s">
        <v>42</v>
      </c>
      <c r="C29" s="10" t="s">
        <v>43</v>
      </c>
      <c r="D29" s="11" t="s">
        <v>22</v>
      </c>
      <c r="E29" s="1"/>
      <c r="F29" s="1"/>
      <c r="G29" s="1"/>
      <c r="H29" s="1"/>
      <c r="I29" s="1"/>
    </row>
    <row r="30" spans="1:9" x14ac:dyDescent="0.2">
      <c r="A30" s="1"/>
      <c r="B30" s="9" t="s">
        <v>44</v>
      </c>
      <c r="C30" s="10" t="s">
        <v>45</v>
      </c>
      <c r="D30" s="11" t="s">
        <v>11</v>
      </c>
      <c r="E30" s="1"/>
      <c r="F30" s="1"/>
      <c r="G30" s="1"/>
      <c r="H30" s="1"/>
      <c r="I30" s="1"/>
    </row>
    <row r="31" spans="1:9" ht="29" x14ac:dyDescent="0.2">
      <c r="A31" s="1"/>
      <c r="B31" s="9" t="s">
        <v>46</v>
      </c>
      <c r="C31" s="10" t="s">
        <v>47</v>
      </c>
      <c r="D31" s="11" t="s">
        <v>18</v>
      </c>
      <c r="E31" s="1"/>
      <c r="F31" s="1"/>
      <c r="G31" s="1"/>
      <c r="H31" s="1"/>
      <c r="I31" s="1"/>
    </row>
    <row r="32" spans="1:9" x14ac:dyDescent="0.2">
      <c r="A32" s="1"/>
      <c r="B32" s="9" t="s">
        <v>48</v>
      </c>
      <c r="C32" s="10" t="s">
        <v>45</v>
      </c>
      <c r="D32" s="11" t="s">
        <v>13</v>
      </c>
      <c r="E32" s="1"/>
      <c r="F32" s="1"/>
      <c r="G32" s="1"/>
      <c r="H32" s="1"/>
      <c r="I32" s="1"/>
    </row>
    <row r="33" spans="1:9" x14ac:dyDescent="0.2">
      <c r="A33" s="1"/>
      <c r="B33" s="9" t="s">
        <v>49</v>
      </c>
      <c r="C33" s="10" t="s">
        <v>50</v>
      </c>
      <c r="D33" s="11" t="s">
        <v>22</v>
      </c>
      <c r="E33" s="1"/>
      <c r="F33" s="1"/>
      <c r="G33" s="1"/>
      <c r="H33" s="1"/>
      <c r="I33" s="1"/>
    </row>
    <row r="34" spans="1:9" ht="29" x14ac:dyDescent="0.2">
      <c r="A34" s="1"/>
      <c r="B34" s="9" t="s">
        <v>51</v>
      </c>
      <c r="C34" s="10" t="s">
        <v>52</v>
      </c>
      <c r="D34" s="11" t="s">
        <v>11</v>
      </c>
      <c r="E34" s="1"/>
      <c r="F34" s="1"/>
      <c r="G34" s="1"/>
      <c r="H34" s="1"/>
      <c r="I34" s="1"/>
    </row>
    <row r="35" spans="1:9" ht="29" x14ac:dyDescent="0.2">
      <c r="A35" s="1"/>
      <c r="B35" s="9" t="s">
        <v>53</v>
      </c>
      <c r="C35" s="10" t="s">
        <v>54</v>
      </c>
      <c r="D35" s="11" t="s">
        <v>18</v>
      </c>
      <c r="E35" s="1"/>
      <c r="F35" s="1"/>
      <c r="G35" s="1"/>
      <c r="H35" s="1"/>
      <c r="I35" s="1"/>
    </row>
    <row r="36" spans="1:9" ht="29" x14ac:dyDescent="0.2">
      <c r="A36" s="1"/>
      <c r="B36" s="9" t="s">
        <v>55</v>
      </c>
      <c r="C36" s="10" t="s">
        <v>52</v>
      </c>
      <c r="D36" s="11" t="s">
        <v>13</v>
      </c>
      <c r="E36" s="1"/>
      <c r="F36" s="1"/>
      <c r="G36" s="1"/>
      <c r="H36" s="1"/>
      <c r="I36" s="1"/>
    </row>
    <row r="37" spans="1:9" ht="29" x14ac:dyDescent="0.2">
      <c r="A37" s="1"/>
      <c r="B37" s="9" t="s">
        <v>56</v>
      </c>
      <c r="C37" s="10" t="s">
        <v>57</v>
      </c>
      <c r="D37" s="11" t="s">
        <v>22</v>
      </c>
      <c r="E37" s="1"/>
      <c r="F37" s="1"/>
      <c r="G37" s="1"/>
      <c r="H37" s="1"/>
      <c r="I37" s="1"/>
    </row>
    <row r="38" spans="1:9" ht="29" x14ac:dyDescent="0.2">
      <c r="A38" s="1"/>
      <c r="B38" s="9" t="s">
        <v>58</v>
      </c>
      <c r="C38" s="10" t="s">
        <v>59</v>
      </c>
      <c r="D38" s="11" t="s">
        <v>11</v>
      </c>
      <c r="E38" s="1"/>
      <c r="F38" s="1"/>
      <c r="G38" s="1"/>
      <c r="H38" s="1"/>
      <c r="I38" s="1"/>
    </row>
    <row r="39" spans="1:9" ht="29" x14ac:dyDescent="0.2">
      <c r="A39" s="1"/>
      <c r="B39" s="9" t="s">
        <v>60</v>
      </c>
      <c r="C39" s="10" t="s">
        <v>59</v>
      </c>
      <c r="D39" s="11" t="s">
        <v>13</v>
      </c>
      <c r="E39" s="1"/>
      <c r="F39" s="1"/>
      <c r="G39" s="1"/>
      <c r="H39" s="1"/>
      <c r="I39" s="1"/>
    </row>
    <row r="40" spans="1:9" x14ac:dyDescent="0.2">
      <c r="A40" s="1"/>
      <c r="B40" s="9" t="s">
        <v>61</v>
      </c>
      <c r="C40" s="10" t="s">
        <v>62</v>
      </c>
      <c r="D40" s="11" t="s">
        <v>11</v>
      </c>
      <c r="E40" s="1"/>
      <c r="F40" s="1"/>
      <c r="G40" s="1"/>
      <c r="H40" s="1"/>
      <c r="I40" s="1"/>
    </row>
    <row r="41" spans="1:9" x14ac:dyDescent="0.2">
      <c r="A41" s="1"/>
      <c r="B41" s="9" t="s">
        <v>63</v>
      </c>
      <c r="C41" s="10" t="s">
        <v>62</v>
      </c>
      <c r="D41" s="11" t="s">
        <v>13</v>
      </c>
      <c r="E41" s="1"/>
      <c r="F41" s="1"/>
      <c r="G41" s="1"/>
      <c r="H41" s="1"/>
      <c r="I41" s="1"/>
    </row>
    <row r="42" spans="1:9" x14ac:dyDescent="0.2">
      <c r="A42" s="1"/>
      <c r="B42" s="9" t="s">
        <v>64</v>
      </c>
      <c r="C42" s="10" t="s">
        <v>65</v>
      </c>
      <c r="D42" s="11" t="s">
        <v>11</v>
      </c>
      <c r="E42" s="1"/>
      <c r="F42" s="1"/>
      <c r="G42" s="1"/>
      <c r="H42" s="1"/>
      <c r="I42" s="1"/>
    </row>
    <row r="43" spans="1:9" x14ac:dyDescent="0.2">
      <c r="A43" s="1"/>
      <c r="B43" s="9" t="s">
        <v>66</v>
      </c>
      <c r="C43" s="10" t="s">
        <v>65</v>
      </c>
      <c r="D43" s="11" t="s">
        <v>13</v>
      </c>
      <c r="E43" s="1"/>
      <c r="F43" s="1"/>
      <c r="G43" s="1"/>
      <c r="H43" s="1"/>
      <c r="I43" s="1"/>
    </row>
    <row r="44" spans="1:9" ht="29" x14ac:dyDescent="0.2">
      <c r="A44" s="1"/>
      <c r="B44" s="9" t="s">
        <v>67</v>
      </c>
      <c r="C44" s="10" t="s">
        <v>68</v>
      </c>
      <c r="D44" s="11" t="s">
        <v>11</v>
      </c>
      <c r="E44" s="1"/>
      <c r="F44" s="1"/>
      <c r="G44" s="1"/>
      <c r="H44" s="1"/>
      <c r="I44" s="1"/>
    </row>
    <row r="45" spans="1:9" ht="29" x14ac:dyDescent="0.2">
      <c r="A45" s="1"/>
      <c r="B45" s="9" t="s">
        <v>69</v>
      </c>
      <c r="C45" s="10" t="s">
        <v>68</v>
      </c>
      <c r="D45" s="11" t="s">
        <v>13</v>
      </c>
      <c r="E45" s="1"/>
      <c r="F45" s="1"/>
      <c r="G45" s="1"/>
      <c r="H45" s="1"/>
      <c r="I45" s="1"/>
    </row>
    <row r="46" spans="1:9" ht="29" x14ac:dyDescent="0.2">
      <c r="A46" s="1"/>
      <c r="B46" s="9" t="s">
        <v>70</v>
      </c>
      <c r="C46" s="10" t="s">
        <v>71</v>
      </c>
      <c r="D46" s="11" t="s">
        <v>11</v>
      </c>
      <c r="E46" s="1"/>
      <c r="F46" s="1"/>
      <c r="G46" s="1"/>
      <c r="H46" s="1"/>
      <c r="I46" s="1"/>
    </row>
    <row r="47" spans="1:9" ht="29" x14ac:dyDescent="0.2">
      <c r="A47" s="1"/>
      <c r="B47" s="9" t="s">
        <v>72</v>
      </c>
      <c r="C47" s="10" t="s">
        <v>73</v>
      </c>
      <c r="D47" s="11" t="s">
        <v>11</v>
      </c>
      <c r="E47" s="1"/>
      <c r="F47" s="1"/>
      <c r="G47" s="1"/>
      <c r="H47" s="1"/>
      <c r="I47" s="1"/>
    </row>
    <row r="48" spans="1:9" x14ac:dyDescent="0.2">
      <c r="A48" s="1"/>
      <c r="B48" s="9" t="s">
        <v>74</v>
      </c>
      <c r="C48" s="10" t="s">
        <v>75</v>
      </c>
      <c r="D48" s="11" t="s">
        <v>13</v>
      </c>
      <c r="E48" s="1"/>
      <c r="F48" s="1"/>
      <c r="G48" s="1"/>
      <c r="H48" s="1"/>
      <c r="I48" s="1"/>
    </row>
    <row r="49" spans="1:9" x14ac:dyDescent="0.2">
      <c r="A49" s="1"/>
      <c r="B49" s="9" t="s">
        <v>76</v>
      </c>
      <c r="C49" s="10" t="s">
        <v>77</v>
      </c>
      <c r="D49" s="11" t="s">
        <v>11</v>
      </c>
      <c r="E49" s="1"/>
      <c r="F49" s="1"/>
      <c r="G49" s="1"/>
      <c r="H49" s="1"/>
      <c r="I49" s="1"/>
    </row>
    <row r="50" spans="1:9" x14ac:dyDescent="0.2">
      <c r="A50" s="1"/>
      <c r="B50" s="9" t="s">
        <v>78</v>
      </c>
      <c r="C50" s="10" t="s">
        <v>77</v>
      </c>
      <c r="D50" s="11" t="s">
        <v>13</v>
      </c>
      <c r="E50" s="1"/>
      <c r="F50" s="1"/>
      <c r="G50" s="1"/>
      <c r="H50" s="1"/>
      <c r="I50" s="1"/>
    </row>
    <row r="51" spans="1:9" ht="29" x14ac:dyDescent="0.2">
      <c r="A51" s="2"/>
      <c r="B51" s="9" t="s">
        <v>79</v>
      </c>
      <c r="C51" s="10" t="s">
        <v>80</v>
      </c>
      <c r="D51" s="11" t="s">
        <v>11</v>
      </c>
      <c r="E51" s="1"/>
      <c r="F51" s="1"/>
      <c r="G51" s="1"/>
      <c r="H51" s="1"/>
      <c r="I51" s="1"/>
    </row>
    <row r="52" spans="1:9" x14ac:dyDescent="0.2">
      <c r="A52" s="2"/>
      <c r="B52" s="9" t="s">
        <v>81</v>
      </c>
      <c r="C52" s="10" t="s">
        <v>82</v>
      </c>
      <c r="D52" s="11" t="s">
        <v>11</v>
      </c>
      <c r="E52" s="1"/>
      <c r="F52" s="1"/>
      <c r="G52" s="1"/>
      <c r="H52" s="1"/>
      <c r="I52" s="1"/>
    </row>
    <row r="53" spans="1:9" x14ac:dyDescent="0.2">
      <c r="A53" s="2"/>
      <c r="B53" s="9" t="s">
        <v>83</v>
      </c>
      <c r="C53" s="10" t="s">
        <v>82</v>
      </c>
      <c r="D53" s="11" t="s">
        <v>13</v>
      </c>
      <c r="E53" s="1"/>
      <c r="F53" s="1"/>
      <c r="G53" s="1"/>
      <c r="H53" s="1"/>
      <c r="I53" s="1"/>
    </row>
    <row r="54" spans="1:9" ht="43" x14ac:dyDescent="0.2">
      <c r="A54" s="2"/>
      <c r="B54" s="9" t="s">
        <v>84</v>
      </c>
      <c r="C54" s="10" t="s">
        <v>85</v>
      </c>
      <c r="D54" s="11" t="s">
        <v>11</v>
      </c>
      <c r="E54" s="1"/>
      <c r="F54" s="1"/>
      <c r="G54" s="1"/>
      <c r="H54" s="1"/>
      <c r="I54" s="1"/>
    </row>
    <row r="55" spans="1:9" x14ac:dyDescent="0.2">
      <c r="A55" s="2"/>
      <c r="B55" s="9" t="s">
        <v>86</v>
      </c>
      <c r="C55" s="10" t="s">
        <v>87</v>
      </c>
      <c r="D55" s="11" t="s">
        <v>11</v>
      </c>
      <c r="E55" s="1"/>
      <c r="F55" s="1"/>
      <c r="G55" s="1"/>
      <c r="H55" s="1"/>
      <c r="I55" s="1"/>
    </row>
    <row r="56" spans="1:9" x14ac:dyDescent="0.2">
      <c r="A56" s="1"/>
      <c r="B56" s="9" t="s">
        <v>88</v>
      </c>
      <c r="C56" s="10" t="s">
        <v>89</v>
      </c>
      <c r="D56" s="11" t="s">
        <v>11</v>
      </c>
      <c r="E56" s="1"/>
      <c r="F56" s="1"/>
      <c r="G56" s="1"/>
      <c r="H56" s="1"/>
      <c r="I56" s="1"/>
    </row>
    <row r="57" spans="1:9" ht="43" x14ac:dyDescent="0.2">
      <c r="A57" s="1"/>
      <c r="B57" s="9" t="s">
        <v>90</v>
      </c>
      <c r="C57" s="10" t="s">
        <v>91</v>
      </c>
      <c r="D57" s="11" t="s">
        <v>11</v>
      </c>
      <c r="E57" s="1"/>
      <c r="F57" s="1"/>
      <c r="G57" s="1"/>
      <c r="H57" s="1"/>
      <c r="I57" s="1"/>
    </row>
    <row r="58" spans="1:9" ht="43" x14ac:dyDescent="0.2">
      <c r="A58" s="1"/>
      <c r="B58" s="9" t="s">
        <v>92</v>
      </c>
      <c r="C58" s="10" t="s">
        <v>91</v>
      </c>
      <c r="D58" s="11" t="s">
        <v>13</v>
      </c>
      <c r="E58" s="1"/>
      <c r="F58" s="1"/>
      <c r="G58" s="1"/>
      <c r="H58" s="1"/>
      <c r="I58" s="1"/>
    </row>
    <row r="59" spans="1:9" x14ac:dyDescent="0.2">
      <c r="A59" s="1"/>
      <c r="B59" s="9" t="s">
        <v>93</v>
      </c>
      <c r="C59" s="10" t="s">
        <v>94</v>
      </c>
      <c r="D59" s="11" t="s">
        <v>11</v>
      </c>
      <c r="E59" s="1"/>
      <c r="F59" s="1"/>
      <c r="G59" s="1"/>
      <c r="H59" s="1"/>
      <c r="I59" s="1"/>
    </row>
    <row r="60" spans="1:9" x14ac:dyDescent="0.2">
      <c r="A60" s="1"/>
      <c r="B60" s="9" t="s">
        <v>95</v>
      </c>
      <c r="C60" s="10" t="s">
        <v>94</v>
      </c>
      <c r="D60" s="11" t="s">
        <v>13</v>
      </c>
      <c r="E60" s="1"/>
      <c r="F60" s="1"/>
      <c r="G60" s="1"/>
      <c r="H60" s="1"/>
      <c r="I60" s="1"/>
    </row>
    <row r="61" spans="1:9" ht="29" x14ac:dyDescent="0.2">
      <c r="A61" s="1"/>
      <c r="B61" s="9" t="s">
        <v>96</v>
      </c>
      <c r="C61" s="10" t="s">
        <v>97</v>
      </c>
      <c r="D61" s="11" t="s">
        <v>11</v>
      </c>
      <c r="E61" s="1"/>
      <c r="F61" s="1"/>
      <c r="G61" s="1"/>
      <c r="H61" s="1"/>
      <c r="I61" s="1"/>
    </row>
    <row r="62" spans="1:9" ht="29" x14ac:dyDescent="0.2">
      <c r="A62" s="1"/>
      <c r="B62" s="9" t="s">
        <v>98</v>
      </c>
      <c r="C62" s="10" t="s">
        <v>97</v>
      </c>
      <c r="D62" s="11" t="s">
        <v>13</v>
      </c>
      <c r="E62" s="1"/>
      <c r="F62" s="1"/>
      <c r="G62" s="1"/>
      <c r="H62" s="1"/>
      <c r="I62" s="1"/>
    </row>
    <row r="63" spans="1:9" ht="29" x14ac:dyDescent="0.2">
      <c r="A63" s="1"/>
      <c r="B63" s="9" t="s">
        <v>99</v>
      </c>
      <c r="C63" s="10" t="s">
        <v>100</v>
      </c>
      <c r="D63" s="11" t="s">
        <v>11</v>
      </c>
      <c r="E63" s="1"/>
      <c r="F63" s="1"/>
      <c r="G63" s="1"/>
      <c r="H63" s="1"/>
      <c r="I63" s="1"/>
    </row>
    <row r="64" spans="1:9" ht="29" x14ac:dyDescent="0.2">
      <c r="A64" s="1"/>
      <c r="B64" s="9" t="s">
        <v>101</v>
      </c>
      <c r="C64" s="10" t="s">
        <v>100</v>
      </c>
      <c r="D64" s="11" t="s">
        <v>13</v>
      </c>
      <c r="E64" s="1"/>
      <c r="F64" s="1"/>
      <c r="G64" s="1"/>
      <c r="H64" s="1"/>
      <c r="I64" s="1"/>
    </row>
    <row r="65" spans="1:9" x14ac:dyDescent="0.2">
      <c r="A65" s="1"/>
      <c r="B65" s="9" t="s">
        <v>102</v>
      </c>
      <c r="C65" s="10" t="s">
        <v>103</v>
      </c>
      <c r="D65" s="11" t="s">
        <v>11</v>
      </c>
      <c r="E65" s="1"/>
      <c r="F65" s="1"/>
      <c r="G65" s="1"/>
      <c r="H65" s="1"/>
      <c r="I65" s="1"/>
    </row>
    <row r="66" spans="1:9" x14ac:dyDescent="0.2">
      <c r="A66" s="1"/>
      <c r="B66" s="9" t="s">
        <v>104</v>
      </c>
      <c r="C66" s="10" t="s">
        <v>103</v>
      </c>
      <c r="D66" s="11" t="s">
        <v>13</v>
      </c>
      <c r="E66" s="1"/>
      <c r="F66" s="1"/>
      <c r="G66" s="1"/>
      <c r="H66" s="1"/>
      <c r="I66" s="1"/>
    </row>
    <row r="67" spans="1:9" ht="29" x14ac:dyDescent="0.2">
      <c r="A67" s="1"/>
      <c r="B67" s="9" t="s">
        <v>105</v>
      </c>
      <c r="C67" s="10" t="s">
        <v>106</v>
      </c>
      <c r="D67" s="11" t="s">
        <v>107</v>
      </c>
      <c r="E67" s="1"/>
      <c r="F67" s="1"/>
      <c r="G67" s="1"/>
      <c r="H67" s="1"/>
      <c r="I67" s="1"/>
    </row>
    <row r="68" spans="1:9" ht="29" x14ac:dyDescent="0.2">
      <c r="A68" s="1"/>
      <c r="B68" s="9" t="s">
        <v>108</v>
      </c>
      <c r="C68" s="10" t="s">
        <v>109</v>
      </c>
      <c r="D68" s="11" t="s">
        <v>11</v>
      </c>
      <c r="E68" s="1"/>
      <c r="F68" s="1"/>
      <c r="G68" s="1"/>
      <c r="H68" s="1"/>
      <c r="I68" s="1"/>
    </row>
    <row r="69" spans="1:9" ht="29" x14ac:dyDescent="0.2">
      <c r="A69" s="1"/>
      <c r="B69" s="9" t="s">
        <v>110</v>
      </c>
      <c r="C69" s="10" t="s">
        <v>109</v>
      </c>
      <c r="D69" s="11" t="s">
        <v>13</v>
      </c>
      <c r="E69" s="1"/>
      <c r="F69" s="1"/>
      <c r="G69" s="1"/>
      <c r="H69" s="1"/>
      <c r="I69" s="1"/>
    </row>
    <row r="70" spans="1:9" ht="29" x14ac:dyDescent="0.2">
      <c r="A70" s="1"/>
      <c r="B70" s="9" t="s">
        <v>111</v>
      </c>
      <c r="C70" s="10" t="s">
        <v>112</v>
      </c>
      <c r="D70" s="11" t="s">
        <v>11</v>
      </c>
      <c r="E70" s="1"/>
      <c r="F70" s="1"/>
      <c r="G70" s="1"/>
      <c r="H70" s="1"/>
      <c r="I70" s="1"/>
    </row>
    <row r="71" spans="1:9" ht="29" x14ac:dyDescent="0.2">
      <c r="A71" s="1"/>
      <c r="B71" s="9" t="s">
        <v>113</v>
      </c>
      <c r="C71" s="10" t="s">
        <v>112</v>
      </c>
      <c r="D71" s="11" t="s">
        <v>13</v>
      </c>
      <c r="E71" s="1"/>
      <c r="F71" s="1"/>
      <c r="G71" s="1"/>
      <c r="H71" s="1"/>
      <c r="I71" s="1"/>
    </row>
    <row r="72" spans="1:9" ht="29" x14ac:dyDescent="0.2">
      <c r="A72" s="1"/>
      <c r="B72" s="9" t="s">
        <v>114</v>
      </c>
      <c r="C72" s="10" t="s">
        <v>115</v>
      </c>
      <c r="D72" s="11" t="s">
        <v>11</v>
      </c>
      <c r="E72" s="1"/>
      <c r="F72" s="1"/>
      <c r="G72" s="1"/>
      <c r="H72" s="1"/>
      <c r="I72" s="1"/>
    </row>
    <row r="73" spans="1:9" ht="29" x14ac:dyDescent="0.2">
      <c r="A73" s="1"/>
      <c r="B73" s="9" t="s">
        <v>116</v>
      </c>
      <c r="C73" s="10" t="s">
        <v>117</v>
      </c>
      <c r="D73" s="11" t="s">
        <v>18</v>
      </c>
      <c r="E73" s="1"/>
      <c r="F73" s="1"/>
      <c r="G73" s="1"/>
      <c r="H73" s="1"/>
      <c r="I73" s="1"/>
    </row>
    <row r="74" spans="1:9" ht="29" x14ac:dyDescent="0.2">
      <c r="A74" s="1"/>
      <c r="B74" s="9" t="s">
        <v>118</v>
      </c>
      <c r="C74" s="10" t="s">
        <v>115</v>
      </c>
      <c r="D74" s="11" t="s">
        <v>119</v>
      </c>
      <c r="E74" s="1"/>
      <c r="F74" s="1"/>
      <c r="G74" s="1"/>
      <c r="H74" s="1"/>
      <c r="I74" s="1"/>
    </row>
    <row r="75" spans="1:9" ht="29" x14ac:dyDescent="0.2">
      <c r="A75" s="1"/>
      <c r="B75" s="9" t="s">
        <v>120</v>
      </c>
      <c r="C75" s="10" t="s">
        <v>121</v>
      </c>
      <c r="D75" s="11" t="s">
        <v>22</v>
      </c>
      <c r="E75" s="1"/>
      <c r="F75" s="1"/>
      <c r="G75" s="1"/>
      <c r="H75" s="1"/>
      <c r="I75" s="1"/>
    </row>
    <row r="76" spans="1:9" x14ac:dyDescent="0.2">
      <c r="A76" s="1"/>
      <c r="B76" s="9" t="s">
        <v>122</v>
      </c>
      <c r="C76" s="10" t="s">
        <v>123</v>
      </c>
      <c r="D76" s="11" t="s">
        <v>11</v>
      </c>
      <c r="E76" s="1"/>
      <c r="F76" s="1"/>
      <c r="G76" s="1"/>
      <c r="H76" s="1"/>
      <c r="I76" s="1"/>
    </row>
    <row r="77" spans="1:9" ht="29" x14ac:dyDescent="0.2">
      <c r="A77" s="1"/>
      <c r="B77" s="9" t="s">
        <v>124</v>
      </c>
      <c r="C77" s="10" t="s">
        <v>125</v>
      </c>
      <c r="D77" s="11" t="s">
        <v>18</v>
      </c>
      <c r="E77" s="1"/>
      <c r="F77" s="1"/>
      <c r="G77" s="1"/>
      <c r="H77" s="1"/>
      <c r="I77" s="1"/>
    </row>
    <row r="78" spans="1:9" x14ac:dyDescent="0.2">
      <c r="A78" s="1"/>
      <c r="B78" s="9" t="s">
        <v>126</v>
      </c>
      <c r="C78" s="10" t="s">
        <v>123</v>
      </c>
      <c r="D78" s="11" t="s">
        <v>119</v>
      </c>
      <c r="E78" s="1"/>
      <c r="F78" s="1"/>
      <c r="G78" s="1"/>
      <c r="H78" s="1"/>
      <c r="I78" s="1"/>
    </row>
    <row r="79" spans="1:9" ht="29" x14ac:dyDescent="0.2">
      <c r="A79" s="1"/>
      <c r="B79" s="9" t="s">
        <v>127</v>
      </c>
      <c r="C79" s="10" t="s">
        <v>128</v>
      </c>
      <c r="D79" s="11" t="s">
        <v>22</v>
      </c>
      <c r="E79" s="1"/>
      <c r="F79" s="1"/>
      <c r="G79" s="1"/>
      <c r="H79" s="1"/>
      <c r="I79" s="1"/>
    </row>
    <row r="80" spans="1:9" ht="29" x14ac:dyDescent="0.2">
      <c r="A80" s="1"/>
      <c r="B80" s="9" t="s">
        <v>129</v>
      </c>
      <c r="C80" s="10" t="s">
        <v>130</v>
      </c>
      <c r="D80" s="11" t="s">
        <v>11</v>
      </c>
      <c r="E80" s="1"/>
      <c r="F80" s="1"/>
      <c r="G80" s="1"/>
      <c r="H80" s="1"/>
      <c r="I80" s="1"/>
    </row>
    <row r="81" spans="1:9" ht="29" x14ac:dyDescent="0.2">
      <c r="A81" s="1"/>
      <c r="B81" s="9" t="s">
        <v>131</v>
      </c>
      <c r="C81" s="10" t="s">
        <v>130</v>
      </c>
      <c r="D81" s="11" t="s">
        <v>119</v>
      </c>
      <c r="E81" s="1"/>
      <c r="F81" s="1"/>
      <c r="G81" s="1"/>
      <c r="H81" s="1"/>
      <c r="I81" s="1"/>
    </row>
    <row r="82" spans="1:9" ht="29" x14ac:dyDescent="0.2">
      <c r="A82" s="1"/>
      <c r="B82" s="9" t="s">
        <v>132</v>
      </c>
      <c r="C82" s="10" t="s">
        <v>133</v>
      </c>
      <c r="D82" s="11" t="s">
        <v>22</v>
      </c>
      <c r="E82" s="1"/>
      <c r="F82" s="1"/>
      <c r="G82" s="1"/>
      <c r="H82" s="1"/>
      <c r="I82" s="1"/>
    </row>
    <row r="83" spans="1:9" ht="29" x14ac:dyDescent="0.2">
      <c r="A83" s="1"/>
      <c r="B83" s="9" t="s">
        <v>134</v>
      </c>
      <c r="C83" s="10" t="s">
        <v>135</v>
      </c>
      <c r="D83" s="11" t="s">
        <v>11</v>
      </c>
      <c r="E83" s="1"/>
      <c r="F83" s="1"/>
      <c r="G83" s="1"/>
      <c r="H83" s="1"/>
      <c r="I83" s="1"/>
    </row>
    <row r="84" spans="1:9" x14ac:dyDescent="0.2">
      <c r="A84" s="1"/>
      <c r="B84" s="9" t="s">
        <v>136</v>
      </c>
      <c r="C84" s="10" t="s">
        <v>137</v>
      </c>
      <c r="D84" s="11" t="s">
        <v>18</v>
      </c>
      <c r="E84" s="1"/>
      <c r="F84" s="1"/>
      <c r="G84" s="1"/>
      <c r="H84" s="1"/>
      <c r="I84" s="1"/>
    </row>
    <row r="85" spans="1:9" ht="43" x14ac:dyDescent="0.2">
      <c r="A85" s="1"/>
      <c r="B85" s="9" t="s">
        <v>138</v>
      </c>
      <c r="C85" s="10" t="s">
        <v>139</v>
      </c>
      <c r="D85" s="11" t="s">
        <v>140</v>
      </c>
      <c r="E85" s="1"/>
      <c r="F85" s="1"/>
      <c r="G85" s="1"/>
      <c r="H85" s="1"/>
      <c r="I85" s="1"/>
    </row>
    <row r="86" spans="1:9" ht="29" x14ac:dyDescent="0.2">
      <c r="A86" s="1"/>
      <c r="B86" s="9" t="s">
        <v>141</v>
      </c>
      <c r="C86" s="10" t="s">
        <v>135</v>
      </c>
      <c r="D86" s="11" t="s">
        <v>119</v>
      </c>
      <c r="E86" s="1"/>
      <c r="F86" s="1"/>
      <c r="G86" s="1"/>
      <c r="H86" s="1"/>
      <c r="I86" s="1"/>
    </row>
    <row r="87" spans="1:9" ht="29" x14ac:dyDescent="0.2">
      <c r="A87" s="1"/>
      <c r="B87" s="9" t="s">
        <v>142</v>
      </c>
      <c r="C87" s="10" t="s">
        <v>143</v>
      </c>
      <c r="D87" s="11" t="s">
        <v>22</v>
      </c>
      <c r="E87" s="1"/>
      <c r="F87" s="1"/>
      <c r="G87" s="1"/>
      <c r="H87" s="1"/>
      <c r="I87" s="1"/>
    </row>
    <row r="88" spans="1:9" x14ac:dyDescent="0.2">
      <c r="A88" s="1"/>
      <c r="B88" s="9" t="s">
        <v>144</v>
      </c>
      <c r="C88" s="10" t="s">
        <v>145</v>
      </c>
      <c r="D88" s="11" t="s">
        <v>11</v>
      </c>
      <c r="E88" s="1"/>
      <c r="F88" s="1"/>
      <c r="G88" s="1"/>
      <c r="H88" s="1"/>
      <c r="I88" s="1"/>
    </row>
    <row r="89" spans="1:9" x14ac:dyDescent="0.2">
      <c r="A89" s="1"/>
      <c r="B89" s="9" t="s">
        <v>146</v>
      </c>
      <c r="C89" s="10" t="s">
        <v>147</v>
      </c>
      <c r="D89" s="11" t="s">
        <v>18</v>
      </c>
      <c r="E89" s="1"/>
      <c r="F89" s="1"/>
      <c r="G89" s="1"/>
      <c r="H89" s="1"/>
      <c r="I89" s="1"/>
    </row>
    <row r="90" spans="1:9" x14ac:dyDescent="0.2">
      <c r="A90" s="1"/>
      <c r="B90" s="9" t="s">
        <v>148</v>
      </c>
      <c r="C90" s="10" t="s">
        <v>145</v>
      </c>
      <c r="D90" s="11" t="s">
        <v>119</v>
      </c>
      <c r="E90" s="1"/>
      <c r="F90" s="1"/>
      <c r="G90" s="1"/>
      <c r="H90" s="1"/>
      <c r="I90" s="1"/>
    </row>
    <row r="91" spans="1:9" ht="29" x14ac:dyDescent="0.2">
      <c r="A91" s="1"/>
      <c r="B91" s="9" t="s">
        <v>149</v>
      </c>
      <c r="C91" s="10" t="s">
        <v>150</v>
      </c>
      <c r="D91" s="11" t="s">
        <v>22</v>
      </c>
      <c r="E91" s="1"/>
      <c r="F91" s="1"/>
      <c r="G91" s="1"/>
      <c r="H91" s="1"/>
      <c r="I91" s="1"/>
    </row>
    <row r="92" spans="1:9" ht="29" x14ac:dyDescent="0.2">
      <c r="A92" s="1"/>
      <c r="B92" s="9" t="s">
        <v>151</v>
      </c>
      <c r="C92" s="10" t="s">
        <v>152</v>
      </c>
      <c r="D92" s="11" t="s">
        <v>11</v>
      </c>
      <c r="E92" s="1"/>
      <c r="F92" s="1"/>
      <c r="G92" s="1"/>
      <c r="H92" s="1"/>
      <c r="I92" s="1"/>
    </row>
    <row r="93" spans="1:9" x14ac:dyDescent="0.2">
      <c r="A93" s="1"/>
      <c r="B93" s="9" t="s">
        <v>153</v>
      </c>
      <c r="C93" s="10" t="s">
        <v>154</v>
      </c>
      <c r="D93" s="11" t="s">
        <v>18</v>
      </c>
      <c r="E93" s="1"/>
      <c r="F93" s="1"/>
      <c r="G93" s="1"/>
      <c r="H93" s="1"/>
      <c r="I93" s="1"/>
    </row>
    <row r="94" spans="1:9" ht="43" x14ac:dyDescent="0.2">
      <c r="A94" s="1"/>
      <c r="B94" s="9" t="s">
        <v>155</v>
      </c>
      <c r="C94" s="10" t="s">
        <v>156</v>
      </c>
      <c r="D94" s="11" t="s">
        <v>140</v>
      </c>
      <c r="E94" s="1"/>
      <c r="F94" s="1"/>
      <c r="G94" s="1"/>
      <c r="H94" s="1"/>
      <c r="I94" s="1"/>
    </row>
    <row r="95" spans="1:9" ht="29" x14ac:dyDescent="0.2">
      <c r="A95" s="1"/>
      <c r="B95" s="9" t="s">
        <v>157</v>
      </c>
      <c r="C95" s="10" t="s">
        <v>152</v>
      </c>
      <c r="D95" s="11" t="s">
        <v>119</v>
      </c>
      <c r="E95" s="1"/>
      <c r="F95" s="1"/>
      <c r="G95" s="1"/>
      <c r="H95" s="1"/>
      <c r="I95" s="1"/>
    </row>
    <row r="96" spans="1:9" ht="29" x14ac:dyDescent="0.2">
      <c r="A96" s="1"/>
      <c r="B96" s="9" t="s">
        <v>158</v>
      </c>
      <c r="C96" s="10" t="s">
        <v>159</v>
      </c>
      <c r="D96" s="11" t="s">
        <v>22</v>
      </c>
      <c r="E96" s="1"/>
      <c r="F96" s="1"/>
      <c r="G96" s="1"/>
      <c r="H96" s="1"/>
      <c r="I96" s="1"/>
    </row>
    <row r="97" spans="1:9" ht="29" x14ac:dyDescent="0.2">
      <c r="A97" s="1"/>
      <c r="B97" s="9" t="s">
        <v>160</v>
      </c>
      <c r="C97" s="10" t="s">
        <v>161</v>
      </c>
      <c r="D97" s="11" t="s">
        <v>107</v>
      </c>
      <c r="E97" s="1"/>
      <c r="F97" s="1"/>
      <c r="G97" s="1"/>
      <c r="H97" s="1"/>
      <c r="I97" s="1"/>
    </row>
    <row r="98" spans="1:9" ht="43" x14ac:dyDescent="0.2">
      <c r="A98" s="1"/>
      <c r="B98" s="9" t="s">
        <v>162</v>
      </c>
      <c r="C98" s="10" t="s">
        <v>163</v>
      </c>
      <c r="D98" s="11" t="s">
        <v>140</v>
      </c>
      <c r="E98" s="1"/>
      <c r="F98" s="1"/>
      <c r="G98" s="1"/>
      <c r="H98" s="1"/>
      <c r="I98" s="1"/>
    </row>
    <row r="99" spans="1:9" x14ac:dyDescent="0.2">
      <c r="A99" s="1"/>
      <c r="B99" s="9" t="s">
        <v>164</v>
      </c>
      <c r="C99" s="10" t="s">
        <v>165</v>
      </c>
      <c r="D99" s="11" t="s">
        <v>11</v>
      </c>
      <c r="E99" s="1"/>
      <c r="F99" s="1"/>
      <c r="G99" s="1"/>
      <c r="H99" s="1"/>
      <c r="I99" s="1"/>
    </row>
    <row r="100" spans="1:9" x14ac:dyDescent="0.2">
      <c r="A100" s="1"/>
      <c r="B100" s="9" t="s">
        <v>166</v>
      </c>
      <c r="C100" s="10" t="s">
        <v>167</v>
      </c>
      <c r="D100" s="11" t="s">
        <v>18</v>
      </c>
      <c r="E100" s="1"/>
      <c r="F100" s="1"/>
      <c r="G100" s="1"/>
      <c r="H100" s="1"/>
      <c r="I100" s="1"/>
    </row>
    <row r="101" spans="1:9" x14ac:dyDescent="0.2">
      <c r="A101" s="1"/>
      <c r="B101" s="9" t="s">
        <v>168</v>
      </c>
      <c r="C101" s="10" t="s">
        <v>165</v>
      </c>
      <c r="D101" s="11" t="s">
        <v>119</v>
      </c>
      <c r="E101" s="1"/>
      <c r="F101" s="1"/>
      <c r="G101" s="1"/>
      <c r="H101" s="1"/>
      <c r="I101" s="1"/>
    </row>
    <row r="102" spans="1:9" x14ac:dyDescent="0.2">
      <c r="A102" s="1"/>
      <c r="B102" s="9" t="s">
        <v>169</v>
      </c>
      <c r="C102" s="10" t="s">
        <v>170</v>
      </c>
      <c r="D102" s="11" t="s">
        <v>22</v>
      </c>
      <c r="E102" s="1"/>
      <c r="F102" s="1"/>
      <c r="G102" s="1"/>
      <c r="H102" s="1"/>
      <c r="I102" s="1"/>
    </row>
    <row r="103" spans="1:9" ht="29" x14ac:dyDescent="0.2">
      <c r="A103" s="1"/>
      <c r="B103" s="9" t="s">
        <v>171</v>
      </c>
      <c r="C103" s="10" t="s">
        <v>172</v>
      </c>
      <c r="D103" s="11" t="s">
        <v>11</v>
      </c>
      <c r="E103" s="1"/>
      <c r="F103" s="1"/>
      <c r="G103" s="2"/>
      <c r="H103" s="2"/>
      <c r="I103" s="2"/>
    </row>
    <row r="104" spans="1:9" ht="29" x14ac:dyDescent="0.2">
      <c r="A104" s="1"/>
      <c r="B104" s="9" t="s">
        <v>173</v>
      </c>
      <c r="C104" s="10" t="s">
        <v>174</v>
      </c>
      <c r="D104" s="11" t="s">
        <v>11</v>
      </c>
      <c r="E104" s="1"/>
      <c r="F104" s="1"/>
      <c r="G104" s="2"/>
      <c r="H104" s="2"/>
      <c r="I104" s="2"/>
    </row>
    <row r="105" spans="1:9" x14ac:dyDescent="0.2">
      <c r="A105" s="1"/>
      <c r="B105" s="9" t="s">
        <v>175</v>
      </c>
      <c r="C105" s="10" t="s">
        <v>176</v>
      </c>
      <c r="D105" s="11" t="s">
        <v>18</v>
      </c>
      <c r="E105" s="1"/>
      <c r="F105" s="1"/>
      <c r="G105" s="1"/>
      <c r="H105" s="1"/>
      <c r="I105" s="1"/>
    </row>
    <row r="106" spans="1:9" ht="29" x14ac:dyDescent="0.2">
      <c r="A106" s="1"/>
      <c r="B106" s="9" t="s">
        <v>177</v>
      </c>
      <c r="C106" s="10" t="s">
        <v>178</v>
      </c>
      <c r="D106" s="11" t="s">
        <v>140</v>
      </c>
      <c r="E106" s="1"/>
      <c r="F106" s="1"/>
      <c r="G106" s="1"/>
      <c r="H106" s="1"/>
      <c r="I106" s="1"/>
    </row>
    <row r="107" spans="1:9" ht="29" x14ac:dyDescent="0.2">
      <c r="A107" s="1"/>
      <c r="B107" s="9" t="s">
        <v>179</v>
      </c>
      <c r="C107" s="10" t="s">
        <v>180</v>
      </c>
      <c r="D107" s="11" t="s">
        <v>119</v>
      </c>
      <c r="E107" s="1"/>
      <c r="F107" s="1"/>
      <c r="G107" s="2"/>
      <c r="H107" s="2"/>
      <c r="I107" s="2"/>
    </row>
    <row r="108" spans="1:9" x14ac:dyDescent="0.2">
      <c r="A108" s="2"/>
      <c r="B108" s="9" t="s">
        <v>181</v>
      </c>
      <c r="C108" s="10" t="s">
        <v>182</v>
      </c>
      <c r="D108" s="11" t="s">
        <v>22</v>
      </c>
      <c r="E108" s="1"/>
      <c r="F108" s="1"/>
      <c r="G108" s="1"/>
      <c r="H108" s="1"/>
      <c r="I108" s="1"/>
    </row>
    <row r="109" spans="1:9" ht="29" x14ac:dyDescent="0.2">
      <c r="A109" s="2"/>
      <c r="B109" s="9" t="s">
        <v>183</v>
      </c>
      <c r="C109" s="10" t="s">
        <v>184</v>
      </c>
      <c r="D109" s="11" t="s">
        <v>11</v>
      </c>
      <c r="E109" s="1"/>
      <c r="F109" s="1"/>
      <c r="G109" s="1"/>
      <c r="H109" s="1"/>
      <c r="I109" s="1"/>
    </row>
    <row r="110" spans="1:9" ht="29" x14ac:dyDescent="0.2">
      <c r="A110" s="1"/>
      <c r="B110" s="9" t="s">
        <v>185</v>
      </c>
      <c r="C110" s="10" t="s">
        <v>186</v>
      </c>
      <c r="D110" s="11" t="s">
        <v>18</v>
      </c>
      <c r="E110" s="1"/>
      <c r="F110" s="1"/>
      <c r="G110" s="1"/>
      <c r="H110" s="1"/>
      <c r="I110" s="1"/>
    </row>
    <row r="111" spans="1:9" ht="43" x14ac:dyDescent="0.2">
      <c r="A111" s="1"/>
      <c r="B111" s="9" t="s">
        <v>187</v>
      </c>
      <c r="C111" s="10" t="s">
        <v>188</v>
      </c>
      <c r="D111" s="11" t="s">
        <v>140</v>
      </c>
      <c r="E111" s="1"/>
      <c r="F111" s="1"/>
      <c r="G111" s="1"/>
      <c r="H111" s="1"/>
      <c r="I111" s="1"/>
    </row>
    <row r="112" spans="1:9" ht="29" x14ac:dyDescent="0.2">
      <c r="A112" s="2"/>
      <c r="B112" s="9" t="s">
        <v>189</v>
      </c>
      <c r="C112" s="10" t="s">
        <v>184</v>
      </c>
      <c r="D112" s="11" t="s">
        <v>119</v>
      </c>
      <c r="E112" s="1"/>
      <c r="F112" s="1"/>
      <c r="G112" s="1"/>
      <c r="H112" s="1"/>
      <c r="I112" s="1"/>
    </row>
    <row r="113" spans="1:9" ht="29" x14ac:dyDescent="0.2">
      <c r="A113" s="1"/>
      <c r="B113" s="9" t="s">
        <v>190</v>
      </c>
      <c r="C113" s="10" t="s">
        <v>191</v>
      </c>
      <c r="D113" s="11" t="s">
        <v>22</v>
      </c>
      <c r="E113" s="1"/>
      <c r="F113" s="1"/>
      <c r="G113" s="1"/>
      <c r="H113" s="1"/>
      <c r="I113" s="1"/>
    </row>
    <row r="114" spans="1:9" ht="43" x14ac:dyDescent="0.2">
      <c r="A114" s="1"/>
      <c r="B114" s="9" t="s">
        <v>192</v>
      </c>
      <c r="C114" s="10" t="s">
        <v>193</v>
      </c>
      <c r="D114" s="11" t="s">
        <v>11</v>
      </c>
      <c r="E114" s="1"/>
      <c r="F114" s="1"/>
      <c r="G114" s="1"/>
      <c r="H114" s="1"/>
      <c r="I114" s="1"/>
    </row>
    <row r="115" spans="1:9" x14ac:dyDescent="0.2">
      <c r="A115" s="1"/>
      <c r="B115" s="9" t="s">
        <v>194</v>
      </c>
      <c r="C115" s="10" t="s">
        <v>195</v>
      </c>
      <c r="D115" s="11" t="s">
        <v>11</v>
      </c>
      <c r="E115" s="1"/>
      <c r="F115" s="1"/>
      <c r="G115" s="1"/>
      <c r="H115" s="1"/>
      <c r="I115" s="1"/>
    </row>
    <row r="116" spans="1:9" ht="29" x14ac:dyDescent="0.2">
      <c r="A116" s="1"/>
      <c r="B116" s="9" t="s">
        <v>196</v>
      </c>
      <c r="C116" s="10" t="s">
        <v>197</v>
      </c>
      <c r="D116" s="11" t="s">
        <v>140</v>
      </c>
      <c r="E116" s="1"/>
      <c r="F116" s="1"/>
      <c r="G116" s="1"/>
      <c r="H116" s="1"/>
      <c r="I116" s="1"/>
    </row>
    <row r="117" spans="1:9" x14ac:dyDescent="0.2">
      <c r="A117" s="1"/>
      <c r="B117" s="9" t="s">
        <v>198</v>
      </c>
      <c r="C117" s="10" t="s">
        <v>195</v>
      </c>
      <c r="D117" s="11" t="s">
        <v>119</v>
      </c>
      <c r="E117" s="1"/>
      <c r="F117" s="1"/>
      <c r="G117" s="1"/>
      <c r="H117" s="1"/>
      <c r="I117" s="1"/>
    </row>
    <row r="118" spans="1:9" x14ac:dyDescent="0.2">
      <c r="A118" s="1"/>
      <c r="B118" s="9" t="s">
        <v>199</v>
      </c>
      <c r="C118" s="10" t="s">
        <v>200</v>
      </c>
      <c r="D118" s="11" t="s">
        <v>11</v>
      </c>
      <c r="E118" s="1"/>
      <c r="F118" s="1"/>
      <c r="G118" s="1"/>
      <c r="H118" s="1"/>
      <c r="I118" s="1"/>
    </row>
    <row r="119" spans="1:9" x14ac:dyDescent="0.2">
      <c r="A119" s="1"/>
      <c r="B119" s="9" t="s">
        <v>201</v>
      </c>
      <c r="C119" s="10" t="s">
        <v>202</v>
      </c>
      <c r="D119" s="11" t="s">
        <v>18</v>
      </c>
      <c r="E119" s="1"/>
      <c r="F119" s="1"/>
      <c r="G119" s="1"/>
      <c r="H119" s="1"/>
      <c r="I119" s="1"/>
    </row>
    <row r="120" spans="1:9" x14ac:dyDescent="0.2">
      <c r="A120" s="1"/>
      <c r="B120" s="9" t="s">
        <v>203</v>
      </c>
      <c r="C120" s="10" t="s">
        <v>200</v>
      </c>
      <c r="D120" s="11" t="s">
        <v>119</v>
      </c>
      <c r="E120" s="1"/>
      <c r="F120" s="1"/>
      <c r="G120" s="1"/>
      <c r="H120" s="1"/>
      <c r="I120" s="1"/>
    </row>
    <row r="121" spans="1:9" ht="29" x14ac:dyDescent="0.2">
      <c r="A121" s="1"/>
      <c r="B121" s="9" t="s">
        <v>204</v>
      </c>
      <c r="C121" s="10" t="s">
        <v>205</v>
      </c>
      <c r="D121" s="11" t="s">
        <v>22</v>
      </c>
      <c r="E121" s="1"/>
      <c r="F121" s="1"/>
      <c r="G121" s="1"/>
      <c r="H121" s="1"/>
      <c r="I121" s="1"/>
    </row>
    <row r="122" spans="1:9" x14ac:dyDescent="0.2">
      <c r="A122" s="1"/>
      <c r="B122" s="9" t="s">
        <v>206</v>
      </c>
      <c r="C122" s="10" t="s">
        <v>207</v>
      </c>
      <c r="D122" s="11" t="s">
        <v>11</v>
      </c>
      <c r="E122" s="1"/>
      <c r="F122" s="1"/>
      <c r="G122" s="2"/>
      <c r="H122" s="2"/>
      <c r="I122" s="2"/>
    </row>
    <row r="123" spans="1:9" ht="29" x14ac:dyDescent="0.2">
      <c r="A123" s="1"/>
      <c r="B123" s="9" t="s">
        <v>208</v>
      </c>
      <c r="C123" s="10" t="s">
        <v>209</v>
      </c>
      <c r="D123" s="11" t="s">
        <v>11</v>
      </c>
      <c r="E123" s="1"/>
      <c r="F123" s="1"/>
      <c r="G123" s="2"/>
      <c r="H123" s="2"/>
      <c r="I123" s="2"/>
    </row>
    <row r="124" spans="1:9" x14ac:dyDescent="0.2">
      <c r="A124" s="1"/>
      <c r="B124" s="9" t="s">
        <v>210</v>
      </c>
      <c r="C124" s="10" t="s">
        <v>211</v>
      </c>
      <c r="D124" s="11" t="s">
        <v>11</v>
      </c>
      <c r="E124" s="1"/>
      <c r="F124" s="1"/>
      <c r="G124" s="2"/>
      <c r="H124" s="2"/>
      <c r="I124" s="2"/>
    </row>
    <row r="125" spans="1:9" x14ac:dyDescent="0.2">
      <c r="A125" s="1"/>
      <c r="B125" s="9" t="s">
        <v>212</v>
      </c>
      <c r="C125" s="13" t="s">
        <v>213</v>
      </c>
      <c r="D125" s="11" t="s">
        <v>18</v>
      </c>
      <c r="E125" s="1"/>
      <c r="F125" s="1"/>
      <c r="G125" s="2"/>
      <c r="H125" s="2"/>
      <c r="I125" s="2"/>
    </row>
    <row r="126" spans="1:9" x14ac:dyDescent="0.2">
      <c r="A126" s="1"/>
      <c r="B126" s="9" t="s">
        <v>214</v>
      </c>
      <c r="C126" s="10" t="s">
        <v>211</v>
      </c>
      <c r="D126" s="11" t="s">
        <v>119</v>
      </c>
      <c r="E126" s="1"/>
      <c r="F126" s="1"/>
      <c r="G126" s="2"/>
      <c r="H126" s="2"/>
      <c r="I126" s="2"/>
    </row>
    <row r="127" spans="1:9" x14ac:dyDescent="0.2">
      <c r="A127" s="1"/>
      <c r="B127" s="9" t="s">
        <v>215</v>
      </c>
      <c r="C127" s="10" t="s">
        <v>216</v>
      </c>
      <c r="D127" s="11" t="s">
        <v>22</v>
      </c>
      <c r="E127" s="1"/>
      <c r="F127" s="1"/>
      <c r="G127" s="1"/>
      <c r="H127" s="1"/>
      <c r="I127" s="1"/>
    </row>
    <row r="128" spans="1:9" x14ac:dyDescent="0.2">
      <c r="A128" s="1"/>
      <c r="B128" s="9" t="s">
        <v>217</v>
      </c>
      <c r="C128" s="10" t="s">
        <v>218</v>
      </c>
      <c r="D128" s="11" t="s">
        <v>11</v>
      </c>
      <c r="E128" s="1"/>
      <c r="F128" s="1"/>
      <c r="G128" s="1"/>
      <c r="H128" s="1"/>
      <c r="I128" s="1"/>
    </row>
    <row r="129" spans="1:9" x14ac:dyDescent="0.2">
      <c r="A129" s="2"/>
      <c r="B129" s="9" t="s">
        <v>219</v>
      </c>
      <c r="C129" s="10" t="s">
        <v>220</v>
      </c>
      <c r="D129" s="11" t="s">
        <v>18</v>
      </c>
      <c r="E129" s="1"/>
      <c r="F129" s="1"/>
      <c r="G129" s="1"/>
      <c r="H129" s="1"/>
      <c r="I129" s="1"/>
    </row>
    <row r="130" spans="1:9" x14ac:dyDescent="0.2">
      <c r="A130" s="1"/>
      <c r="B130" s="9" t="s">
        <v>221</v>
      </c>
      <c r="C130" s="10" t="s">
        <v>218</v>
      </c>
      <c r="D130" s="11" t="s">
        <v>13</v>
      </c>
      <c r="E130" s="1"/>
      <c r="F130" s="1"/>
      <c r="G130" s="1"/>
      <c r="H130" s="1"/>
      <c r="I130" s="1"/>
    </row>
    <row r="131" spans="1:9" x14ac:dyDescent="0.2">
      <c r="A131" s="1"/>
      <c r="B131" s="9" t="s">
        <v>222</v>
      </c>
      <c r="C131" s="10" t="s">
        <v>223</v>
      </c>
      <c r="D131" s="11" t="s">
        <v>22</v>
      </c>
      <c r="E131" s="1"/>
      <c r="F131" s="1"/>
      <c r="G131" s="1"/>
      <c r="H131" s="1"/>
      <c r="I131" s="1"/>
    </row>
    <row r="132" spans="1:9" ht="29" x14ac:dyDescent="0.2">
      <c r="A132" s="1"/>
      <c r="B132" s="9" t="s">
        <v>224</v>
      </c>
      <c r="C132" s="10" t="s">
        <v>225</v>
      </c>
      <c r="D132" s="11" t="s">
        <v>11</v>
      </c>
      <c r="E132" s="1"/>
      <c r="F132" s="1"/>
      <c r="G132" s="1"/>
      <c r="H132" s="1"/>
      <c r="I132" s="1"/>
    </row>
    <row r="133" spans="1:9" ht="29" x14ac:dyDescent="0.2">
      <c r="A133" s="1"/>
      <c r="B133" s="9" t="s">
        <v>226</v>
      </c>
      <c r="C133" s="10" t="s">
        <v>225</v>
      </c>
      <c r="D133" s="11" t="s">
        <v>13</v>
      </c>
      <c r="E133" s="1"/>
      <c r="F133" s="1"/>
      <c r="G133" s="1"/>
      <c r="H133" s="1"/>
      <c r="I133" s="1"/>
    </row>
    <row r="134" spans="1:9" ht="29" x14ac:dyDescent="0.2">
      <c r="A134" s="1"/>
      <c r="B134" s="9" t="s">
        <v>227</v>
      </c>
      <c r="C134" s="10" t="s">
        <v>228</v>
      </c>
      <c r="D134" s="11" t="s">
        <v>229</v>
      </c>
      <c r="E134" s="1"/>
      <c r="F134" s="1"/>
      <c r="G134" s="1"/>
      <c r="H134" s="1"/>
      <c r="I134" s="1"/>
    </row>
    <row r="135" spans="1:9" ht="29" x14ac:dyDescent="0.2">
      <c r="A135" s="1"/>
      <c r="B135" s="9" t="s">
        <v>230</v>
      </c>
      <c r="C135" s="10" t="s">
        <v>231</v>
      </c>
      <c r="D135" s="11" t="s">
        <v>11</v>
      </c>
      <c r="E135" s="1"/>
      <c r="F135" s="1"/>
      <c r="G135" s="1"/>
      <c r="H135" s="1"/>
      <c r="I135" s="1"/>
    </row>
    <row r="136" spans="1:9" ht="29" x14ac:dyDescent="0.2">
      <c r="A136" s="1"/>
      <c r="B136" s="9" t="s">
        <v>232</v>
      </c>
      <c r="C136" s="10" t="s">
        <v>233</v>
      </c>
      <c r="D136" s="11" t="s">
        <v>18</v>
      </c>
      <c r="E136" s="1"/>
      <c r="F136" s="1"/>
      <c r="G136" s="1"/>
      <c r="H136" s="1"/>
      <c r="I136" s="1"/>
    </row>
    <row r="137" spans="1:9" ht="29" x14ac:dyDescent="0.2">
      <c r="A137" s="1"/>
      <c r="B137" s="9" t="s">
        <v>234</v>
      </c>
      <c r="C137" s="10" t="s">
        <v>231</v>
      </c>
      <c r="D137" s="11" t="s">
        <v>13</v>
      </c>
      <c r="E137" s="1"/>
      <c r="F137" s="1"/>
      <c r="G137" s="1"/>
      <c r="H137" s="1"/>
      <c r="I137" s="1"/>
    </row>
    <row r="138" spans="1:9" ht="29" x14ac:dyDescent="0.2">
      <c r="A138" s="1"/>
      <c r="B138" s="9" t="s">
        <v>235</v>
      </c>
      <c r="C138" s="10" t="s">
        <v>236</v>
      </c>
      <c r="D138" s="11" t="s">
        <v>22</v>
      </c>
      <c r="E138" s="1"/>
      <c r="F138" s="1"/>
      <c r="G138" s="1"/>
      <c r="H138" s="1"/>
      <c r="I138" s="1"/>
    </row>
    <row r="139" spans="1:9" ht="43" x14ac:dyDescent="0.2">
      <c r="A139" s="1"/>
      <c r="B139" s="9" t="s">
        <v>237</v>
      </c>
      <c r="C139" s="10" t="s">
        <v>238</v>
      </c>
      <c r="D139" s="11" t="s">
        <v>11</v>
      </c>
      <c r="E139" s="1"/>
      <c r="F139" s="1"/>
      <c r="G139" s="1"/>
      <c r="H139" s="1"/>
      <c r="I139" s="1"/>
    </row>
    <row r="140" spans="1:9" ht="29" x14ac:dyDescent="0.2">
      <c r="A140" s="1"/>
      <c r="B140" s="9" t="s">
        <v>239</v>
      </c>
      <c r="C140" s="10" t="s">
        <v>240</v>
      </c>
      <c r="D140" s="11" t="s">
        <v>11</v>
      </c>
      <c r="E140" s="1"/>
      <c r="F140" s="1"/>
      <c r="G140" s="1"/>
      <c r="H140" s="1"/>
      <c r="I140" s="1"/>
    </row>
    <row r="141" spans="1:9" ht="29" x14ac:dyDescent="0.2">
      <c r="A141" s="1"/>
      <c r="B141" s="9" t="s">
        <v>241</v>
      </c>
      <c r="C141" s="10" t="s">
        <v>242</v>
      </c>
      <c r="D141" s="11" t="s">
        <v>18</v>
      </c>
      <c r="E141" s="1"/>
      <c r="F141" s="1"/>
      <c r="G141" s="1"/>
      <c r="H141" s="1"/>
      <c r="I141" s="1"/>
    </row>
    <row r="142" spans="1:9" ht="29" x14ac:dyDescent="0.2">
      <c r="A142" s="1"/>
      <c r="B142" s="9" t="s">
        <v>243</v>
      </c>
      <c r="C142" s="10" t="s">
        <v>240</v>
      </c>
      <c r="D142" s="11" t="s">
        <v>13</v>
      </c>
      <c r="E142" s="1"/>
      <c r="F142" s="1"/>
      <c r="G142" s="1"/>
      <c r="H142" s="1"/>
      <c r="I142" s="1"/>
    </row>
    <row r="143" spans="1:9" ht="29" x14ac:dyDescent="0.2">
      <c r="A143" s="1"/>
      <c r="B143" s="9" t="s">
        <v>244</v>
      </c>
      <c r="C143" s="10" t="s">
        <v>245</v>
      </c>
      <c r="D143" s="11" t="s">
        <v>22</v>
      </c>
      <c r="E143" s="1"/>
      <c r="F143" s="1"/>
      <c r="G143" s="1"/>
      <c r="H143" s="1"/>
      <c r="I143" s="1"/>
    </row>
    <row r="144" spans="1:9" ht="29" x14ac:dyDescent="0.2">
      <c r="A144" s="1"/>
      <c r="B144" s="9" t="s">
        <v>246</v>
      </c>
      <c r="C144" s="10" t="s">
        <v>247</v>
      </c>
      <c r="D144" s="11" t="s">
        <v>11</v>
      </c>
      <c r="E144" s="1"/>
      <c r="F144" s="1"/>
      <c r="G144" s="1"/>
      <c r="H144" s="1"/>
      <c r="I144" s="1"/>
    </row>
    <row r="145" spans="1:9" ht="29" x14ac:dyDescent="0.2">
      <c r="A145" s="1"/>
      <c r="B145" s="9" t="s">
        <v>248</v>
      </c>
      <c r="C145" s="10" t="s">
        <v>249</v>
      </c>
      <c r="D145" s="11" t="s">
        <v>18</v>
      </c>
      <c r="E145" s="1"/>
      <c r="F145" s="1"/>
      <c r="G145" s="1"/>
      <c r="H145" s="1"/>
      <c r="I145" s="1"/>
    </row>
    <row r="146" spans="1:9" ht="29" x14ac:dyDescent="0.2">
      <c r="A146" s="1"/>
      <c r="B146" s="9" t="s">
        <v>250</v>
      </c>
      <c r="C146" s="10" t="s">
        <v>247</v>
      </c>
      <c r="D146" s="11" t="s">
        <v>13</v>
      </c>
      <c r="E146" s="1"/>
      <c r="F146" s="1"/>
      <c r="G146" s="1"/>
      <c r="H146" s="1"/>
      <c r="I146" s="1"/>
    </row>
    <row r="147" spans="1:9" ht="29" x14ac:dyDescent="0.2">
      <c r="A147" s="1"/>
      <c r="B147" s="9" t="s">
        <v>251</v>
      </c>
      <c r="C147" s="10" t="s">
        <v>252</v>
      </c>
      <c r="D147" s="11" t="s">
        <v>22</v>
      </c>
      <c r="E147" s="1"/>
      <c r="F147" s="1"/>
      <c r="G147" s="1"/>
      <c r="H147" s="1"/>
      <c r="I147" s="1"/>
    </row>
    <row r="148" spans="1:9" ht="29" x14ac:dyDescent="0.2">
      <c r="A148" s="1"/>
      <c r="B148" s="9" t="s">
        <v>253</v>
      </c>
      <c r="C148" s="10" t="s">
        <v>254</v>
      </c>
      <c r="D148" s="11" t="s">
        <v>11</v>
      </c>
      <c r="E148" s="1"/>
      <c r="F148" s="1"/>
      <c r="G148" s="1"/>
      <c r="H148" s="1"/>
      <c r="I148" s="1"/>
    </row>
    <row r="149" spans="1:9" ht="29" x14ac:dyDescent="0.2">
      <c r="A149" s="1"/>
      <c r="B149" s="9" t="s">
        <v>255</v>
      </c>
      <c r="C149" s="10" t="s">
        <v>256</v>
      </c>
      <c r="D149" s="11" t="s">
        <v>18</v>
      </c>
      <c r="E149" s="1"/>
      <c r="F149" s="1"/>
      <c r="G149" s="1"/>
      <c r="H149" s="1"/>
      <c r="I149" s="1"/>
    </row>
    <row r="150" spans="1:9" ht="29" x14ac:dyDescent="0.2">
      <c r="A150" s="1"/>
      <c r="B150" s="9" t="s">
        <v>257</v>
      </c>
      <c r="C150" s="10" t="s">
        <v>254</v>
      </c>
      <c r="D150" s="11" t="s">
        <v>13</v>
      </c>
      <c r="E150" s="1"/>
      <c r="F150" s="1"/>
      <c r="G150" s="1"/>
      <c r="H150" s="1"/>
      <c r="I150" s="1"/>
    </row>
    <row r="151" spans="1:9" ht="29" x14ac:dyDescent="0.2">
      <c r="A151" s="1"/>
      <c r="B151" s="9" t="s">
        <v>258</v>
      </c>
      <c r="C151" s="10" t="s">
        <v>259</v>
      </c>
      <c r="D151" s="11" t="s">
        <v>22</v>
      </c>
      <c r="E151" s="1"/>
      <c r="F151" s="1"/>
      <c r="G151" s="1"/>
      <c r="H151" s="1"/>
      <c r="I151" s="1"/>
    </row>
    <row r="152" spans="1:9" ht="29" x14ac:dyDescent="0.2">
      <c r="A152" s="1"/>
      <c r="B152" s="9" t="s">
        <v>260</v>
      </c>
      <c r="C152" s="10" t="s">
        <v>261</v>
      </c>
      <c r="D152" s="11" t="s">
        <v>11</v>
      </c>
      <c r="E152" s="1"/>
      <c r="F152" s="1"/>
      <c r="G152" s="1"/>
      <c r="H152" s="1"/>
      <c r="I152" s="1"/>
    </row>
    <row r="153" spans="1:9" ht="29" x14ac:dyDescent="0.2">
      <c r="A153" s="1"/>
      <c r="B153" s="9" t="s">
        <v>262</v>
      </c>
      <c r="C153" s="10" t="s">
        <v>263</v>
      </c>
      <c r="D153" s="11" t="s">
        <v>11</v>
      </c>
      <c r="E153" s="1"/>
      <c r="F153" s="1"/>
      <c r="G153" s="1"/>
      <c r="H153" s="1"/>
      <c r="I153" s="1"/>
    </row>
    <row r="154" spans="1:9" ht="29" x14ac:dyDescent="0.2">
      <c r="A154" s="1"/>
      <c r="B154" s="9" t="s">
        <v>264</v>
      </c>
      <c r="C154" s="10" t="s">
        <v>265</v>
      </c>
      <c r="D154" s="11" t="s">
        <v>18</v>
      </c>
      <c r="E154" s="1"/>
      <c r="F154" s="1"/>
      <c r="G154" s="1"/>
      <c r="H154" s="1"/>
      <c r="I154" s="1"/>
    </row>
    <row r="155" spans="1:9" ht="29" x14ac:dyDescent="0.2">
      <c r="A155" s="1"/>
      <c r="B155" s="9" t="s">
        <v>266</v>
      </c>
      <c r="C155" s="10" t="s">
        <v>263</v>
      </c>
      <c r="D155" s="11" t="s">
        <v>13</v>
      </c>
      <c r="E155" s="1"/>
      <c r="F155" s="1"/>
      <c r="G155" s="1"/>
      <c r="H155" s="1"/>
      <c r="I155" s="1"/>
    </row>
    <row r="156" spans="1:9" ht="29" x14ac:dyDescent="0.2">
      <c r="A156" s="1"/>
      <c r="B156" s="9" t="s">
        <v>267</v>
      </c>
      <c r="C156" s="10" t="s">
        <v>268</v>
      </c>
      <c r="D156" s="11" t="s">
        <v>22</v>
      </c>
      <c r="E156" s="1"/>
      <c r="F156" s="1"/>
      <c r="G156" s="1"/>
      <c r="H156" s="1"/>
      <c r="I156" s="1"/>
    </row>
    <row r="157" spans="1:9" x14ac:dyDescent="0.2">
      <c r="A157" s="1"/>
      <c r="B157" s="9" t="s">
        <v>269</v>
      </c>
      <c r="C157" s="10" t="s">
        <v>270</v>
      </c>
      <c r="D157" s="11" t="s">
        <v>11</v>
      </c>
      <c r="E157" s="1"/>
      <c r="F157" s="1"/>
      <c r="G157" s="1"/>
      <c r="H157" s="1"/>
      <c r="I157" s="1"/>
    </row>
    <row r="158" spans="1:9" ht="29" x14ac:dyDescent="0.2">
      <c r="A158" s="1"/>
      <c r="B158" s="9" t="s">
        <v>271</v>
      </c>
      <c r="C158" s="10" t="s">
        <v>272</v>
      </c>
      <c r="D158" s="11" t="s">
        <v>11</v>
      </c>
      <c r="E158" s="1"/>
      <c r="F158" s="1"/>
      <c r="G158" s="1"/>
      <c r="H158" s="1"/>
      <c r="I158" s="1"/>
    </row>
    <row r="159" spans="1:9" x14ac:dyDescent="0.2">
      <c r="A159" s="1"/>
      <c r="B159" s="9" t="s">
        <v>273</v>
      </c>
      <c r="C159" s="10" t="s">
        <v>274</v>
      </c>
      <c r="D159" s="11" t="s">
        <v>11</v>
      </c>
      <c r="E159" s="1"/>
      <c r="F159" s="1"/>
      <c r="G159" s="1"/>
      <c r="H159" s="1"/>
      <c r="I159" s="1"/>
    </row>
    <row r="160" spans="1:9" x14ac:dyDescent="0.2">
      <c r="A160" s="1"/>
      <c r="B160" s="9" t="s">
        <v>275</v>
      </c>
      <c r="C160" s="10" t="s">
        <v>276</v>
      </c>
      <c r="D160" s="11" t="s">
        <v>18</v>
      </c>
      <c r="E160" s="1"/>
      <c r="F160" s="1"/>
      <c r="G160" s="1"/>
      <c r="H160" s="1"/>
      <c r="I160" s="1"/>
    </row>
    <row r="161" spans="1:9" x14ac:dyDescent="0.2">
      <c r="A161" s="1"/>
      <c r="B161" s="9" t="s">
        <v>277</v>
      </c>
      <c r="C161" s="13" t="s">
        <v>278</v>
      </c>
      <c r="D161" s="11" t="s">
        <v>229</v>
      </c>
      <c r="E161" s="1"/>
      <c r="F161" s="1"/>
      <c r="G161" s="1"/>
      <c r="H161" s="1"/>
      <c r="I161" s="1"/>
    </row>
    <row r="162" spans="1:9" x14ac:dyDescent="0.2">
      <c r="A162" s="1"/>
      <c r="B162" s="9" t="s">
        <v>279</v>
      </c>
      <c r="C162" s="10" t="s">
        <v>274</v>
      </c>
      <c r="D162" s="11" t="s">
        <v>13</v>
      </c>
      <c r="E162" s="1"/>
      <c r="F162" s="1"/>
      <c r="G162" s="1"/>
      <c r="H162" s="1"/>
      <c r="I162" s="1"/>
    </row>
    <row r="163" spans="1:9" x14ac:dyDescent="0.2">
      <c r="A163" s="1"/>
      <c r="B163" s="9" t="s">
        <v>280</v>
      </c>
      <c r="C163" s="10" t="s">
        <v>281</v>
      </c>
      <c r="D163" s="11" t="s">
        <v>22</v>
      </c>
      <c r="E163" s="1"/>
      <c r="F163" s="1"/>
      <c r="G163" s="1"/>
      <c r="H163" s="1"/>
      <c r="I163" s="1"/>
    </row>
    <row r="164" spans="1:9" ht="29" x14ac:dyDescent="0.2">
      <c r="A164" s="1"/>
      <c r="B164" s="9" t="s">
        <v>282</v>
      </c>
      <c r="C164" s="10" t="s">
        <v>283</v>
      </c>
      <c r="D164" s="11" t="s">
        <v>11</v>
      </c>
      <c r="E164" s="1"/>
      <c r="F164" s="1"/>
      <c r="G164" s="1"/>
      <c r="H164" s="1"/>
      <c r="I164" s="1"/>
    </row>
    <row r="165" spans="1:9" ht="29" x14ac:dyDescent="0.2">
      <c r="A165" s="1"/>
      <c r="B165" s="9" t="s">
        <v>284</v>
      </c>
      <c r="C165" s="10" t="s">
        <v>285</v>
      </c>
      <c r="D165" s="11" t="s">
        <v>18</v>
      </c>
      <c r="E165" s="1"/>
      <c r="F165" s="1"/>
      <c r="G165" s="1"/>
      <c r="H165" s="1"/>
      <c r="I165" s="1"/>
    </row>
    <row r="166" spans="1:9" ht="29" x14ac:dyDescent="0.2">
      <c r="A166" s="1"/>
      <c r="B166" s="9" t="s">
        <v>286</v>
      </c>
      <c r="C166" s="10" t="s">
        <v>283</v>
      </c>
      <c r="D166" s="11" t="s">
        <v>13</v>
      </c>
      <c r="E166" s="1"/>
      <c r="F166" s="1"/>
      <c r="G166" s="1"/>
      <c r="H166" s="1"/>
      <c r="I166" s="1"/>
    </row>
    <row r="167" spans="1:9" ht="29" x14ac:dyDescent="0.2">
      <c r="A167" s="1"/>
      <c r="B167" s="9" t="s">
        <v>287</v>
      </c>
      <c r="C167" s="10" t="s">
        <v>288</v>
      </c>
      <c r="D167" s="11" t="s">
        <v>22</v>
      </c>
      <c r="E167" s="1"/>
      <c r="F167" s="1"/>
      <c r="G167" s="1"/>
      <c r="H167" s="1"/>
      <c r="I167" s="1"/>
    </row>
    <row r="168" spans="1:9" ht="43" x14ac:dyDescent="0.2">
      <c r="A168" s="1"/>
      <c r="B168" s="9" t="s">
        <v>289</v>
      </c>
      <c r="C168" s="10" t="s">
        <v>290</v>
      </c>
      <c r="D168" s="11" t="s">
        <v>11</v>
      </c>
      <c r="E168" s="1"/>
      <c r="F168" s="1"/>
      <c r="G168" s="1"/>
      <c r="H168" s="1"/>
      <c r="I168" s="1"/>
    </row>
    <row r="169" spans="1:9" ht="43" x14ac:dyDescent="0.2">
      <c r="A169" s="1"/>
      <c r="B169" s="9" t="s">
        <v>291</v>
      </c>
      <c r="C169" s="10" t="s">
        <v>292</v>
      </c>
      <c r="D169" s="11" t="s">
        <v>18</v>
      </c>
      <c r="E169" s="1"/>
      <c r="F169" s="1"/>
      <c r="G169" s="1"/>
      <c r="H169" s="1"/>
      <c r="I169" s="1"/>
    </row>
    <row r="170" spans="1:9" ht="43" x14ac:dyDescent="0.2">
      <c r="A170" s="1"/>
      <c r="B170" s="9" t="s">
        <v>293</v>
      </c>
      <c r="C170" s="10" t="s">
        <v>290</v>
      </c>
      <c r="D170" s="11" t="s">
        <v>13</v>
      </c>
      <c r="E170" s="1"/>
      <c r="F170" s="1"/>
      <c r="G170" s="1"/>
      <c r="H170" s="1"/>
      <c r="I170" s="1"/>
    </row>
    <row r="171" spans="1:9" ht="43" x14ac:dyDescent="0.2">
      <c r="A171" s="1"/>
      <c r="B171" s="9" t="s">
        <v>294</v>
      </c>
      <c r="C171" s="10" t="s">
        <v>295</v>
      </c>
      <c r="D171" s="11" t="s">
        <v>22</v>
      </c>
      <c r="E171" s="1"/>
      <c r="F171" s="1"/>
      <c r="G171" s="1"/>
      <c r="H171" s="1"/>
      <c r="I171" s="1"/>
    </row>
    <row r="172" spans="1:9" ht="43" x14ac:dyDescent="0.2">
      <c r="A172" s="1"/>
      <c r="B172" s="9" t="s">
        <v>296</v>
      </c>
      <c r="C172" s="10" t="s">
        <v>297</v>
      </c>
      <c r="D172" s="11" t="s">
        <v>13</v>
      </c>
      <c r="E172" s="1"/>
      <c r="F172" s="1"/>
      <c r="G172" s="1"/>
      <c r="H172" s="1"/>
      <c r="I172" s="1"/>
    </row>
    <row r="173" spans="1:9" ht="29" x14ac:dyDescent="0.2">
      <c r="A173" s="1"/>
      <c r="B173" s="9" t="s">
        <v>298</v>
      </c>
      <c r="C173" s="10" t="s">
        <v>299</v>
      </c>
      <c r="D173" s="11" t="s">
        <v>11</v>
      </c>
      <c r="E173" s="1"/>
      <c r="F173" s="1"/>
      <c r="G173" s="1"/>
      <c r="H173" s="1"/>
      <c r="I173" s="1"/>
    </row>
    <row r="174" spans="1:9" ht="43" x14ac:dyDescent="0.2">
      <c r="A174" s="1"/>
      <c r="B174" s="9" t="s">
        <v>300</v>
      </c>
      <c r="C174" s="10" t="s">
        <v>301</v>
      </c>
      <c r="D174" s="11" t="s">
        <v>229</v>
      </c>
      <c r="E174" s="1"/>
      <c r="F174" s="1"/>
      <c r="G174" s="1"/>
      <c r="H174" s="1"/>
      <c r="I174" s="1"/>
    </row>
    <row r="175" spans="1:9" ht="29" x14ac:dyDescent="0.2">
      <c r="A175" s="1"/>
      <c r="B175" s="9" t="s">
        <v>302</v>
      </c>
      <c r="C175" s="10" t="s">
        <v>299</v>
      </c>
      <c r="D175" s="11" t="s">
        <v>13</v>
      </c>
      <c r="E175" s="1"/>
      <c r="F175" s="1"/>
      <c r="G175" s="1"/>
      <c r="H175" s="1"/>
      <c r="I175" s="1"/>
    </row>
    <row r="176" spans="1:9" ht="29" x14ac:dyDescent="0.2">
      <c r="A176" s="1"/>
      <c r="B176" s="9" t="s">
        <v>303</v>
      </c>
      <c r="C176" s="10" t="s">
        <v>304</v>
      </c>
      <c r="D176" s="11" t="s">
        <v>11</v>
      </c>
      <c r="E176" s="1"/>
      <c r="F176" s="1"/>
      <c r="G176" s="1"/>
      <c r="H176" s="1"/>
      <c r="I176" s="1"/>
    </row>
    <row r="177" spans="1:9" x14ac:dyDescent="0.2">
      <c r="A177" s="1"/>
      <c r="B177" s="9" t="s">
        <v>305</v>
      </c>
      <c r="C177" s="10" t="s">
        <v>306</v>
      </c>
      <c r="D177" s="11" t="s">
        <v>18</v>
      </c>
      <c r="E177" s="1"/>
      <c r="F177" s="1"/>
      <c r="G177" s="1"/>
      <c r="H177" s="1"/>
      <c r="I177" s="1"/>
    </row>
    <row r="178" spans="1:9" ht="29" x14ac:dyDescent="0.2">
      <c r="A178" s="1"/>
      <c r="B178" s="9" t="s">
        <v>307</v>
      </c>
      <c r="C178" s="10" t="s">
        <v>304</v>
      </c>
      <c r="D178" s="11" t="s">
        <v>308</v>
      </c>
      <c r="E178" s="1"/>
      <c r="F178" s="1"/>
      <c r="G178" s="1"/>
      <c r="H178" s="1"/>
      <c r="I178" s="1"/>
    </row>
    <row r="179" spans="1:9" x14ac:dyDescent="0.2">
      <c r="A179" s="1"/>
      <c r="B179" s="9" t="s">
        <v>309</v>
      </c>
      <c r="C179" s="10" t="s">
        <v>310</v>
      </c>
      <c r="D179" s="11" t="s">
        <v>22</v>
      </c>
      <c r="E179" s="1"/>
      <c r="F179" s="1"/>
      <c r="G179" s="1"/>
      <c r="H179" s="1"/>
      <c r="I179" s="1"/>
    </row>
    <row r="180" spans="1:9" ht="29" x14ac:dyDescent="0.2">
      <c r="A180" s="1"/>
      <c r="B180" s="9" t="s">
        <v>311</v>
      </c>
      <c r="C180" s="10" t="s">
        <v>312</v>
      </c>
      <c r="D180" s="11" t="s">
        <v>107</v>
      </c>
      <c r="E180" s="1"/>
      <c r="F180" s="1"/>
      <c r="G180" s="1"/>
      <c r="H180" s="1"/>
      <c r="I180" s="1"/>
    </row>
    <row r="181" spans="1:9" x14ac:dyDescent="0.2">
      <c r="A181" s="1"/>
      <c r="B181" s="9" t="s">
        <v>313</v>
      </c>
      <c r="C181" s="10" t="s">
        <v>314</v>
      </c>
      <c r="D181" s="11" t="s">
        <v>11</v>
      </c>
      <c r="E181" s="1"/>
      <c r="F181" s="1"/>
      <c r="G181" s="1"/>
      <c r="H181" s="1"/>
      <c r="I181" s="1"/>
    </row>
    <row r="182" spans="1:9" x14ac:dyDescent="0.2">
      <c r="A182" s="1"/>
      <c r="B182" s="9" t="s">
        <v>315</v>
      </c>
      <c r="C182" s="10" t="s">
        <v>316</v>
      </c>
      <c r="D182" s="11" t="s">
        <v>18</v>
      </c>
      <c r="E182" s="1"/>
      <c r="F182" s="1"/>
      <c r="G182" s="1"/>
      <c r="H182" s="1"/>
      <c r="I182" s="1"/>
    </row>
    <row r="183" spans="1:9" x14ac:dyDescent="0.2">
      <c r="A183" s="1"/>
      <c r="B183" s="9" t="s">
        <v>317</v>
      </c>
      <c r="C183" s="10" t="s">
        <v>314</v>
      </c>
      <c r="D183" s="11" t="s">
        <v>308</v>
      </c>
      <c r="E183" s="1"/>
      <c r="F183" s="1"/>
      <c r="G183" s="1"/>
      <c r="H183" s="1"/>
      <c r="I183" s="1"/>
    </row>
    <row r="184" spans="1:9" x14ac:dyDescent="0.2">
      <c r="A184" s="1"/>
      <c r="B184" s="9" t="s">
        <v>318</v>
      </c>
      <c r="C184" s="10" t="s">
        <v>319</v>
      </c>
      <c r="D184" s="11" t="s">
        <v>22</v>
      </c>
      <c r="E184" s="1"/>
      <c r="F184" s="1"/>
      <c r="G184" s="1"/>
      <c r="H184" s="1"/>
      <c r="I184" s="1"/>
    </row>
    <row r="185" spans="1:9" ht="43" x14ac:dyDescent="0.2">
      <c r="A185" s="1"/>
      <c r="B185" s="9" t="s">
        <v>320</v>
      </c>
      <c r="C185" s="10" t="s">
        <v>321</v>
      </c>
      <c r="D185" s="11" t="s">
        <v>11</v>
      </c>
      <c r="E185" s="1"/>
      <c r="F185" s="1"/>
      <c r="G185" s="1"/>
      <c r="H185" s="1"/>
      <c r="I185" s="1"/>
    </row>
    <row r="186" spans="1:9" ht="29" x14ac:dyDescent="0.2">
      <c r="A186" s="1"/>
      <c r="B186" s="9" t="s">
        <v>322</v>
      </c>
      <c r="C186" s="10" t="s">
        <v>323</v>
      </c>
      <c r="D186" s="11" t="s">
        <v>308</v>
      </c>
      <c r="E186" s="1"/>
      <c r="F186" s="1"/>
      <c r="G186" s="1"/>
      <c r="H186" s="1"/>
      <c r="I186" s="1"/>
    </row>
    <row r="187" spans="1:9" ht="29" x14ac:dyDescent="0.2">
      <c r="A187" s="1"/>
      <c r="B187" s="9" t="s">
        <v>324</v>
      </c>
      <c r="C187" s="10" t="s">
        <v>325</v>
      </c>
      <c r="D187" s="11" t="s">
        <v>11</v>
      </c>
      <c r="E187" s="1"/>
      <c r="F187" s="1"/>
      <c r="G187" s="1"/>
      <c r="H187" s="1"/>
      <c r="I187" s="1"/>
    </row>
    <row r="188" spans="1:9" ht="29" x14ac:dyDescent="0.2">
      <c r="A188" s="1"/>
      <c r="B188" s="9" t="s">
        <v>326</v>
      </c>
      <c r="C188" s="10" t="s">
        <v>325</v>
      </c>
      <c r="D188" s="11" t="s">
        <v>308</v>
      </c>
      <c r="E188" s="1"/>
      <c r="F188" s="1"/>
      <c r="G188" s="1"/>
      <c r="H188" s="1"/>
      <c r="I188" s="1"/>
    </row>
    <row r="189" spans="1:9" ht="29" x14ac:dyDescent="0.2">
      <c r="A189" s="1"/>
      <c r="B189" s="9" t="s">
        <v>327</v>
      </c>
      <c r="C189" s="10" t="s">
        <v>328</v>
      </c>
      <c r="D189" s="11" t="s">
        <v>11</v>
      </c>
      <c r="E189" s="1"/>
      <c r="F189" s="1"/>
      <c r="G189" s="1"/>
      <c r="H189" s="1"/>
      <c r="I189" s="1"/>
    </row>
    <row r="190" spans="1:9" ht="43" x14ac:dyDescent="0.2">
      <c r="A190" s="1"/>
      <c r="B190" s="9" t="s">
        <v>329</v>
      </c>
      <c r="C190" s="10" t="s">
        <v>330</v>
      </c>
      <c r="D190" s="11" t="s">
        <v>22</v>
      </c>
      <c r="E190" s="1"/>
      <c r="F190" s="1"/>
      <c r="G190" s="1"/>
      <c r="H190" s="1"/>
      <c r="I190" s="1"/>
    </row>
    <row r="191" spans="1:9" ht="29" x14ac:dyDescent="0.2">
      <c r="A191" s="1"/>
      <c r="B191" s="12" t="s">
        <v>331</v>
      </c>
      <c r="C191" s="14" t="s">
        <v>332</v>
      </c>
      <c r="D191" s="15" t="s">
        <v>11</v>
      </c>
      <c r="E191" s="1"/>
      <c r="F191" s="1"/>
      <c r="G191" s="1"/>
      <c r="H191" s="1"/>
      <c r="I191" s="1"/>
    </row>
    <row r="192" spans="1:9" ht="43" x14ac:dyDescent="0.2">
      <c r="A192" s="1"/>
      <c r="B192" s="9" t="s">
        <v>333</v>
      </c>
      <c r="C192" s="10" t="s">
        <v>334</v>
      </c>
      <c r="D192" s="11" t="s">
        <v>22</v>
      </c>
      <c r="E192" s="1"/>
      <c r="F192" s="1"/>
      <c r="G192" s="1"/>
      <c r="H192" s="1"/>
      <c r="I192" s="1"/>
    </row>
    <row r="193" spans="1:9" ht="29" x14ac:dyDescent="0.2">
      <c r="A193" s="1"/>
      <c r="B193" s="9" t="s">
        <v>335</v>
      </c>
      <c r="C193" s="10" t="s">
        <v>336</v>
      </c>
      <c r="D193" s="11" t="s">
        <v>11</v>
      </c>
      <c r="E193" s="1"/>
      <c r="F193" s="1"/>
      <c r="G193" s="1"/>
      <c r="H193" s="1"/>
      <c r="I193" s="1"/>
    </row>
    <row r="194" spans="1:9" ht="29" x14ac:dyDescent="0.2">
      <c r="A194" s="1"/>
      <c r="B194" s="9" t="s">
        <v>337</v>
      </c>
      <c r="C194" s="10" t="s">
        <v>338</v>
      </c>
      <c r="D194" s="11" t="s">
        <v>11</v>
      </c>
      <c r="E194" s="1"/>
      <c r="F194" s="1"/>
      <c r="G194" s="1"/>
      <c r="H194" s="1"/>
      <c r="I194" s="1"/>
    </row>
    <row r="195" spans="1:9" ht="43" x14ac:dyDescent="0.2">
      <c r="A195" s="1"/>
      <c r="B195" s="9" t="s">
        <v>339</v>
      </c>
      <c r="C195" s="10" t="s">
        <v>340</v>
      </c>
      <c r="D195" s="11" t="s">
        <v>22</v>
      </c>
      <c r="E195" s="1"/>
      <c r="F195" s="1"/>
      <c r="G195" s="1"/>
      <c r="H195" s="1"/>
      <c r="I195" s="1"/>
    </row>
    <row r="196" spans="1:9" ht="29" x14ac:dyDescent="0.2">
      <c r="A196" s="1"/>
      <c r="B196" s="9" t="s">
        <v>341</v>
      </c>
      <c r="C196" s="10" t="s">
        <v>342</v>
      </c>
      <c r="D196" s="11" t="s">
        <v>11</v>
      </c>
      <c r="E196" s="1"/>
      <c r="F196" s="1"/>
      <c r="G196" s="1"/>
      <c r="H196" s="1"/>
      <c r="I196" s="1"/>
    </row>
    <row r="197" spans="1:9" ht="29" x14ac:dyDescent="0.2">
      <c r="A197" s="1"/>
      <c r="B197" s="9" t="s">
        <v>343</v>
      </c>
      <c r="C197" s="10" t="s">
        <v>344</v>
      </c>
      <c r="D197" s="11" t="s">
        <v>11</v>
      </c>
      <c r="E197" s="1"/>
      <c r="F197" s="1"/>
      <c r="G197" s="1"/>
      <c r="H197" s="1"/>
      <c r="I197" s="1"/>
    </row>
    <row r="198" spans="1:9" ht="29" x14ac:dyDescent="0.2">
      <c r="A198" s="1"/>
      <c r="B198" s="9" t="s">
        <v>345</v>
      </c>
      <c r="C198" s="10" t="s">
        <v>346</v>
      </c>
      <c r="D198" s="11" t="s">
        <v>22</v>
      </c>
      <c r="E198" s="1"/>
      <c r="F198" s="1"/>
      <c r="G198" s="1"/>
      <c r="H198" s="1"/>
      <c r="I198" s="1"/>
    </row>
    <row r="199" spans="1:9" ht="29" x14ac:dyDescent="0.2">
      <c r="A199" s="1"/>
      <c r="B199" s="9" t="s">
        <v>347</v>
      </c>
      <c r="C199" s="10" t="s">
        <v>348</v>
      </c>
      <c r="D199" s="11" t="s">
        <v>13</v>
      </c>
      <c r="E199" s="1"/>
      <c r="F199" s="1"/>
      <c r="G199" s="1"/>
      <c r="H199" s="1"/>
      <c r="I199" s="1"/>
    </row>
    <row r="200" spans="1:9" ht="29" x14ac:dyDescent="0.2">
      <c r="A200" s="1"/>
      <c r="B200" s="12" t="s">
        <v>349</v>
      </c>
      <c r="C200" s="14" t="s">
        <v>350</v>
      </c>
      <c r="D200" s="15" t="s">
        <v>13</v>
      </c>
      <c r="E200" s="1"/>
      <c r="F200" s="1"/>
      <c r="G200" s="1"/>
      <c r="H200" s="1"/>
      <c r="I200" s="1"/>
    </row>
    <row r="201" spans="1:9" ht="29" x14ac:dyDescent="0.2">
      <c r="A201" s="1"/>
      <c r="B201" s="12" t="s">
        <v>351</v>
      </c>
      <c r="C201" s="10" t="s">
        <v>352</v>
      </c>
      <c r="D201" s="11" t="s">
        <v>13</v>
      </c>
      <c r="E201" s="1"/>
      <c r="F201" s="1"/>
      <c r="G201" s="1"/>
      <c r="H201" s="1"/>
      <c r="I201" s="1"/>
    </row>
    <row r="202" spans="1:9" ht="29" x14ac:dyDescent="0.2">
      <c r="A202" s="1"/>
      <c r="B202" s="9" t="s">
        <v>353</v>
      </c>
      <c r="C202" s="10" t="s">
        <v>354</v>
      </c>
      <c r="D202" s="11" t="s">
        <v>13</v>
      </c>
      <c r="E202" s="1"/>
      <c r="F202" s="1"/>
      <c r="G202" s="1"/>
      <c r="H202" s="1"/>
      <c r="I202" s="1"/>
    </row>
    <row r="203" spans="1:9" ht="29" x14ac:dyDescent="0.2">
      <c r="A203" s="1"/>
      <c r="B203" s="9" t="s">
        <v>355</v>
      </c>
      <c r="C203" s="10" t="s">
        <v>356</v>
      </c>
      <c r="D203" s="11" t="s">
        <v>229</v>
      </c>
      <c r="E203" s="1"/>
      <c r="F203" s="1"/>
      <c r="G203" s="1"/>
      <c r="H203" s="1"/>
      <c r="I203" s="1"/>
    </row>
    <row r="204" spans="1:9" ht="29" x14ac:dyDescent="0.2">
      <c r="A204" s="1"/>
      <c r="B204" s="9" t="s">
        <v>357</v>
      </c>
      <c r="C204" s="10" t="s">
        <v>358</v>
      </c>
      <c r="D204" s="11" t="s">
        <v>13</v>
      </c>
      <c r="E204" s="1"/>
      <c r="F204" s="1"/>
      <c r="G204" s="1"/>
      <c r="H204" s="1"/>
      <c r="I204" s="1"/>
    </row>
    <row r="205" spans="1:9" x14ac:dyDescent="0.2">
      <c r="A205" s="1"/>
      <c r="B205" s="9" t="s">
        <v>359</v>
      </c>
      <c r="C205" s="10" t="s">
        <v>360</v>
      </c>
      <c r="D205" s="11" t="s">
        <v>11</v>
      </c>
      <c r="E205" s="1"/>
      <c r="F205" s="1"/>
      <c r="G205" s="1"/>
      <c r="H205" s="1"/>
      <c r="I205" s="1"/>
    </row>
    <row r="206" spans="1:9" x14ac:dyDescent="0.2">
      <c r="A206" s="1"/>
      <c r="B206" s="9" t="s">
        <v>361</v>
      </c>
      <c r="C206" s="10" t="s">
        <v>360</v>
      </c>
      <c r="D206" s="11" t="s">
        <v>13</v>
      </c>
      <c r="E206" s="1"/>
      <c r="F206" s="1"/>
      <c r="G206" s="1"/>
      <c r="H206" s="1"/>
      <c r="I206" s="1"/>
    </row>
    <row r="207" spans="1:9" x14ac:dyDescent="0.2">
      <c r="A207" s="1"/>
      <c r="B207" s="9" t="s">
        <v>362</v>
      </c>
      <c r="C207" s="10" t="s">
        <v>363</v>
      </c>
      <c r="D207" s="11" t="s">
        <v>11</v>
      </c>
      <c r="E207" s="1"/>
      <c r="F207" s="1"/>
      <c r="G207" s="1"/>
      <c r="H207" s="1"/>
      <c r="I207" s="1"/>
    </row>
    <row r="208" spans="1:9" x14ac:dyDescent="0.2">
      <c r="A208" s="1"/>
      <c r="B208" s="9" t="s">
        <v>364</v>
      </c>
      <c r="C208" s="10" t="s">
        <v>363</v>
      </c>
      <c r="D208" s="11" t="s">
        <v>13</v>
      </c>
      <c r="E208" s="1"/>
      <c r="F208" s="1"/>
      <c r="G208" s="1"/>
      <c r="H208" s="1"/>
      <c r="I208" s="1"/>
    </row>
    <row r="209" spans="1:9" ht="29" x14ac:dyDescent="0.2">
      <c r="A209" s="1"/>
      <c r="B209" s="9" t="s">
        <v>365</v>
      </c>
      <c r="C209" s="10" t="s">
        <v>366</v>
      </c>
      <c r="D209" s="11" t="s">
        <v>11</v>
      </c>
      <c r="E209" s="1"/>
      <c r="F209" s="1"/>
      <c r="G209" s="1"/>
      <c r="H209" s="1"/>
      <c r="I209" s="1"/>
    </row>
    <row r="210" spans="1:9" ht="29" x14ac:dyDescent="0.2">
      <c r="A210" s="1"/>
      <c r="B210" s="9" t="s">
        <v>367</v>
      </c>
      <c r="C210" s="10" t="s">
        <v>368</v>
      </c>
      <c r="D210" s="11" t="s">
        <v>18</v>
      </c>
      <c r="E210" s="1"/>
      <c r="F210" s="1"/>
      <c r="G210" s="1"/>
      <c r="H210" s="1"/>
      <c r="I210" s="1"/>
    </row>
    <row r="211" spans="1:9" ht="29" x14ac:dyDescent="0.2">
      <c r="A211" s="1"/>
      <c r="B211" s="9" t="s">
        <v>369</v>
      </c>
      <c r="C211" s="10" t="s">
        <v>366</v>
      </c>
      <c r="D211" s="11" t="s">
        <v>308</v>
      </c>
      <c r="E211" s="1"/>
      <c r="F211" s="1"/>
      <c r="G211" s="1"/>
      <c r="H211" s="1"/>
      <c r="I211" s="1"/>
    </row>
    <row r="212" spans="1:9" ht="29" x14ac:dyDescent="0.2">
      <c r="A212" s="1"/>
      <c r="B212" s="9" t="s">
        <v>370</v>
      </c>
      <c r="C212" s="10" t="s">
        <v>371</v>
      </c>
      <c r="D212" s="11" t="s">
        <v>22</v>
      </c>
      <c r="E212" s="1"/>
      <c r="F212" s="1"/>
      <c r="G212" s="1"/>
      <c r="H212" s="1"/>
      <c r="I212" s="1"/>
    </row>
    <row r="213" spans="1:9" ht="29" x14ac:dyDescent="0.2">
      <c r="A213" s="1"/>
      <c r="B213" s="9" t="s">
        <v>372</v>
      </c>
      <c r="C213" s="10" t="s">
        <v>373</v>
      </c>
      <c r="D213" s="11" t="s">
        <v>11</v>
      </c>
      <c r="E213" s="1"/>
      <c r="F213" s="1"/>
      <c r="G213" s="1"/>
      <c r="H213" s="1"/>
      <c r="I213" s="1"/>
    </row>
    <row r="214" spans="1:9" x14ac:dyDescent="0.2">
      <c r="A214" s="1"/>
      <c r="B214" s="9" t="s">
        <v>374</v>
      </c>
      <c r="C214" s="10" t="s">
        <v>375</v>
      </c>
      <c r="D214" s="11" t="s">
        <v>18</v>
      </c>
      <c r="E214" s="1"/>
      <c r="F214" s="1"/>
      <c r="G214" s="1"/>
      <c r="H214" s="1"/>
      <c r="I214" s="1"/>
    </row>
    <row r="215" spans="1:9" ht="29" x14ac:dyDescent="0.2">
      <c r="A215" s="1"/>
      <c r="B215" s="9" t="s">
        <v>376</v>
      </c>
      <c r="C215" s="10" t="s">
        <v>373</v>
      </c>
      <c r="D215" s="11" t="s">
        <v>308</v>
      </c>
      <c r="E215" s="1"/>
      <c r="F215" s="1"/>
      <c r="G215" s="1"/>
      <c r="H215" s="1"/>
      <c r="I215" s="1"/>
    </row>
    <row r="216" spans="1:9" ht="29" x14ac:dyDescent="0.2">
      <c r="A216" s="1"/>
      <c r="B216" s="9" t="s">
        <v>377</v>
      </c>
      <c r="C216" s="10" t="s">
        <v>378</v>
      </c>
      <c r="D216" s="11" t="s">
        <v>22</v>
      </c>
      <c r="E216" s="1"/>
      <c r="F216" s="1"/>
      <c r="G216" s="1"/>
      <c r="H216" s="1"/>
      <c r="I216" s="1"/>
    </row>
    <row r="217" spans="1:9" ht="29" x14ac:dyDescent="0.2">
      <c r="A217" s="1"/>
      <c r="B217" s="9" t="s">
        <v>379</v>
      </c>
      <c r="C217" s="10" t="s">
        <v>380</v>
      </c>
      <c r="D217" s="11" t="s">
        <v>11</v>
      </c>
      <c r="E217" s="1"/>
      <c r="F217" s="1"/>
      <c r="G217" s="1"/>
      <c r="H217" s="1"/>
      <c r="I217" s="1"/>
    </row>
    <row r="218" spans="1:9" x14ac:dyDescent="0.2">
      <c r="A218" s="1"/>
      <c r="B218" s="9" t="s">
        <v>381</v>
      </c>
      <c r="C218" s="10" t="s">
        <v>382</v>
      </c>
      <c r="D218" s="11" t="s">
        <v>18</v>
      </c>
      <c r="E218" s="1"/>
      <c r="F218" s="1"/>
      <c r="G218" s="1"/>
      <c r="H218" s="1"/>
      <c r="I218" s="1"/>
    </row>
    <row r="219" spans="1:9" ht="29" x14ac:dyDescent="0.2">
      <c r="A219" s="1"/>
      <c r="B219" s="9" t="s">
        <v>383</v>
      </c>
      <c r="C219" s="10" t="s">
        <v>380</v>
      </c>
      <c r="D219" s="11" t="s">
        <v>308</v>
      </c>
      <c r="E219" s="1"/>
      <c r="F219" s="1"/>
      <c r="G219" s="1"/>
      <c r="H219" s="1"/>
      <c r="I219" s="1"/>
    </row>
    <row r="220" spans="1:9" ht="29" x14ac:dyDescent="0.2">
      <c r="A220" s="1"/>
      <c r="B220" s="9" t="s">
        <v>384</v>
      </c>
      <c r="C220" s="10" t="s">
        <v>385</v>
      </c>
      <c r="D220" s="11" t="s">
        <v>22</v>
      </c>
      <c r="E220" s="1"/>
      <c r="F220" s="1"/>
      <c r="G220" s="1"/>
      <c r="H220" s="1"/>
      <c r="I220" s="1"/>
    </row>
    <row r="221" spans="1:9" ht="29" x14ac:dyDescent="0.2">
      <c r="A221" s="1"/>
      <c r="B221" s="9" t="s">
        <v>386</v>
      </c>
      <c r="C221" s="10" t="s">
        <v>387</v>
      </c>
      <c r="D221" s="11" t="s">
        <v>11</v>
      </c>
      <c r="E221" s="1"/>
      <c r="F221" s="1"/>
      <c r="G221" s="1"/>
      <c r="H221" s="1"/>
      <c r="I221" s="1"/>
    </row>
    <row r="222" spans="1:9" ht="29" x14ac:dyDescent="0.2">
      <c r="A222" s="1"/>
      <c r="B222" s="9" t="s">
        <v>388</v>
      </c>
      <c r="C222" s="10" t="s">
        <v>389</v>
      </c>
      <c r="D222" s="11" t="s">
        <v>11</v>
      </c>
      <c r="E222" s="1"/>
      <c r="F222" s="1"/>
      <c r="G222" s="1"/>
      <c r="H222" s="1"/>
      <c r="I222" s="1"/>
    </row>
    <row r="223" spans="1:9" x14ac:dyDescent="0.2">
      <c r="A223" s="1"/>
      <c r="B223" s="9" t="s">
        <v>390</v>
      </c>
      <c r="C223" s="10" t="s">
        <v>391</v>
      </c>
      <c r="D223" s="11" t="s">
        <v>18</v>
      </c>
      <c r="E223" s="1"/>
      <c r="F223" s="1"/>
      <c r="G223" s="1"/>
      <c r="H223" s="1"/>
      <c r="I223" s="1"/>
    </row>
    <row r="224" spans="1:9" ht="29" x14ac:dyDescent="0.2">
      <c r="A224" s="1"/>
      <c r="B224" s="9" t="s">
        <v>392</v>
      </c>
      <c r="C224" s="10" t="s">
        <v>389</v>
      </c>
      <c r="D224" s="11" t="s">
        <v>308</v>
      </c>
      <c r="E224" s="1"/>
      <c r="F224" s="1"/>
      <c r="G224" s="1"/>
      <c r="H224" s="1"/>
      <c r="I224" s="1"/>
    </row>
    <row r="225" spans="1:9" ht="29" x14ac:dyDescent="0.2">
      <c r="A225" s="1"/>
      <c r="B225" s="9" t="s">
        <v>393</v>
      </c>
      <c r="C225" s="10" t="s">
        <v>394</v>
      </c>
      <c r="D225" s="11" t="s">
        <v>22</v>
      </c>
      <c r="E225" s="1"/>
      <c r="F225" s="1"/>
      <c r="G225" s="1"/>
      <c r="H225" s="1"/>
      <c r="I225" s="1"/>
    </row>
    <row r="226" spans="1:9" x14ac:dyDescent="0.2">
      <c r="A226" s="1"/>
      <c r="B226" s="9" t="s">
        <v>395</v>
      </c>
      <c r="C226" s="10" t="s">
        <v>396</v>
      </c>
      <c r="D226" s="11" t="s">
        <v>11</v>
      </c>
      <c r="E226" s="1"/>
      <c r="F226" s="1"/>
      <c r="G226" s="1"/>
      <c r="H226" s="1"/>
      <c r="I226" s="1"/>
    </row>
    <row r="227" spans="1:9" ht="29" x14ac:dyDescent="0.2">
      <c r="A227" s="1"/>
      <c r="B227" s="9" t="s">
        <v>397</v>
      </c>
      <c r="C227" s="10" t="s">
        <v>398</v>
      </c>
      <c r="D227" s="11" t="s">
        <v>399</v>
      </c>
      <c r="E227" s="1"/>
      <c r="F227" s="1"/>
      <c r="G227" s="1"/>
      <c r="H227" s="1"/>
      <c r="I227" s="1"/>
    </row>
    <row r="228" spans="1:9" ht="29" x14ac:dyDescent="0.2">
      <c r="A228" s="1"/>
      <c r="B228" s="9" t="s">
        <v>400</v>
      </c>
      <c r="C228" s="10" t="s">
        <v>401</v>
      </c>
      <c r="D228" s="11" t="s">
        <v>11</v>
      </c>
      <c r="E228" s="1"/>
      <c r="F228" s="1"/>
      <c r="G228" s="1"/>
      <c r="H228" s="1"/>
      <c r="I228" s="1"/>
    </row>
    <row r="229" spans="1:9" ht="29" x14ac:dyDescent="0.2">
      <c r="A229" s="1"/>
      <c r="B229" s="9" t="s">
        <v>402</v>
      </c>
      <c r="C229" s="10" t="s">
        <v>403</v>
      </c>
      <c r="D229" s="11" t="s">
        <v>11</v>
      </c>
      <c r="E229" s="1"/>
      <c r="F229" s="1"/>
      <c r="G229" s="1"/>
      <c r="H229" s="1"/>
      <c r="I229" s="1"/>
    </row>
    <row r="230" spans="1:9" x14ac:dyDescent="0.2">
      <c r="A230" s="1"/>
      <c r="B230" s="9" t="s">
        <v>404</v>
      </c>
      <c r="C230" s="10" t="s">
        <v>405</v>
      </c>
      <c r="D230" s="11" t="s">
        <v>18</v>
      </c>
      <c r="E230" s="1"/>
      <c r="F230" s="1"/>
      <c r="G230" s="1"/>
      <c r="H230" s="1"/>
      <c r="I230" s="1"/>
    </row>
    <row r="231" spans="1:9" ht="29" x14ac:dyDescent="0.2">
      <c r="A231" s="1"/>
      <c r="B231" s="9" t="s">
        <v>406</v>
      </c>
      <c r="C231" s="10" t="s">
        <v>403</v>
      </c>
      <c r="D231" s="11" t="s">
        <v>308</v>
      </c>
      <c r="E231" s="1"/>
      <c r="F231" s="1"/>
      <c r="G231" s="1"/>
      <c r="H231" s="1"/>
      <c r="I231" s="1"/>
    </row>
    <row r="232" spans="1:9" x14ac:dyDescent="0.2">
      <c r="A232" s="1"/>
      <c r="B232" s="9" t="s">
        <v>407</v>
      </c>
      <c r="C232" s="10" t="s">
        <v>408</v>
      </c>
      <c r="D232" s="11" t="s">
        <v>22</v>
      </c>
      <c r="E232" s="1"/>
      <c r="F232" s="1"/>
      <c r="G232" s="1"/>
      <c r="H232" s="1"/>
      <c r="I232" s="1"/>
    </row>
    <row r="233" spans="1:9" ht="29" x14ac:dyDescent="0.2">
      <c r="A233" s="1"/>
      <c r="B233" s="9" t="s">
        <v>409</v>
      </c>
      <c r="C233" s="10" t="s">
        <v>410</v>
      </c>
      <c r="D233" s="11" t="s">
        <v>399</v>
      </c>
      <c r="E233" s="1"/>
      <c r="F233" s="1"/>
      <c r="G233" s="1"/>
      <c r="H233" s="1"/>
      <c r="I233" s="1"/>
    </row>
    <row r="234" spans="1:9" x14ac:dyDescent="0.2">
      <c r="A234" s="1"/>
      <c r="B234" s="9" t="s">
        <v>411</v>
      </c>
      <c r="C234" s="13" t="s">
        <v>412</v>
      </c>
      <c r="D234" s="11" t="s">
        <v>11</v>
      </c>
      <c r="E234" s="1"/>
      <c r="F234" s="1"/>
      <c r="G234" s="1"/>
      <c r="H234" s="1"/>
      <c r="I234" s="1"/>
    </row>
    <row r="235" spans="1:9" ht="29" x14ac:dyDescent="0.2">
      <c r="A235" s="1"/>
      <c r="B235" s="9" t="s">
        <v>413</v>
      </c>
      <c r="C235" s="10" t="s">
        <v>414</v>
      </c>
      <c r="D235" s="11" t="s">
        <v>18</v>
      </c>
      <c r="E235" s="1"/>
      <c r="F235" s="1"/>
      <c r="G235" s="1"/>
      <c r="H235" s="1"/>
      <c r="I235" s="1"/>
    </row>
    <row r="236" spans="1:9" ht="29" x14ac:dyDescent="0.2">
      <c r="A236" s="1"/>
      <c r="B236" s="9" t="s">
        <v>415</v>
      </c>
      <c r="C236" s="10" t="s">
        <v>412</v>
      </c>
      <c r="D236" s="11" t="s">
        <v>308</v>
      </c>
      <c r="E236" s="1"/>
      <c r="F236" s="1"/>
      <c r="G236" s="1"/>
      <c r="H236" s="1"/>
      <c r="I236" s="1"/>
    </row>
    <row r="237" spans="1:9" x14ac:dyDescent="0.2">
      <c r="A237" s="1"/>
      <c r="B237" s="9" t="s">
        <v>416</v>
      </c>
      <c r="C237" s="10" t="s">
        <v>417</v>
      </c>
      <c r="D237" s="11" t="s">
        <v>22</v>
      </c>
      <c r="E237" s="1"/>
      <c r="F237" s="1"/>
      <c r="G237" s="1"/>
      <c r="H237" s="1"/>
      <c r="I237" s="1"/>
    </row>
    <row r="238" spans="1:9" ht="29" x14ac:dyDescent="0.2">
      <c r="A238" s="1"/>
      <c r="B238" s="9" t="s">
        <v>418</v>
      </c>
      <c r="C238" s="10" t="s">
        <v>419</v>
      </c>
      <c r="D238" s="11" t="s">
        <v>11</v>
      </c>
      <c r="E238" s="1"/>
      <c r="F238" s="1"/>
      <c r="G238" s="1"/>
      <c r="H238" s="1"/>
      <c r="I238" s="1"/>
    </row>
    <row r="239" spans="1:9" ht="29" x14ac:dyDescent="0.2">
      <c r="A239" s="1"/>
      <c r="B239" s="9" t="s">
        <v>420</v>
      </c>
      <c r="C239" s="10" t="s">
        <v>419</v>
      </c>
      <c r="D239" s="11" t="s">
        <v>13</v>
      </c>
      <c r="E239" s="1"/>
      <c r="F239" s="1"/>
      <c r="G239" s="1"/>
      <c r="H239" s="1"/>
      <c r="I239" s="1"/>
    </row>
    <row r="240" spans="1:9" ht="29" x14ac:dyDescent="0.2">
      <c r="A240" s="1"/>
      <c r="B240" s="9" t="s">
        <v>421</v>
      </c>
      <c r="C240" s="10" t="s">
        <v>422</v>
      </c>
      <c r="D240" s="11" t="s">
        <v>11</v>
      </c>
      <c r="E240" s="1"/>
      <c r="F240" s="1"/>
      <c r="G240" s="1"/>
      <c r="H240" s="1"/>
      <c r="I240" s="1"/>
    </row>
    <row r="241" spans="1:9" ht="29" x14ac:dyDescent="0.2">
      <c r="A241" s="1"/>
      <c r="B241" s="9" t="s">
        <v>423</v>
      </c>
      <c r="C241" s="10" t="s">
        <v>422</v>
      </c>
      <c r="D241" s="11" t="s">
        <v>13</v>
      </c>
      <c r="E241" s="1"/>
      <c r="F241" s="1"/>
      <c r="G241" s="1"/>
      <c r="H241" s="1"/>
      <c r="I241" s="1"/>
    </row>
    <row r="242" spans="1:9" ht="29" x14ac:dyDescent="0.2">
      <c r="A242" s="1"/>
      <c r="B242" s="9" t="s">
        <v>424</v>
      </c>
      <c r="C242" s="10" t="s">
        <v>425</v>
      </c>
      <c r="D242" s="11" t="s">
        <v>426</v>
      </c>
      <c r="E242" s="1"/>
      <c r="F242" s="1"/>
      <c r="G242" s="1"/>
      <c r="H242" s="1"/>
      <c r="I242" s="1"/>
    </row>
    <row r="243" spans="1:9" ht="29" x14ac:dyDescent="0.2">
      <c r="A243" s="1"/>
      <c r="B243" s="9" t="s">
        <v>427</v>
      </c>
      <c r="C243" s="10" t="s">
        <v>428</v>
      </c>
      <c r="D243" s="11" t="s">
        <v>107</v>
      </c>
      <c r="E243" s="1"/>
      <c r="F243" s="1"/>
      <c r="G243" s="1"/>
      <c r="H243" s="1"/>
      <c r="I243" s="1"/>
    </row>
    <row r="244" spans="1:9" x14ac:dyDescent="0.2">
      <c r="A244" s="1"/>
      <c r="B244" s="9" t="s">
        <v>429</v>
      </c>
      <c r="C244" s="10" t="s">
        <v>430</v>
      </c>
      <c r="D244" s="11" t="s">
        <v>11</v>
      </c>
      <c r="E244" s="1"/>
      <c r="F244" s="1"/>
      <c r="G244" s="1"/>
      <c r="H244" s="1"/>
      <c r="I244" s="1"/>
    </row>
    <row r="245" spans="1:9" ht="43" x14ac:dyDescent="0.2">
      <c r="A245" s="1"/>
      <c r="B245" s="9" t="s">
        <v>431</v>
      </c>
      <c r="C245" s="10" t="s">
        <v>432</v>
      </c>
      <c r="D245" s="11" t="s">
        <v>11</v>
      </c>
      <c r="E245" s="1"/>
      <c r="F245" s="1"/>
      <c r="G245" s="1"/>
      <c r="H245" s="1"/>
      <c r="I245" s="1"/>
    </row>
    <row r="246" spans="1:9" ht="29" x14ac:dyDescent="0.2">
      <c r="A246" s="1"/>
      <c r="B246" s="9" t="s">
        <v>433</v>
      </c>
      <c r="C246" s="10" t="s">
        <v>434</v>
      </c>
      <c r="D246" s="11" t="s">
        <v>18</v>
      </c>
      <c r="E246" s="1"/>
      <c r="F246" s="1"/>
      <c r="G246" s="1"/>
      <c r="H246" s="1"/>
      <c r="I246" s="1"/>
    </row>
    <row r="247" spans="1:9" ht="43" x14ac:dyDescent="0.2">
      <c r="A247" s="1"/>
      <c r="B247" s="9" t="s">
        <v>435</v>
      </c>
      <c r="C247" s="10" t="s">
        <v>432</v>
      </c>
      <c r="D247" s="11" t="s">
        <v>13</v>
      </c>
      <c r="E247" s="1"/>
      <c r="F247" s="1"/>
      <c r="G247" s="1"/>
      <c r="H247" s="1"/>
      <c r="I247" s="1"/>
    </row>
    <row r="248" spans="1:9" ht="43" x14ac:dyDescent="0.2">
      <c r="A248" s="1"/>
      <c r="B248" s="9" t="s">
        <v>436</v>
      </c>
      <c r="C248" s="10" t="s">
        <v>437</v>
      </c>
      <c r="D248" s="11" t="s">
        <v>22</v>
      </c>
      <c r="E248" s="1"/>
      <c r="F248" s="1"/>
      <c r="G248" s="1"/>
      <c r="H248" s="1"/>
      <c r="I248" s="1"/>
    </row>
    <row r="249" spans="1:9" ht="43" x14ac:dyDescent="0.2">
      <c r="A249" s="1"/>
      <c r="B249" s="9" t="s">
        <v>438</v>
      </c>
      <c r="C249" s="10" t="s">
        <v>439</v>
      </c>
      <c r="D249" s="11" t="s">
        <v>11</v>
      </c>
      <c r="E249" s="1"/>
      <c r="F249" s="1"/>
      <c r="G249" s="1"/>
      <c r="H249" s="1"/>
      <c r="I249" s="1"/>
    </row>
    <row r="250" spans="1:9" ht="43" x14ac:dyDescent="0.2">
      <c r="A250" s="1"/>
      <c r="B250" s="9" t="s">
        <v>440</v>
      </c>
      <c r="C250" s="10" t="s">
        <v>441</v>
      </c>
      <c r="D250" s="11" t="s">
        <v>18</v>
      </c>
      <c r="E250" s="1"/>
      <c r="F250" s="1"/>
      <c r="G250" s="1"/>
      <c r="H250" s="1"/>
      <c r="I250" s="1"/>
    </row>
    <row r="251" spans="1:9" ht="43" x14ac:dyDescent="0.2">
      <c r="A251" s="1"/>
      <c r="B251" s="9" t="s">
        <v>442</v>
      </c>
      <c r="C251" s="10" t="s">
        <v>439</v>
      </c>
      <c r="D251" s="11" t="s">
        <v>13</v>
      </c>
      <c r="E251" s="1"/>
      <c r="F251" s="1"/>
      <c r="G251" s="1"/>
      <c r="H251" s="1"/>
      <c r="I251" s="1"/>
    </row>
    <row r="252" spans="1:9" ht="43" x14ac:dyDescent="0.2">
      <c r="A252" s="1"/>
      <c r="B252" s="9" t="s">
        <v>443</v>
      </c>
      <c r="C252" s="10" t="s">
        <v>444</v>
      </c>
      <c r="D252" s="11" t="s">
        <v>22</v>
      </c>
      <c r="E252" s="1"/>
      <c r="F252" s="1"/>
      <c r="G252" s="1"/>
      <c r="H252" s="1"/>
      <c r="I252" s="1"/>
    </row>
    <row r="253" spans="1:9" ht="43" x14ac:dyDescent="0.2">
      <c r="A253" s="1"/>
      <c r="B253" s="9" t="s">
        <v>445</v>
      </c>
      <c r="C253" s="10" t="s">
        <v>446</v>
      </c>
      <c r="D253" s="11" t="s">
        <v>11</v>
      </c>
      <c r="E253" s="1"/>
      <c r="F253" s="1"/>
      <c r="G253" s="1"/>
      <c r="H253" s="1"/>
      <c r="I253" s="1"/>
    </row>
    <row r="254" spans="1:9" ht="29" x14ac:dyDescent="0.2">
      <c r="A254" s="1"/>
      <c r="B254" s="9" t="s">
        <v>447</v>
      </c>
      <c r="C254" s="10" t="s">
        <v>448</v>
      </c>
      <c r="D254" s="11" t="s">
        <v>18</v>
      </c>
      <c r="E254" s="1"/>
      <c r="F254" s="1"/>
      <c r="G254" s="1"/>
      <c r="H254" s="1"/>
      <c r="I254" s="1"/>
    </row>
    <row r="255" spans="1:9" ht="43" x14ac:dyDescent="0.2">
      <c r="A255" s="1"/>
      <c r="B255" s="9" t="s">
        <v>449</v>
      </c>
      <c r="C255" s="10" t="s">
        <v>446</v>
      </c>
      <c r="D255" s="11" t="s">
        <v>13</v>
      </c>
      <c r="E255" s="1"/>
      <c r="F255" s="1"/>
      <c r="G255" s="1"/>
      <c r="H255" s="1"/>
      <c r="I255" s="1"/>
    </row>
    <row r="256" spans="1:9" ht="43" x14ac:dyDescent="0.2">
      <c r="A256" s="1"/>
      <c r="B256" s="9" t="s">
        <v>450</v>
      </c>
      <c r="C256" s="10" t="s">
        <v>451</v>
      </c>
      <c r="D256" s="11" t="s">
        <v>22</v>
      </c>
      <c r="E256" s="1"/>
      <c r="F256" s="1"/>
      <c r="G256" s="1"/>
      <c r="H256" s="1"/>
      <c r="I256" s="1"/>
    </row>
    <row r="257" spans="1:9" ht="29" x14ac:dyDescent="0.2">
      <c r="A257" s="1"/>
      <c r="B257" s="9" t="s">
        <v>452</v>
      </c>
      <c r="C257" s="10" t="s">
        <v>453</v>
      </c>
      <c r="D257" s="11" t="s">
        <v>22</v>
      </c>
      <c r="E257" s="1"/>
      <c r="F257" s="1"/>
      <c r="G257" s="1"/>
      <c r="H257" s="1"/>
      <c r="I257" s="1"/>
    </row>
    <row r="258" spans="1:9" x14ac:dyDescent="0.2">
      <c r="A258" s="1"/>
      <c r="B258" s="9" t="s">
        <v>454</v>
      </c>
      <c r="C258" s="10" t="s">
        <v>455</v>
      </c>
      <c r="D258" s="11" t="s">
        <v>456</v>
      </c>
      <c r="E258" s="1"/>
      <c r="F258" s="1"/>
      <c r="G258" s="1"/>
      <c r="H258" s="1"/>
      <c r="I258" s="1"/>
    </row>
    <row r="259" spans="1:9" ht="29" x14ac:dyDescent="0.2">
      <c r="A259" s="1"/>
      <c r="B259" s="9" t="s">
        <v>457</v>
      </c>
      <c r="C259" s="10" t="s">
        <v>458</v>
      </c>
      <c r="D259" s="11" t="s">
        <v>11</v>
      </c>
      <c r="E259" s="1"/>
      <c r="F259" s="1"/>
      <c r="G259" s="1"/>
      <c r="H259" s="1"/>
      <c r="I259" s="1"/>
    </row>
    <row r="260" spans="1:9" ht="43" x14ac:dyDescent="0.2">
      <c r="A260" s="1"/>
      <c r="B260" s="9" t="s">
        <v>459</v>
      </c>
      <c r="C260" s="10" t="s">
        <v>460</v>
      </c>
      <c r="D260" s="11" t="s">
        <v>11</v>
      </c>
      <c r="E260" s="1"/>
      <c r="F260" s="1"/>
      <c r="G260" s="1"/>
      <c r="H260" s="1"/>
      <c r="I260" s="1"/>
    </row>
    <row r="261" spans="1:9" ht="29" x14ac:dyDescent="0.2">
      <c r="A261" s="1"/>
      <c r="B261" s="9" t="s">
        <v>461</v>
      </c>
      <c r="C261" s="10" t="s">
        <v>462</v>
      </c>
      <c r="D261" s="11" t="s">
        <v>308</v>
      </c>
      <c r="E261" s="1"/>
      <c r="F261" s="1"/>
      <c r="G261" s="1"/>
      <c r="H261" s="1"/>
      <c r="I261" s="1"/>
    </row>
    <row r="262" spans="1:9" ht="29" x14ac:dyDescent="0.2">
      <c r="A262" s="1"/>
      <c r="B262" s="9" t="s">
        <v>463</v>
      </c>
      <c r="C262" s="10" t="s">
        <v>464</v>
      </c>
      <c r="D262" s="11" t="s">
        <v>107</v>
      </c>
      <c r="E262" s="1"/>
      <c r="F262" s="1"/>
      <c r="G262" s="1"/>
      <c r="H262" s="1"/>
      <c r="I262" s="1"/>
    </row>
    <row r="263" spans="1:9" ht="29" x14ac:dyDescent="0.2">
      <c r="A263" s="1"/>
      <c r="B263" s="9" t="s">
        <v>465</v>
      </c>
      <c r="C263" s="10" t="s">
        <v>466</v>
      </c>
      <c r="D263" s="11" t="s">
        <v>11</v>
      </c>
      <c r="E263" s="1"/>
      <c r="F263" s="1"/>
      <c r="G263" s="1"/>
      <c r="H263" s="1"/>
      <c r="I263" s="1"/>
    </row>
    <row r="264" spans="1:9" ht="29" x14ac:dyDescent="0.2">
      <c r="A264" s="1"/>
      <c r="B264" s="9" t="s">
        <v>467</v>
      </c>
      <c r="C264" s="10" t="s">
        <v>468</v>
      </c>
      <c r="D264" s="11" t="s">
        <v>11</v>
      </c>
      <c r="E264" s="1"/>
      <c r="F264" s="1"/>
      <c r="G264" s="1"/>
      <c r="H264" s="1"/>
      <c r="I264" s="1"/>
    </row>
    <row r="265" spans="1:9" x14ac:dyDescent="0.2">
      <c r="A265" s="1"/>
      <c r="B265" s="9" t="s">
        <v>469</v>
      </c>
      <c r="C265" s="10" t="s">
        <v>470</v>
      </c>
      <c r="D265" s="11" t="s">
        <v>11</v>
      </c>
      <c r="E265" s="1"/>
      <c r="F265" s="1"/>
      <c r="G265" s="1"/>
      <c r="H265" s="1"/>
      <c r="I265" s="1"/>
    </row>
    <row r="266" spans="1:9" ht="29" x14ac:dyDescent="0.2">
      <c r="A266" s="1"/>
      <c r="B266" s="9" t="s">
        <v>471</v>
      </c>
      <c r="C266" s="10" t="s">
        <v>472</v>
      </c>
      <c r="D266" s="11" t="s">
        <v>11</v>
      </c>
      <c r="E266" s="1"/>
      <c r="F266" s="1"/>
      <c r="G266" s="1"/>
      <c r="H266" s="1"/>
      <c r="I266" s="1"/>
    </row>
    <row r="267" spans="1:9" ht="29" x14ac:dyDescent="0.2">
      <c r="A267" s="1"/>
      <c r="B267" s="9" t="s">
        <v>473</v>
      </c>
      <c r="C267" s="10" t="s">
        <v>474</v>
      </c>
      <c r="D267" s="11" t="s">
        <v>11</v>
      </c>
      <c r="E267" s="1"/>
      <c r="F267" s="1"/>
      <c r="G267" s="1"/>
      <c r="H267" s="1"/>
      <c r="I267" s="1"/>
    </row>
    <row r="268" spans="1:9" ht="29" x14ac:dyDescent="0.2">
      <c r="A268" s="1"/>
      <c r="B268" s="9" t="s">
        <v>475</v>
      </c>
      <c r="C268" s="10" t="s">
        <v>476</v>
      </c>
      <c r="D268" s="11" t="s">
        <v>18</v>
      </c>
      <c r="E268" s="1"/>
      <c r="F268" s="1"/>
      <c r="G268" s="1"/>
      <c r="H268" s="1"/>
      <c r="I268" s="1"/>
    </row>
    <row r="269" spans="1:9" ht="29" x14ac:dyDescent="0.2">
      <c r="A269" s="1"/>
      <c r="B269" s="9" t="s">
        <v>477</v>
      </c>
      <c r="C269" s="10" t="s">
        <v>474</v>
      </c>
      <c r="D269" s="11" t="s">
        <v>13</v>
      </c>
      <c r="E269" s="1"/>
      <c r="F269" s="1"/>
      <c r="G269" s="1"/>
      <c r="H269" s="1"/>
      <c r="I269" s="1"/>
    </row>
    <row r="270" spans="1:9" ht="29" x14ac:dyDescent="0.2">
      <c r="A270" s="1"/>
      <c r="B270" s="9" t="s">
        <v>478</v>
      </c>
      <c r="C270" s="10" t="s">
        <v>479</v>
      </c>
      <c r="D270" s="11" t="s">
        <v>22</v>
      </c>
      <c r="E270" s="1"/>
      <c r="F270" s="1"/>
      <c r="G270" s="1"/>
      <c r="H270" s="1"/>
      <c r="I270" s="1"/>
    </row>
    <row r="271" spans="1:9" ht="29" x14ac:dyDescent="0.2">
      <c r="A271" s="1"/>
      <c r="B271" s="9" t="s">
        <v>480</v>
      </c>
      <c r="C271" s="10" t="s">
        <v>481</v>
      </c>
      <c r="D271" s="11" t="s">
        <v>11</v>
      </c>
      <c r="E271" s="1"/>
      <c r="F271" s="1"/>
      <c r="G271" s="1"/>
      <c r="H271" s="1"/>
      <c r="I271" s="1"/>
    </row>
    <row r="272" spans="1:9" ht="29" x14ac:dyDescent="0.2">
      <c r="A272" s="1"/>
      <c r="B272" s="9" t="s">
        <v>482</v>
      </c>
      <c r="C272" s="10" t="s">
        <v>483</v>
      </c>
      <c r="D272" s="11" t="s">
        <v>18</v>
      </c>
      <c r="E272" s="1"/>
      <c r="F272" s="1"/>
      <c r="G272" s="1"/>
      <c r="H272" s="1"/>
      <c r="I272" s="1"/>
    </row>
    <row r="273" spans="1:9" ht="29" x14ac:dyDescent="0.2">
      <c r="A273" s="1"/>
      <c r="B273" s="9" t="s">
        <v>484</v>
      </c>
      <c r="C273" s="10" t="s">
        <v>481</v>
      </c>
      <c r="D273" s="11" t="s">
        <v>13</v>
      </c>
      <c r="E273" s="1"/>
      <c r="F273" s="1"/>
      <c r="G273" s="1"/>
      <c r="H273" s="1"/>
      <c r="I273" s="1"/>
    </row>
    <row r="274" spans="1:9" ht="29" x14ac:dyDescent="0.2">
      <c r="A274" s="1"/>
      <c r="B274" s="9" t="s">
        <v>485</v>
      </c>
      <c r="C274" s="10" t="s">
        <v>486</v>
      </c>
      <c r="D274" s="11" t="s">
        <v>22</v>
      </c>
      <c r="E274" s="1"/>
      <c r="F274" s="1"/>
      <c r="G274" s="1"/>
      <c r="H274" s="1"/>
      <c r="I274" s="1"/>
    </row>
    <row r="275" spans="1:9" ht="29" x14ac:dyDescent="0.2">
      <c r="A275" s="1"/>
      <c r="B275" s="9" t="s">
        <v>487</v>
      </c>
      <c r="C275" s="10" t="s">
        <v>488</v>
      </c>
      <c r="D275" s="11" t="s">
        <v>11</v>
      </c>
      <c r="E275" s="1"/>
      <c r="F275" s="1"/>
      <c r="G275" s="1"/>
      <c r="H275" s="1"/>
      <c r="I275" s="1"/>
    </row>
    <row r="276" spans="1:9" ht="29" x14ac:dyDescent="0.2">
      <c r="A276" s="1"/>
      <c r="B276" s="9" t="s">
        <v>489</v>
      </c>
      <c r="C276" s="10" t="s">
        <v>490</v>
      </c>
      <c r="D276" s="11" t="s">
        <v>18</v>
      </c>
      <c r="E276" s="1"/>
      <c r="F276" s="1"/>
      <c r="G276" s="1"/>
      <c r="H276" s="1"/>
      <c r="I276" s="1"/>
    </row>
    <row r="277" spans="1:9" ht="43" x14ac:dyDescent="0.2">
      <c r="A277" s="1"/>
      <c r="B277" s="9" t="s">
        <v>491</v>
      </c>
      <c r="C277" s="10" t="s">
        <v>492</v>
      </c>
      <c r="D277" s="11" t="s">
        <v>229</v>
      </c>
      <c r="E277" s="1"/>
      <c r="F277" s="1"/>
      <c r="G277" s="1"/>
      <c r="H277" s="1"/>
      <c r="I277" s="1"/>
    </row>
    <row r="278" spans="1:9" ht="29" x14ac:dyDescent="0.2">
      <c r="A278" s="1"/>
      <c r="B278" s="9" t="s">
        <v>493</v>
      </c>
      <c r="C278" s="10" t="s">
        <v>488</v>
      </c>
      <c r="D278" s="11" t="s">
        <v>13</v>
      </c>
      <c r="E278" s="1"/>
      <c r="F278" s="1"/>
      <c r="G278" s="1"/>
      <c r="H278" s="1"/>
      <c r="I278" s="1"/>
    </row>
    <row r="279" spans="1:9" ht="29" x14ac:dyDescent="0.2">
      <c r="A279" s="1"/>
      <c r="B279" s="9" t="s">
        <v>494</v>
      </c>
      <c r="C279" s="10" t="s">
        <v>495</v>
      </c>
      <c r="D279" s="11" t="s">
        <v>22</v>
      </c>
      <c r="E279" s="1"/>
      <c r="F279" s="1"/>
      <c r="G279" s="1"/>
      <c r="H279" s="1"/>
      <c r="I279" s="1"/>
    </row>
    <row r="280" spans="1:9" ht="43" x14ac:dyDescent="0.2">
      <c r="A280" s="1"/>
      <c r="B280" s="9" t="s">
        <v>496</v>
      </c>
      <c r="C280" s="10" t="s">
        <v>497</v>
      </c>
      <c r="D280" s="11" t="s">
        <v>11</v>
      </c>
      <c r="E280" s="1"/>
      <c r="F280" s="1"/>
      <c r="G280" s="1"/>
      <c r="H280" s="1"/>
      <c r="I280" s="1"/>
    </row>
    <row r="281" spans="1:9" ht="29" x14ac:dyDescent="0.2">
      <c r="A281" s="1"/>
      <c r="B281" s="9" t="s">
        <v>498</v>
      </c>
      <c r="C281" s="10" t="s">
        <v>499</v>
      </c>
      <c r="D281" s="11" t="s">
        <v>11</v>
      </c>
      <c r="E281" s="1"/>
      <c r="F281" s="1"/>
      <c r="G281" s="1"/>
      <c r="H281" s="1"/>
      <c r="I281" s="1"/>
    </row>
    <row r="282" spans="1:9" ht="29" x14ac:dyDescent="0.2">
      <c r="A282" s="1"/>
      <c r="B282" s="9" t="s">
        <v>500</v>
      </c>
      <c r="C282" s="10" t="s">
        <v>501</v>
      </c>
      <c r="D282" s="11" t="s">
        <v>18</v>
      </c>
      <c r="E282" s="1"/>
      <c r="F282" s="1"/>
      <c r="G282" s="1"/>
      <c r="H282" s="1"/>
      <c r="I282" s="1"/>
    </row>
    <row r="283" spans="1:9" ht="29" x14ac:dyDescent="0.2">
      <c r="A283" s="1"/>
      <c r="B283" s="9" t="s">
        <v>502</v>
      </c>
      <c r="C283" s="10" t="s">
        <v>499</v>
      </c>
      <c r="D283" s="11" t="s">
        <v>13</v>
      </c>
      <c r="E283" s="1"/>
      <c r="F283" s="1"/>
      <c r="G283" s="1"/>
      <c r="H283" s="1"/>
      <c r="I283" s="1"/>
    </row>
    <row r="284" spans="1:9" ht="29" x14ac:dyDescent="0.2">
      <c r="A284" s="1"/>
      <c r="B284" s="9" t="s">
        <v>503</v>
      </c>
      <c r="C284" s="10" t="s">
        <v>504</v>
      </c>
      <c r="D284" s="11" t="s">
        <v>22</v>
      </c>
      <c r="E284" s="1"/>
      <c r="F284" s="1"/>
      <c r="G284" s="1"/>
      <c r="H284" s="1"/>
      <c r="I284" s="1"/>
    </row>
    <row r="285" spans="1:9" ht="29" x14ac:dyDescent="0.2">
      <c r="A285" s="1"/>
      <c r="B285" s="9" t="s">
        <v>505</v>
      </c>
      <c r="C285" s="10" t="s">
        <v>506</v>
      </c>
      <c r="D285" s="11" t="s">
        <v>11</v>
      </c>
      <c r="E285" s="1"/>
      <c r="F285" s="1"/>
      <c r="G285" s="1"/>
      <c r="H285" s="1"/>
      <c r="I285" s="1"/>
    </row>
    <row r="286" spans="1:9" ht="29" x14ac:dyDescent="0.2">
      <c r="A286" s="1"/>
      <c r="B286" s="9" t="s">
        <v>507</v>
      </c>
      <c r="C286" s="10" t="s">
        <v>508</v>
      </c>
      <c r="D286" s="11" t="s">
        <v>11</v>
      </c>
      <c r="E286" s="1"/>
      <c r="F286" s="1"/>
      <c r="G286" s="1"/>
      <c r="H286" s="1"/>
      <c r="I286" s="1"/>
    </row>
    <row r="287" spans="1:9" ht="29" x14ac:dyDescent="0.2">
      <c r="A287" s="1"/>
      <c r="B287" s="9" t="s">
        <v>509</v>
      </c>
      <c r="C287" s="10" t="s">
        <v>510</v>
      </c>
      <c r="D287" s="11" t="s">
        <v>11</v>
      </c>
      <c r="E287" s="1"/>
      <c r="F287" s="1"/>
      <c r="G287" s="1"/>
      <c r="H287" s="1"/>
      <c r="I287" s="1"/>
    </row>
    <row r="288" spans="1:9" ht="29" x14ac:dyDescent="0.2">
      <c r="A288" s="1"/>
      <c r="B288" s="9" t="s">
        <v>511</v>
      </c>
      <c r="C288" s="10" t="s">
        <v>512</v>
      </c>
      <c r="D288" s="11" t="s">
        <v>18</v>
      </c>
      <c r="E288" s="1"/>
      <c r="F288" s="1"/>
      <c r="G288" s="1"/>
      <c r="H288" s="1"/>
      <c r="I288" s="1"/>
    </row>
    <row r="289" spans="1:9" ht="43" x14ac:dyDescent="0.2">
      <c r="A289" s="1"/>
      <c r="B289" s="9" t="s">
        <v>513</v>
      </c>
      <c r="C289" s="10" t="s">
        <v>514</v>
      </c>
      <c r="D289" s="11" t="s">
        <v>229</v>
      </c>
      <c r="E289" s="1"/>
      <c r="F289" s="1"/>
      <c r="G289" s="1"/>
      <c r="H289" s="1"/>
      <c r="I289" s="1"/>
    </row>
    <row r="290" spans="1:9" ht="29" x14ac:dyDescent="0.2">
      <c r="A290" s="1"/>
      <c r="B290" s="9" t="s">
        <v>515</v>
      </c>
      <c r="C290" s="10" t="s">
        <v>510</v>
      </c>
      <c r="D290" s="11" t="s">
        <v>13</v>
      </c>
      <c r="E290" s="1"/>
      <c r="F290" s="1"/>
      <c r="G290" s="1"/>
      <c r="H290" s="1"/>
      <c r="I290" s="1"/>
    </row>
    <row r="291" spans="1:9" ht="29" x14ac:dyDescent="0.2">
      <c r="A291" s="1"/>
      <c r="B291" s="9" t="s">
        <v>516</v>
      </c>
      <c r="C291" s="10" t="s">
        <v>517</v>
      </c>
      <c r="D291" s="11" t="s">
        <v>22</v>
      </c>
      <c r="E291" s="1"/>
      <c r="F291" s="1"/>
      <c r="G291" s="1"/>
      <c r="H291" s="1"/>
      <c r="I291" s="1"/>
    </row>
    <row r="292" spans="1:9" ht="29" x14ac:dyDescent="0.2">
      <c r="A292" s="1"/>
      <c r="B292" s="9" t="s">
        <v>518</v>
      </c>
      <c r="C292" s="10" t="s">
        <v>519</v>
      </c>
      <c r="D292" s="11" t="s">
        <v>11</v>
      </c>
      <c r="E292" s="1"/>
      <c r="F292" s="1"/>
      <c r="G292" s="1"/>
      <c r="H292" s="1"/>
      <c r="I292" s="1"/>
    </row>
    <row r="293" spans="1:9" ht="29" x14ac:dyDescent="0.2">
      <c r="A293" s="1"/>
      <c r="B293" s="9" t="s">
        <v>520</v>
      </c>
      <c r="C293" s="10" t="s">
        <v>521</v>
      </c>
      <c r="D293" s="11" t="s">
        <v>18</v>
      </c>
      <c r="E293" s="1"/>
      <c r="F293" s="1"/>
      <c r="G293" s="1"/>
      <c r="H293" s="1"/>
      <c r="I293" s="1"/>
    </row>
    <row r="294" spans="1:9" ht="29" x14ac:dyDescent="0.2">
      <c r="A294" s="1"/>
      <c r="B294" s="9" t="s">
        <v>522</v>
      </c>
      <c r="C294" s="10" t="s">
        <v>519</v>
      </c>
      <c r="D294" s="11" t="s">
        <v>13</v>
      </c>
      <c r="E294" s="1"/>
      <c r="F294" s="1"/>
      <c r="G294" s="1"/>
      <c r="H294" s="1"/>
      <c r="I294" s="1"/>
    </row>
    <row r="295" spans="1:9" ht="29" x14ac:dyDescent="0.2">
      <c r="A295" s="1"/>
      <c r="B295" s="9" t="s">
        <v>523</v>
      </c>
      <c r="C295" s="10" t="s">
        <v>524</v>
      </c>
      <c r="D295" s="11" t="s">
        <v>22</v>
      </c>
      <c r="E295" s="1"/>
      <c r="F295" s="1"/>
      <c r="G295" s="1"/>
      <c r="H295" s="1"/>
      <c r="I295" s="1"/>
    </row>
    <row r="296" spans="1:9" ht="29" x14ac:dyDescent="0.2">
      <c r="A296" s="1"/>
      <c r="B296" s="9" t="s">
        <v>525</v>
      </c>
      <c r="C296" s="10" t="s">
        <v>526</v>
      </c>
      <c r="D296" s="11" t="s">
        <v>107</v>
      </c>
      <c r="E296" s="1"/>
      <c r="F296" s="1"/>
      <c r="G296" s="1"/>
      <c r="H296" s="1"/>
      <c r="I296" s="1"/>
    </row>
    <row r="297" spans="1:9" ht="43" x14ac:dyDescent="0.2">
      <c r="A297" s="1"/>
      <c r="B297" s="9" t="s">
        <v>527</v>
      </c>
      <c r="C297" s="10" t="s">
        <v>528</v>
      </c>
      <c r="D297" s="11" t="s">
        <v>107</v>
      </c>
      <c r="E297" s="1"/>
      <c r="F297" s="1"/>
      <c r="G297" s="1"/>
      <c r="H297" s="1"/>
      <c r="I297" s="1"/>
    </row>
    <row r="298" spans="1:9" ht="29" x14ac:dyDescent="0.2">
      <c r="A298" s="1"/>
      <c r="B298" s="9" t="s">
        <v>529</v>
      </c>
      <c r="C298" s="10" t="s">
        <v>530</v>
      </c>
      <c r="D298" s="11" t="s">
        <v>11</v>
      </c>
      <c r="E298" s="1"/>
      <c r="F298" s="1"/>
      <c r="G298" s="1"/>
      <c r="H298" s="1"/>
      <c r="I298" s="1"/>
    </row>
    <row r="299" spans="1:9" ht="29" x14ac:dyDescent="0.2">
      <c r="A299" s="1"/>
      <c r="B299" s="9" t="s">
        <v>531</v>
      </c>
      <c r="C299" s="10" t="s">
        <v>532</v>
      </c>
      <c r="D299" s="11" t="s">
        <v>308</v>
      </c>
      <c r="E299" s="1"/>
      <c r="F299" s="1"/>
      <c r="G299" s="1"/>
      <c r="H299" s="1"/>
      <c r="I299" s="1"/>
    </row>
    <row r="300" spans="1:9" ht="29" x14ac:dyDescent="0.2">
      <c r="A300" s="1"/>
      <c r="B300" s="9" t="s">
        <v>533</v>
      </c>
      <c r="C300" s="10" t="s">
        <v>534</v>
      </c>
      <c r="D300" s="11" t="s">
        <v>11</v>
      </c>
      <c r="E300" s="1"/>
      <c r="F300" s="1"/>
      <c r="G300" s="1"/>
      <c r="H300" s="1"/>
      <c r="I300" s="1"/>
    </row>
    <row r="301" spans="1:9" ht="29" x14ac:dyDescent="0.2">
      <c r="A301" s="1"/>
      <c r="B301" s="9" t="s">
        <v>535</v>
      </c>
      <c r="C301" s="10" t="s">
        <v>536</v>
      </c>
      <c r="D301" s="11" t="s">
        <v>308</v>
      </c>
      <c r="E301" s="1"/>
      <c r="F301" s="1"/>
      <c r="G301" s="1"/>
      <c r="H301" s="1"/>
      <c r="I301" s="1"/>
    </row>
    <row r="302" spans="1:9" ht="29" x14ac:dyDescent="0.2">
      <c r="A302" s="1"/>
      <c r="B302" s="9" t="s">
        <v>537</v>
      </c>
      <c r="C302" s="10" t="s">
        <v>538</v>
      </c>
      <c r="D302" s="11" t="s">
        <v>11</v>
      </c>
      <c r="E302" s="1"/>
      <c r="F302" s="1"/>
      <c r="G302" s="1"/>
      <c r="H302" s="1"/>
      <c r="I302" s="1"/>
    </row>
    <row r="303" spans="1:9" ht="29" x14ac:dyDescent="0.2">
      <c r="A303" s="1"/>
      <c r="B303" s="9" t="s">
        <v>539</v>
      </c>
      <c r="C303" s="10" t="s">
        <v>540</v>
      </c>
      <c r="D303" s="11" t="s">
        <v>308</v>
      </c>
      <c r="E303" s="1"/>
      <c r="F303" s="1"/>
      <c r="G303" s="1"/>
      <c r="H303" s="1"/>
      <c r="I303" s="1"/>
    </row>
    <row r="304" spans="1:9" x14ac:dyDescent="0.2">
      <c r="A304" s="1"/>
      <c r="B304" s="9" t="s">
        <v>541</v>
      </c>
      <c r="C304" s="10" t="s">
        <v>542</v>
      </c>
      <c r="D304" s="11" t="s">
        <v>11</v>
      </c>
      <c r="E304" s="1"/>
      <c r="F304" s="1"/>
      <c r="G304" s="1"/>
      <c r="H304" s="1"/>
      <c r="I304" s="1"/>
    </row>
    <row r="305" spans="1:9" x14ac:dyDescent="0.2">
      <c r="A305" s="1"/>
      <c r="B305" s="9" t="s">
        <v>543</v>
      </c>
      <c r="C305" s="10" t="s">
        <v>544</v>
      </c>
      <c r="D305" s="11" t="s">
        <v>308</v>
      </c>
      <c r="E305" s="1"/>
      <c r="F305" s="1"/>
      <c r="G305" s="1"/>
      <c r="H305" s="1"/>
      <c r="I305" s="1"/>
    </row>
    <row r="306" spans="1:9" ht="29" x14ac:dyDescent="0.2">
      <c r="A306" s="1"/>
      <c r="B306" s="9" t="s">
        <v>545</v>
      </c>
      <c r="C306" s="10" t="s">
        <v>546</v>
      </c>
      <c r="D306" s="11" t="s">
        <v>11</v>
      </c>
      <c r="E306" s="1"/>
      <c r="F306" s="1"/>
      <c r="G306" s="1"/>
      <c r="H306" s="1"/>
      <c r="I306" s="1"/>
    </row>
    <row r="307" spans="1:9" ht="29" x14ac:dyDescent="0.2">
      <c r="A307" s="1"/>
      <c r="B307" s="9" t="s">
        <v>547</v>
      </c>
      <c r="C307" s="10" t="s">
        <v>548</v>
      </c>
      <c r="D307" s="11" t="s">
        <v>308</v>
      </c>
      <c r="E307" s="1"/>
      <c r="F307" s="1"/>
      <c r="G307" s="1"/>
      <c r="H307" s="1"/>
      <c r="I307" s="1"/>
    </row>
    <row r="308" spans="1:9" ht="29" x14ac:dyDescent="0.2">
      <c r="A308" s="1"/>
      <c r="B308" s="9" t="s">
        <v>549</v>
      </c>
      <c r="C308" s="10" t="s">
        <v>550</v>
      </c>
      <c r="D308" s="11" t="s">
        <v>11</v>
      </c>
      <c r="E308" s="1"/>
      <c r="F308" s="1"/>
      <c r="G308" s="1"/>
      <c r="H308" s="1"/>
      <c r="I308" s="1"/>
    </row>
    <row r="309" spans="1:9" ht="29" x14ac:dyDescent="0.2">
      <c r="A309" s="1"/>
      <c r="B309" s="9" t="s">
        <v>551</v>
      </c>
      <c r="C309" s="10" t="s">
        <v>550</v>
      </c>
      <c r="D309" s="11" t="s">
        <v>13</v>
      </c>
      <c r="E309" s="1"/>
      <c r="F309" s="1"/>
      <c r="G309" s="1"/>
      <c r="H309" s="1"/>
      <c r="I309" s="1"/>
    </row>
    <row r="310" spans="1:9" x14ac:dyDescent="0.2">
      <c r="A310" s="1"/>
      <c r="B310" s="9" t="s">
        <v>552</v>
      </c>
      <c r="C310" s="10" t="s">
        <v>553</v>
      </c>
      <c r="D310" s="11" t="s">
        <v>11</v>
      </c>
      <c r="E310" s="1"/>
      <c r="F310" s="1"/>
      <c r="G310" s="1"/>
      <c r="H310" s="1"/>
      <c r="I310" s="1"/>
    </row>
    <row r="311" spans="1:9" x14ac:dyDescent="0.2">
      <c r="A311" s="1"/>
      <c r="B311" s="9" t="s">
        <v>554</v>
      </c>
      <c r="C311" s="10" t="s">
        <v>553</v>
      </c>
      <c r="D311" s="11" t="s">
        <v>13</v>
      </c>
      <c r="E311" s="1"/>
      <c r="F311" s="1"/>
      <c r="G311" s="1"/>
      <c r="H311" s="1"/>
      <c r="I311" s="1"/>
    </row>
    <row r="312" spans="1:9" ht="29" x14ac:dyDescent="0.2">
      <c r="A312" s="1"/>
      <c r="B312" s="9" t="s">
        <v>555</v>
      </c>
      <c r="C312" s="10" t="s">
        <v>556</v>
      </c>
      <c r="D312" s="11" t="s">
        <v>11</v>
      </c>
      <c r="E312" s="1"/>
      <c r="F312" s="1"/>
      <c r="G312" s="1"/>
      <c r="H312" s="1"/>
      <c r="I312" s="1"/>
    </row>
    <row r="313" spans="1:9" ht="29" x14ac:dyDescent="0.2">
      <c r="A313" s="1"/>
      <c r="B313" s="9" t="s">
        <v>557</v>
      </c>
      <c r="C313" s="10" t="s">
        <v>556</v>
      </c>
      <c r="D313" s="11" t="s">
        <v>13</v>
      </c>
      <c r="E313" s="1"/>
      <c r="F313" s="1"/>
      <c r="G313" s="1"/>
      <c r="H313" s="1"/>
      <c r="I313" s="1"/>
    </row>
    <row r="314" spans="1:9" ht="29" x14ac:dyDescent="0.2">
      <c r="A314" s="1"/>
      <c r="B314" s="9" t="s">
        <v>558</v>
      </c>
      <c r="C314" s="10" t="s">
        <v>559</v>
      </c>
      <c r="D314" s="11" t="s">
        <v>11</v>
      </c>
      <c r="E314" s="1"/>
      <c r="F314" s="1"/>
      <c r="G314" s="1"/>
      <c r="H314" s="1"/>
      <c r="I314" s="1"/>
    </row>
    <row r="315" spans="1:9" ht="29" x14ac:dyDescent="0.2">
      <c r="A315" s="1"/>
      <c r="B315" s="9" t="s">
        <v>560</v>
      </c>
      <c r="C315" s="10" t="s">
        <v>559</v>
      </c>
      <c r="D315" s="11" t="s">
        <v>13</v>
      </c>
      <c r="E315" s="1"/>
      <c r="F315" s="1"/>
      <c r="G315" s="1"/>
      <c r="H315" s="1"/>
      <c r="I315" s="1"/>
    </row>
    <row r="316" spans="1:9" ht="29" x14ac:dyDescent="0.2">
      <c r="A316" s="1"/>
      <c r="B316" s="9" t="s">
        <v>561</v>
      </c>
      <c r="C316" s="10" t="s">
        <v>562</v>
      </c>
      <c r="D316" s="11" t="s">
        <v>11</v>
      </c>
      <c r="E316" s="1"/>
      <c r="F316" s="1"/>
      <c r="G316" s="1"/>
      <c r="H316" s="1"/>
      <c r="I316" s="1"/>
    </row>
    <row r="317" spans="1:9" x14ac:dyDescent="0.2">
      <c r="A317" s="1"/>
      <c r="B317" s="9" t="s">
        <v>563</v>
      </c>
      <c r="C317" s="10" t="s">
        <v>564</v>
      </c>
      <c r="D317" s="11" t="s">
        <v>18</v>
      </c>
      <c r="E317" s="1"/>
      <c r="F317" s="1"/>
      <c r="G317" s="1"/>
      <c r="H317" s="1"/>
      <c r="I317" s="1"/>
    </row>
    <row r="318" spans="1:9" ht="29" x14ac:dyDescent="0.2">
      <c r="A318" s="1"/>
      <c r="B318" s="9" t="s">
        <v>565</v>
      </c>
      <c r="C318" s="10" t="s">
        <v>562</v>
      </c>
      <c r="D318" s="11" t="s">
        <v>13</v>
      </c>
      <c r="E318" s="1"/>
      <c r="F318" s="1"/>
      <c r="G318" s="1"/>
      <c r="H318" s="1"/>
      <c r="I318" s="1"/>
    </row>
    <row r="319" spans="1:9" ht="29" x14ac:dyDescent="0.2">
      <c r="A319" s="1"/>
      <c r="B319" s="9" t="s">
        <v>566</v>
      </c>
      <c r="C319" s="10" t="s">
        <v>567</v>
      </c>
      <c r="D319" s="11" t="s">
        <v>22</v>
      </c>
      <c r="E319" s="1"/>
      <c r="F319" s="1"/>
      <c r="G319" s="1"/>
      <c r="H319" s="1"/>
      <c r="I319" s="1"/>
    </row>
    <row r="320" spans="1:9" x14ac:dyDescent="0.2">
      <c r="A320" s="1"/>
      <c r="B320" s="9" t="s">
        <v>568</v>
      </c>
      <c r="C320" s="10" t="s">
        <v>569</v>
      </c>
      <c r="D320" s="11" t="s">
        <v>11</v>
      </c>
      <c r="E320" s="1"/>
      <c r="F320" s="1"/>
      <c r="G320" s="1"/>
      <c r="H320" s="1"/>
      <c r="I320" s="1"/>
    </row>
    <row r="321" spans="1:9" x14ac:dyDescent="0.2">
      <c r="A321" s="1"/>
      <c r="B321" s="9" t="s">
        <v>570</v>
      </c>
      <c r="C321" s="10" t="s">
        <v>571</v>
      </c>
      <c r="D321" s="11" t="s">
        <v>18</v>
      </c>
      <c r="E321" s="1"/>
      <c r="F321" s="1"/>
      <c r="G321" s="1"/>
      <c r="H321" s="1"/>
      <c r="I321" s="1"/>
    </row>
    <row r="322" spans="1:9" x14ac:dyDescent="0.2">
      <c r="A322" s="1"/>
      <c r="B322" s="9" t="s">
        <v>572</v>
      </c>
      <c r="C322" s="10" t="s">
        <v>569</v>
      </c>
      <c r="D322" s="11" t="s">
        <v>13</v>
      </c>
      <c r="E322" s="1"/>
      <c r="F322" s="1"/>
      <c r="G322" s="1"/>
      <c r="H322" s="1"/>
      <c r="I322" s="1"/>
    </row>
    <row r="323" spans="1:9" x14ac:dyDescent="0.2">
      <c r="A323" s="1"/>
      <c r="B323" s="9" t="s">
        <v>573</v>
      </c>
      <c r="C323" s="10" t="s">
        <v>574</v>
      </c>
      <c r="D323" s="11" t="s">
        <v>22</v>
      </c>
      <c r="E323" s="1"/>
      <c r="F323" s="1"/>
      <c r="G323" s="1"/>
      <c r="H323" s="1"/>
      <c r="I323" s="1"/>
    </row>
    <row r="324" spans="1:9" x14ac:dyDescent="0.2">
      <c r="A324" s="1"/>
      <c r="B324" s="9" t="s">
        <v>575</v>
      </c>
      <c r="C324" s="10" t="s">
        <v>576</v>
      </c>
      <c r="D324" s="11" t="s">
        <v>11</v>
      </c>
      <c r="E324" s="1"/>
      <c r="F324" s="1"/>
      <c r="G324" s="1"/>
      <c r="H324" s="1"/>
      <c r="I324" s="1"/>
    </row>
    <row r="325" spans="1:9" x14ac:dyDescent="0.2">
      <c r="A325" s="1"/>
      <c r="B325" s="9" t="s">
        <v>577</v>
      </c>
      <c r="C325" s="10" t="s">
        <v>578</v>
      </c>
      <c r="D325" s="11" t="s">
        <v>18</v>
      </c>
      <c r="E325" s="1"/>
      <c r="F325" s="1"/>
      <c r="G325" s="1"/>
      <c r="H325" s="1"/>
      <c r="I325" s="1"/>
    </row>
    <row r="326" spans="1:9" x14ac:dyDescent="0.2">
      <c r="A326" s="1"/>
      <c r="B326" s="9" t="s">
        <v>579</v>
      </c>
      <c r="C326" s="10" t="s">
        <v>576</v>
      </c>
      <c r="D326" s="11" t="s">
        <v>13</v>
      </c>
      <c r="E326" s="1"/>
      <c r="F326" s="1"/>
      <c r="G326" s="1"/>
      <c r="H326" s="1"/>
      <c r="I326" s="1"/>
    </row>
    <row r="327" spans="1:9" x14ac:dyDescent="0.2">
      <c r="A327" s="1"/>
      <c r="B327" s="9" t="s">
        <v>580</v>
      </c>
      <c r="C327" s="10" t="s">
        <v>581</v>
      </c>
      <c r="D327" s="11" t="s">
        <v>22</v>
      </c>
      <c r="E327" s="1"/>
      <c r="F327" s="1"/>
      <c r="G327" s="1"/>
      <c r="H327" s="1"/>
      <c r="I327" s="1"/>
    </row>
    <row r="328" spans="1:9" ht="29" x14ac:dyDescent="0.2">
      <c r="A328" s="1"/>
      <c r="B328" s="9" t="s">
        <v>582</v>
      </c>
      <c r="C328" s="10" t="s">
        <v>583</v>
      </c>
      <c r="D328" s="11" t="s">
        <v>11</v>
      </c>
      <c r="E328" s="1"/>
      <c r="F328" s="1"/>
      <c r="G328" s="1"/>
      <c r="H328" s="1"/>
      <c r="I328" s="1"/>
    </row>
    <row r="329" spans="1:9" x14ac:dyDescent="0.2">
      <c r="A329" s="1"/>
      <c r="B329" s="9" t="s">
        <v>584</v>
      </c>
      <c r="C329" s="10" t="s">
        <v>585</v>
      </c>
      <c r="D329" s="11" t="s">
        <v>18</v>
      </c>
      <c r="E329" s="1"/>
      <c r="F329" s="1"/>
      <c r="G329" s="1"/>
      <c r="H329" s="1"/>
      <c r="I329" s="1"/>
    </row>
    <row r="330" spans="1:9" ht="29" x14ac:dyDescent="0.2">
      <c r="A330" s="1"/>
      <c r="B330" s="9" t="s">
        <v>586</v>
      </c>
      <c r="C330" s="10" t="s">
        <v>583</v>
      </c>
      <c r="D330" s="11" t="s">
        <v>13</v>
      </c>
      <c r="E330" s="1"/>
      <c r="F330" s="1"/>
      <c r="G330" s="1"/>
      <c r="H330" s="1"/>
      <c r="I330" s="1"/>
    </row>
    <row r="331" spans="1:9" ht="29" x14ac:dyDescent="0.2">
      <c r="A331" s="1"/>
      <c r="B331" s="9" t="s">
        <v>587</v>
      </c>
      <c r="C331" s="10" t="s">
        <v>588</v>
      </c>
      <c r="D331" s="11" t="s">
        <v>22</v>
      </c>
      <c r="E331" s="1"/>
      <c r="F331" s="1"/>
      <c r="G331" s="1"/>
      <c r="H331" s="1"/>
      <c r="I331" s="1"/>
    </row>
    <row r="332" spans="1:9" ht="29" x14ac:dyDescent="0.2">
      <c r="A332" s="1"/>
      <c r="B332" s="9" t="s">
        <v>589</v>
      </c>
      <c r="C332" s="10" t="s">
        <v>590</v>
      </c>
      <c r="D332" s="11" t="s">
        <v>11</v>
      </c>
      <c r="E332" s="1"/>
      <c r="F332" s="1"/>
      <c r="G332" s="1"/>
      <c r="H332" s="1"/>
      <c r="I332" s="1"/>
    </row>
    <row r="333" spans="1:9" x14ac:dyDescent="0.2">
      <c r="A333" s="1"/>
      <c r="B333" s="9" t="s">
        <v>591</v>
      </c>
      <c r="C333" s="10" t="s">
        <v>592</v>
      </c>
      <c r="D333" s="11" t="s">
        <v>18</v>
      </c>
      <c r="E333" s="1"/>
      <c r="F333" s="1"/>
      <c r="G333" s="1"/>
      <c r="H333" s="1"/>
      <c r="I333" s="1"/>
    </row>
    <row r="334" spans="1:9" ht="29" x14ac:dyDescent="0.2">
      <c r="A334" s="1"/>
      <c r="B334" s="9" t="s">
        <v>593</v>
      </c>
      <c r="C334" s="10" t="s">
        <v>590</v>
      </c>
      <c r="D334" s="11" t="s">
        <v>13</v>
      </c>
      <c r="E334" s="1"/>
      <c r="F334" s="1"/>
      <c r="G334" s="1"/>
      <c r="H334" s="1"/>
      <c r="I334" s="1"/>
    </row>
    <row r="335" spans="1:9" ht="29" x14ac:dyDescent="0.2">
      <c r="A335" s="1"/>
      <c r="B335" s="9" t="s">
        <v>594</v>
      </c>
      <c r="C335" s="10" t="s">
        <v>595</v>
      </c>
      <c r="D335" s="11" t="s">
        <v>22</v>
      </c>
      <c r="E335" s="1"/>
      <c r="F335" s="1"/>
      <c r="G335" s="1"/>
      <c r="H335" s="1"/>
      <c r="I335" s="1"/>
    </row>
    <row r="336" spans="1:9" ht="29" x14ac:dyDescent="0.2">
      <c r="A336" s="1"/>
      <c r="B336" s="9" t="s">
        <v>596</v>
      </c>
      <c r="C336" s="10" t="s">
        <v>597</v>
      </c>
      <c r="D336" s="11" t="s">
        <v>11</v>
      </c>
      <c r="E336" s="1"/>
      <c r="F336" s="1"/>
      <c r="G336" s="1"/>
      <c r="H336" s="1"/>
      <c r="I336" s="1"/>
    </row>
    <row r="337" spans="1:9" x14ac:dyDescent="0.2">
      <c r="A337" s="1"/>
      <c r="B337" s="9" t="s">
        <v>598</v>
      </c>
      <c r="C337" s="10" t="s">
        <v>599</v>
      </c>
      <c r="D337" s="11" t="s">
        <v>18</v>
      </c>
      <c r="E337" s="1"/>
      <c r="F337" s="1"/>
      <c r="G337" s="1"/>
      <c r="H337" s="1"/>
      <c r="I337" s="1"/>
    </row>
    <row r="338" spans="1:9" ht="29" x14ac:dyDescent="0.2">
      <c r="A338" s="1"/>
      <c r="B338" s="9" t="s">
        <v>600</v>
      </c>
      <c r="C338" s="10" t="s">
        <v>597</v>
      </c>
      <c r="D338" s="11" t="s">
        <v>13</v>
      </c>
      <c r="E338" s="1"/>
      <c r="F338" s="1"/>
      <c r="G338" s="1"/>
      <c r="H338" s="1"/>
      <c r="I338" s="1"/>
    </row>
    <row r="339" spans="1:9" ht="29" x14ac:dyDescent="0.2">
      <c r="A339" s="1"/>
      <c r="B339" s="9" t="s">
        <v>601</v>
      </c>
      <c r="C339" s="10" t="s">
        <v>602</v>
      </c>
      <c r="D339" s="11" t="s">
        <v>22</v>
      </c>
      <c r="E339" s="1"/>
      <c r="F339" s="1"/>
      <c r="G339" s="1"/>
      <c r="H339" s="1"/>
      <c r="I339" s="1"/>
    </row>
    <row r="340" spans="1:9" x14ac:dyDescent="0.2">
      <c r="A340" s="1"/>
      <c r="B340" s="9" t="s">
        <v>603</v>
      </c>
      <c r="C340" s="10" t="s">
        <v>604</v>
      </c>
      <c r="D340" s="11" t="s">
        <v>11</v>
      </c>
      <c r="E340" s="1"/>
      <c r="F340" s="1"/>
      <c r="G340" s="1"/>
      <c r="H340" s="1"/>
      <c r="I340" s="1"/>
    </row>
    <row r="341" spans="1:9" x14ac:dyDescent="0.2">
      <c r="A341" s="1"/>
      <c r="B341" s="9" t="s">
        <v>605</v>
      </c>
      <c r="C341" s="10" t="s">
        <v>606</v>
      </c>
      <c r="D341" s="11" t="s">
        <v>18</v>
      </c>
      <c r="E341" s="1"/>
      <c r="F341" s="1"/>
      <c r="G341" s="1"/>
      <c r="H341" s="1"/>
      <c r="I341" s="1"/>
    </row>
    <row r="342" spans="1:9" x14ac:dyDescent="0.2">
      <c r="A342" s="1"/>
      <c r="B342" s="9" t="s">
        <v>607</v>
      </c>
      <c r="C342" s="10" t="s">
        <v>604</v>
      </c>
      <c r="D342" s="11" t="s">
        <v>13</v>
      </c>
      <c r="E342" s="1"/>
      <c r="F342" s="1"/>
      <c r="G342" s="1"/>
      <c r="H342" s="1"/>
      <c r="I342" s="1"/>
    </row>
    <row r="343" spans="1:9" x14ac:dyDescent="0.2">
      <c r="A343" s="1"/>
      <c r="B343" s="9" t="s">
        <v>608</v>
      </c>
      <c r="C343" s="10" t="s">
        <v>609</v>
      </c>
      <c r="D343" s="11" t="s">
        <v>22</v>
      </c>
      <c r="E343" s="1"/>
      <c r="F343" s="1"/>
      <c r="G343" s="1"/>
      <c r="H343" s="1"/>
      <c r="I343" s="1"/>
    </row>
    <row r="344" spans="1:9" x14ac:dyDescent="0.2">
      <c r="A344" s="1"/>
      <c r="B344" s="9" t="s">
        <v>610</v>
      </c>
      <c r="C344" s="10" t="s">
        <v>611</v>
      </c>
      <c r="D344" s="11" t="s">
        <v>11</v>
      </c>
      <c r="E344" s="1"/>
      <c r="F344" s="1"/>
      <c r="G344" s="1"/>
      <c r="H344" s="1"/>
      <c r="I344" s="1"/>
    </row>
    <row r="345" spans="1:9" ht="29" x14ac:dyDescent="0.2">
      <c r="A345" s="1"/>
      <c r="B345" s="9" t="s">
        <v>612</v>
      </c>
      <c r="C345" s="10" t="s">
        <v>613</v>
      </c>
      <c r="D345" s="11" t="s">
        <v>18</v>
      </c>
      <c r="E345" s="1"/>
      <c r="F345" s="1"/>
      <c r="G345" s="1"/>
      <c r="H345" s="1"/>
      <c r="I345" s="1"/>
    </row>
    <row r="346" spans="1:9" x14ac:dyDescent="0.2">
      <c r="A346" s="1"/>
      <c r="B346" s="9" t="s">
        <v>614</v>
      </c>
      <c r="C346" s="10" t="s">
        <v>611</v>
      </c>
      <c r="D346" s="11" t="s">
        <v>13</v>
      </c>
      <c r="E346" s="1"/>
      <c r="F346" s="1"/>
      <c r="G346" s="1"/>
      <c r="H346" s="1"/>
      <c r="I346" s="1"/>
    </row>
    <row r="347" spans="1:9" x14ac:dyDescent="0.2">
      <c r="A347" s="1"/>
      <c r="B347" s="9" t="s">
        <v>615</v>
      </c>
      <c r="C347" s="10" t="s">
        <v>616</v>
      </c>
      <c r="D347" s="11" t="s">
        <v>22</v>
      </c>
      <c r="E347" s="1"/>
      <c r="F347" s="1"/>
      <c r="G347" s="1"/>
      <c r="H347" s="1"/>
      <c r="I347" s="1"/>
    </row>
    <row r="348" spans="1:9" ht="29" x14ac:dyDescent="0.2">
      <c r="A348" s="1"/>
      <c r="B348" s="9" t="s">
        <v>617</v>
      </c>
      <c r="C348" s="10" t="s">
        <v>618</v>
      </c>
      <c r="D348" s="11" t="s">
        <v>11</v>
      </c>
      <c r="E348" s="1"/>
      <c r="F348" s="1"/>
      <c r="G348" s="1"/>
      <c r="H348" s="1"/>
      <c r="I348" s="1"/>
    </row>
    <row r="349" spans="1:9" ht="29" x14ac:dyDescent="0.2">
      <c r="A349" s="1"/>
      <c r="B349" s="9" t="s">
        <v>619</v>
      </c>
      <c r="C349" s="10" t="s">
        <v>620</v>
      </c>
      <c r="D349" s="11" t="s">
        <v>11</v>
      </c>
      <c r="E349" s="1"/>
      <c r="F349" s="1"/>
      <c r="G349" s="1"/>
      <c r="H349" s="1"/>
      <c r="I349" s="1"/>
    </row>
    <row r="350" spans="1:9" ht="29" x14ac:dyDescent="0.2">
      <c r="A350" s="1"/>
      <c r="B350" s="9" t="s">
        <v>621</v>
      </c>
      <c r="C350" s="10" t="s">
        <v>622</v>
      </c>
      <c r="D350" s="11" t="s">
        <v>11</v>
      </c>
      <c r="E350" s="1"/>
      <c r="F350" s="1"/>
      <c r="G350" s="1"/>
      <c r="H350" s="1"/>
      <c r="I350" s="1"/>
    </row>
    <row r="351" spans="1:9" ht="29" x14ac:dyDescent="0.2">
      <c r="A351" s="1"/>
      <c r="B351" s="9" t="s">
        <v>623</v>
      </c>
      <c r="C351" s="10" t="s">
        <v>624</v>
      </c>
      <c r="D351" s="11" t="s">
        <v>11</v>
      </c>
      <c r="E351" s="1"/>
      <c r="F351" s="1"/>
      <c r="G351" s="1"/>
      <c r="H351" s="1"/>
      <c r="I351" s="1"/>
    </row>
    <row r="352" spans="1:9" x14ac:dyDescent="0.2">
      <c r="A352" s="1"/>
      <c r="B352" s="9" t="s">
        <v>625</v>
      </c>
      <c r="C352" s="10" t="s">
        <v>626</v>
      </c>
      <c r="D352" s="11" t="s">
        <v>11</v>
      </c>
      <c r="E352" s="1"/>
      <c r="F352" s="1"/>
      <c r="G352" s="1"/>
      <c r="H352" s="1"/>
      <c r="I352" s="1"/>
    </row>
    <row r="353" spans="1:9" ht="29" x14ac:dyDescent="0.2">
      <c r="A353" s="1"/>
      <c r="B353" s="9" t="s">
        <v>627</v>
      </c>
      <c r="C353" s="10" t="s">
        <v>628</v>
      </c>
      <c r="D353" s="11" t="s">
        <v>11</v>
      </c>
      <c r="E353" s="1"/>
      <c r="F353" s="1"/>
      <c r="G353" s="1"/>
      <c r="H353" s="1"/>
      <c r="I353" s="1"/>
    </row>
    <row r="354" spans="1:9" ht="29" x14ac:dyDescent="0.2">
      <c r="A354" s="1"/>
      <c r="B354" s="9" t="s">
        <v>629</v>
      </c>
      <c r="C354" s="10" t="s">
        <v>630</v>
      </c>
      <c r="D354" s="11" t="s">
        <v>11</v>
      </c>
      <c r="E354" s="1"/>
      <c r="F354" s="1"/>
      <c r="G354" s="1"/>
      <c r="H354" s="1"/>
      <c r="I354" s="1"/>
    </row>
    <row r="355" spans="1:9" ht="29" x14ac:dyDescent="0.2">
      <c r="A355" s="1"/>
      <c r="B355" s="9" t="s">
        <v>631</v>
      </c>
      <c r="C355" s="10" t="s">
        <v>632</v>
      </c>
      <c r="D355" s="11" t="s">
        <v>18</v>
      </c>
      <c r="E355" s="1"/>
      <c r="F355" s="1"/>
      <c r="G355" s="1"/>
      <c r="H355" s="1"/>
      <c r="I355" s="1"/>
    </row>
    <row r="356" spans="1:9" ht="29" x14ac:dyDescent="0.2">
      <c r="A356" s="1"/>
      <c r="B356" s="9" t="s">
        <v>633</v>
      </c>
      <c r="C356" s="10" t="s">
        <v>630</v>
      </c>
      <c r="D356" s="11" t="s">
        <v>13</v>
      </c>
      <c r="E356" s="1"/>
      <c r="F356" s="1"/>
      <c r="G356" s="1"/>
      <c r="H356" s="1"/>
      <c r="I356" s="1"/>
    </row>
    <row r="357" spans="1:9" ht="29" x14ac:dyDescent="0.2">
      <c r="A357" s="1"/>
      <c r="B357" s="9" t="s">
        <v>634</v>
      </c>
      <c r="C357" s="10" t="s">
        <v>635</v>
      </c>
      <c r="D357" s="11" t="s">
        <v>22</v>
      </c>
      <c r="E357" s="1"/>
      <c r="F357" s="1"/>
      <c r="G357" s="1"/>
      <c r="H357" s="1"/>
      <c r="I357" s="1"/>
    </row>
    <row r="358" spans="1:9" ht="29" x14ac:dyDescent="0.2">
      <c r="A358" s="1"/>
      <c r="B358" s="9" t="s">
        <v>636</v>
      </c>
      <c r="C358" s="10" t="s">
        <v>637</v>
      </c>
      <c r="D358" s="11" t="s">
        <v>11</v>
      </c>
      <c r="E358" s="2"/>
      <c r="F358" s="1"/>
      <c r="G358" s="1"/>
      <c r="H358" s="1"/>
      <c r="I358" s="1"/>
    </row>
    <row r="359" spans="1:9" x14ac:dyDescent="0.2">
      <c r="A359" s="1"/>
      <c r="B359" s="9" t="s">
        <v>638</v>
      </c>
      <c r="C359" s="10" t="s">
        <v>639</v>
      </c>
      <c r="D359" s="11" t="s">
        <v>18</v>
      </c>
      <c r="E359" s="1"/>
      <c r="F359" s="1"/>
      <c r="G359" s="1"/>
      <c r="H359" s="1"/>
      <c r="I359" s="1"/>
    </row>
    <row r="360" spans="1:9" ht="29" x14ac:dyDescent="0.2">
      <c r="A360" s="1"/>
      <c r="B360" s="9" t="s">
        <v>640</v>
      </c>
      <c r="C360" s="10" t="s">
        <v>637</v>
      </c>
      <c r="D360" s="11" t="s">
        <v>13</v>
      </c>
      <c r="E360" s="1"/>
      <c r="F360" s="1"/>
      <c r="G360" s="1"/>
      <c r="H360" s="1"/>
      <c r="I360" s="1"/>
    </row>
    <row r="361" spans="1:9" ht="29" x14ac:dyDescent="0.2">
      <c r="A361" s="1"/>
      <c r="B361" s="9" t="s">
        <v>641</v>
      </c>
      <c r="C361" s="10" t="s">
        <v>642</v>
      </c>
      <c r="D361" s="11" t="s">
        <v>22</v>
      </c>
      <c r="E361" s="1"/>
      <c r="F361" s="1"/>
      <c r="G361" s="1"/>
      <c r="H361" s="1"/>
      <c r="I361" s="1"/>
    </row>
    <row r="362" spans="1:9" x14ac:dyDescent="0.2">
      <c r="A362" s="1"/>
      <c r="B362" s="9" t="s">
        <v>643</v>
      </c>
      <c r="C362" s="10" t="s">
        <v>644</v>
      </c>
      <c r="D362" s="11" t="s">
        <v>11</v>
      </c>
      <c r="E362" s="1"/>
      <c r="F362" s="1"/>
      <c r="G362" s="1"/>
      <c r="H362" s="1"/>
      <c r="I362" s="1"/>
    </row>
    <row r="363" spans="1:9" x14ac:dyDescent="0.2">
      <c r="A363" s="1"/>
      <c r="B363" s="9" t="s">
        <v>645</v>
      </c>
      <c r="C363" s="10" t="s">
        <v>646</v>
      </c>
      <c r="D363" s="11" t="s">
        <v>18</v>
      </c>
      <c r="E363" s="1"/>
      <c r="F363" s="1"/>
      <c r="G363" s="1"/>
      <c r="H363" s="1"/>
      <c r="I363" s="1"/>
    </row>
    <row r="364" spans="1:9" x14ac:dyDescent="0.2">
      <c r="A364" s="1"/>
      <c r="B364" s="9" t="s">
        <v>647</v>
      </c>
      <c r="C364" s="10" t="s">
        <v>644</v>
      </c>
      <c r="D364" s="11" t="s">
        <v>13</v>
      </c>
      <c r="E364" s="1"/>
      <c r="F364" s="1"/>
      <c r="G364" s="1"/>
      <c r="H364" s="1"/>
      <c r="I364" s="1"/>
    </row>
    <row r="365" spans="1:9" x14ac:dyDescent="0.2">
      <c r="A365" s="1"/>
      <c r="B365" s="9" t="s">
        <v>648</v>
      </c>
      <c r="C365" s="10" t="s">
        <v>649</v>
      </c>
      <c r="D365" s="11" t="s">
        <v>22</v>
      </c>
      <c r="E365" s="1"/>
      <c r="F365" s="1"/>
      <c r="G365" s="1"/>
      <c r="H365" s="1"/>
      <c r="I365" s="1"/>
    </row>
    <row r="366" spans="1:9" x14ac:dyDescent="0.2">
      <c r="A366" s="1"/>
      <c r="B366" s="9" t="s">
        <v>650</v>
      </c>
      <c r="C366" s="10" t="s">
        <v>651</v>
      </c>
      <c r="D366" s="11" t="s">
        <v>11</v>
      </c>
      <c r="E366" s="1"/>
      <c r="F366" s="1"/>
      <c r="G366" s="1"/>
      <c r="H366" s="1"/>
      <c r="I366" s="1"/>
    </row>
    <row r="367" spans="1:9" ht="29" x14ac:dyDescent="0.2">
      <c r="A367" s="1"/>
      <c r="B367" s="9" t="s">
        <v>652</v>
      </c>
      <c r="C367" s="10" t="s">
        <v>653</v>
      </c>
      <c r="D367" s="11" t="s">
        <v>18</v>
      </c>
      <c r="E367" s="1"/>
      <c r="F367" s="1"/>
      <c r="G367" s="1"/>
      <c r="H367" s="1"/>
      <c r="I367" s="1"/>
    </row>
    <row r="368" spans="1:9" x14ac:dyDescent="0.2">
      <c r="A368" s="1"/>
      <c r="B368" s="9" t="s">
        <v>654</v>
      </c>
      <c r="C368" s="10" t="s">
        <v>651</v>
      </c>
      <c r="D368" s="11" t="s">
        <v>13</v>
      </c>
      <c r="E368" s="1"/>
      <c r="F368" s="1"/>
      <c r="G368" s="1"/>
      <c r="H368" s="1"/>
      <c r="I368" s="1"/>
    </row>
    <row r="369" spans="1:9" x14ac:dyDescent="0.2">
      <c r="A369" s="1"/>
      <c r="B369" s="9" t="s">
        <v>655</v>
      </c>
      <c r="C369" s="10" t="s">
        <v>656</v>
      </c>
      <c r="D369" s="11" t="s">
        <v>22</v>
      </c>
      <c r="E369" s="1"/>
      <c r="F369" s="1"/>
      <c r="G369" s="1"/>
      <c r="H369" s="1"/>
      <c r="I369" s="1"/>
    </row>
    <row r="370" spans="1:9" ht="29" x14ac:dyDescent="0.2">
      <c r="A370" s="1"/>
      <c r="B370" s="9" t="s">
        <v>657</v>
      </c>
      <c r="C370" s="10" t="s">
        <v>658</v>
      </c>
      <c r="D370" s="11" t="s">
        <v>11</v>
      </c>
      <c r="E370" s="1"/>
      <c r="F370" s="1"/>
      <c r="G370" s="1"/>
      <c r="H370" s="1"/>
      <c r="I370" s="1"/>
    </row>
    <row r="371" spans="1:9" ht="29" x14ac:dyDescent="0.2">
      <c r="A371" s="1"/>
      <c r="B371" s="9" t="s">
        <v>659</v>
      </c>
      <c r="C371" s="10" t="s">
        <v>658</v>
      </c>
      <c r="D371" s="11" t="s">
        <v>13</v>
      </c>
      <c r="E371" s="1"/>
      <c r="F371" s="1"/>
      <c r="G371" s="1"/>
      <c r="H371" s="1"/>
      <c r="I371" s="1"/>
    </row>
    <row r="372" spans="1:9" ht="43" x14ac:dyDescent="0.2">
      <c r="A372" s="1"/>
      <c r="B372" s="9" t="s">
        <v>660</v>
      </c>
      <c r="C372" s="10" t="s">
        <v>661</v>
      </c>
      <c r="D372" s="11" t="s">
        <v>229</v>
      </c>
      <c r="E372" s="1"/>
      <c r="F372" s="1"/>
      <c r="G372" s="1"/>
      <c r="H372" s="1"/>
      <c r="I372" s="1"/>
    </row>
    <row r="373" spans="1:9" ht="29" x14ac:dyDescent="0.2">
      <c r="A373" s="1"/>
      <c r="B373" s="9" t="s">
        <v>662</v>
      </c>
      <c r="C373" s="10" t="s">
        <v>663</v>
      </c>
      <c r="D373" s="11" t="s">
        <v>11</v>
      </c>
      <c r="E373" s="1"/>
      <c r="F373" s="1"/>
      <c r="G373" s="1"/>
      <c r="H373" s="1"/>
      <c r="I373" s="1"/>
    </row>
    <row r="374" spans="1:9" ht="29" x14ac:dyDescent="0.2">
      <c r="A374" s="1"/>
      <c r="B374" s="9" t="s">
        <v>664</v>
      </c>
      <c r="C374" s="10" t="s">
        <v>665</v>
      </c>
      <c r="D374" s="11" t="s">
        <v>18</v>
      </c>
      <c r="E374" s="1"/>
      <c r="F374" s="1"/>
      <c r="G374" s="1"/>
      <c r="H374" s="1"/>
      <c r="I374" s="1"/>
    </row>
    <row r="375" spans="1:9" ht="29" x14ac:dyDescent="0.2">
      <c r="A375" s="1"/>
      <c r="B375" s="9" t="s">
        <v>666</v>
      </c>
      <c r="C375" s="10" t="s">
        <v>663</v>
      </c>
      <c r="D375" s="11" t="s">
        <v>13</v>
      </c>
      <c r="E375" s="1"/>
      <c r="F375" s="1"/>
      <c r="G375" s="1"/>
      <c r="H375" s="1"/>
      <c r="I375" s="1"/>
    </row>
    <row r="376" spans="1:9" ht="29" x14ac:dyDescent="0.2">
      <c r="A376" s="1"/>
      <c r="B376" s="9" t="s">
        <v>667</v>
      </c>
      <c r="C376" s="10" t="s">
        <v>668</v>
      </c>
      <c r="D376" s="11" t="s">
        <v>22</v>
      </c>
      <c r="E376" s="1"/>
      <c r="F376" s="1"/>
      <c r="G376" s="1"/>
      <c r="H376" s="1"/>
      <c r="I376" s="1"/>
    </row>
    <row r="377" spans="1:9" ht="29" x14ac:dyDescent="0.2">
      <c r="A377" s="1"/>
      <c r="B377" s="9" t="s">
        <v>669</v>
      </c>
      <c r="C377" s="10" t="s">
        <v>670</v>
      </c>
      <c r="D377" s="11" t="s">
        <v>11</v>
      </c>
      <c r="E377" s="1"/>
      <c r="F377" s="1"/>
      <c r="G377" s="1"/>
      <c r="H377" s="1"/>
      <c r="I377" s="1"/>
    </row>
    <row r="378" spans="1:9" ht="29" x14ac:dyDescent="0.2">
      <c r="A378" s="1"/>
      <c r="B378" s="9" t="s">
        <v>671</v>
      </c>
      <c r="C378" s="10" t="s">
        <v>672</v>
      </c>
      <c r="D378" s="11" t="s">
        <v>18</v>
      </c>
      <c r="E378" s="1"/>
      <c r="F378" s="1"/>
      <c r="G378" s="1"/>
      <c r="H378" s="1"/>
      <c r="I378" s="1"/>
    </row>
    <row r="379" spans="1:9" ht="29" x14ac:dyDescent="0.2">
      <c r="A379" s="1"/>
      <c r="B379" s="9" t="s">
        <v>673</v>
      </c>
      <c r="C379" s="10" t="s">
        <v>670</v>
      </c>
      <c r="D379" s="11" t="s">
        <v>13</v>
      </c>
      <c r="E379" s="1"/>
      <c r="F379" s="1"/>
      <c r="G379" s="1"/>
      <c r="H379" s="1"/>
      <c r="I379" s="1"/>
    </row>
    <row r="380" spans="1:9" ht="29" x14ac:dyDescent="0.2">
      <c r="A380" s="1"/>
      <c r="B380" s="9" t="s">
        <v>674</v>
      </c>
      <c r="C380" s="10" t="s">
        <v>675</v>
      </c>
      <c r="D380" s="11" t="s">
        <v>22</v>
      </c>
      <c r="E380" s="1"/>
      <c r="F380" s="1"/>
      <c r="G380" s="1"/>
      <c r="H380" s="1"/>
      <c r="I380" s="1"/>
    </row>
    <row r="381" spans="1:9" ht="29" x14ac:dyDescent="0.2">
      <c r="A381" s="1"/>
      <c r="B381" s="9" t="s">
        <v>676</v>
      </c>
      <c r="C381" s="10" t="s">
        <v>677</v>
      </c>
      <c r="D381" s="11" t="s">
        <v>11</v>
      </c>
      <c r="E381" s="1"/>
      <c r="F381" s="1"/>
      <c r="G381" s="1"/>
      <c r="H381" s="1"/>
      <c r="I381" s="1"/>
    </row>
    <row r="382" spans="1:9" ht="29" x14ac:dyDescent="0.2">
      <c r="A382" s="1"/>
      <c r="B382" s="9" t="s">
        <v>678</v>
      </c>
      <c r="C382" s="10" t="s">
        <v>679</v>
      </c>
      <c r="D382" s="11" t="s">
        <v>18</v>
      </c>
      <c r="E382" s="1"/>
      <c r="F382" s="1"/>
      <c r="G382" s="1"/>
      <c r="H382" s="1"/>
      <c r="I382" s="1"/>
    </row>
    <row r="383" spans="1:9" ht="29" x14ac:dyDescent="0.2">
      <c r="A383" s="1"/>
      <c r="B383" s="9" t="s">
        <v>680</v>
      </c>
      <c r="C383" s="10" t="s">
        <v>677</v>
      </c>
      <c r="D383" s="11" t="s">
        <v>13</v>
      </c>
      <c r="E383" s="1"/>
      <c r="F383" s="1"/>
      <c r="G383" s="1"/>
      <c r="H383" s="1"/>
      <c r="I383" s="1"/>
    </row>
    <row r="384" spans="1:9" ht="29" x14ac:dyDescent="0.2">
      <c r="A384" s="1"/>
      <c r="B384" s="9" t="s">
        <v>681</v>
      </c>
      <c r="C384" s="10" t="s">
        <v>682</v>
      </c>
      <c r="D384" s="11" t="s">
        <v>22</v>
      </c>
      <c r="E384" s="1"/>
      <c r="F384" s="1"/>
      <c r="G384" s="1"/>
      <c r="H384" s="1"/>
      <c r="I384" s="1"/>
    </row>
    <row r="385" spans="1:9" x14ac:dyDescent="0.2">
      <c r="A385" s="1"/>
      <c r="B385" s="9" t="s">
        <v>683</v>
      </c>
      <c r="C385" s="10" t="s">
        <v>684</v>
      </c>
      <c r="D385" s="11" t="s">
        <v>11</v>
      </c>
      <c r="E385" s="1"/>
      <c r="F385" s="1"/>
      <c r="G385" s="1"/>
      <c r="H385" s="1"/>
      <c r="I385" s="1"/>
    </row>
    <row r="386" spans="1:9" x14ac:dyDescent="0.2">
      <c r="A386" s="1"/>
      <c r="B386" s="9" t="s">
        <v>685</v>
      </c>
      <c r="C386" s="10" t="s">
        <v>686</v>
      </c>
      <c r="D386" s="11" t="s">
        <v>18</v>
      </c>
      <c r="E386" s="1"/>
      <c r="F386" s="1"/>
      <c r="G386" s="1"/>
      <c r="H386" s="1"/>
      <c r="I386" s="1"/>
    </row>
    <row r="387" spans="1:9" ht="29" x14ac:dyDescent="0.2">
      <c r="A387" s="1"/>
      <c r="B387" s="9" t="s">
        <v>687</v>
      </c>
      <c r="C387" s="10" t="s">
        <v>688</v>
      </c>
      <c r="D387" s="11" t="s">
        <v>229</v>
      </c>
      <c r="E387" s="1"/>
      <c r="F387" s="1"/>
      <c r="G387" s="1"/>
      <c r="H387" s="1"/>
      <c r="I387" s="1"/>
    </row>
    <row r="388" spans="1:9" x14ac:dyDescent="0.2">
      <c r="A388" s="1"/>
      <c r="B388" s="9" t="s">
        <v>689</v>
      </c>
      <c r="C388" s="10" t="s">
        <v>684</v>
      </c>
      <c r="D388" s="11" t="s">
        <v>13</v>
      </c>
      <c r="E388" s="1"/>
      <c r="F388" s="1"/>
      <c r="G388" s="1"/>
      <c r="H388" s="1"/>
      <c r="I388" s="1"/>
    </row>
    <row r="389" spans="1:9" x14ac:dyDescent="0.2">
      <c r="A389" s="1"/>
      <c r="B389" s="9" t="s">
        <v>690</v>
      </c>
      <c r="C389" s="10" t="s">
        <v>691</v>
      </c>
      <c r="D389" s="11" t="s">
        <v>22</v>
      </c>
      <c r="E389" s="1"/>
      <c r="F389" s="1"/>
      <c r="G389" s="1"/>
      <c r="H389" s="1"/>
      <c r="I389" s="1"/>
    </row>
    <row r="390" spans="1:9" x14ac:dyDescent="0.2">
      <c r="A390" s="1"/>
      <c r="B390" s="9" t="s">
        <v>692</v>
      </c>
      <c r="C390" s="10" t="s">
        <v>693</v>
      </c>
      <c r="D390" s="11" t="s">
        <v>694</v>
      </c>
      <c r="E390" s="1"/>
      <c r="F390" s="1"/>
      <c r="G390" s="1"/>
      <c r="H390" s="1"/>
      <c r="I390" s="1"/>
    </row>
    <row r="391" spans="1:9" ht="29" x14ac:dyDescent="0.2">
      <c r="A391" s="1"/>
      <c r="B391" s="9" t="s">
        <v>695</v>
      </c>
      <c r="C391" s="10" t="s">
        <v>696</v>
      </c>
      <c r="D391" s="11" t="s">
        <v>11</v>
      </c>
      <c r="E391" s="1"/>
      <c r="F391" s="1"/>
      <c r="G391" s="1"/>
      <c r="H391" s="1"/>
      <c r="I391" s="1"/>
    </row>
    <row r="392" spans="1:9" ht="29" x14ac:dyDescent="0.2">
      <c r="A392" s="1"/>
      <c r="B392" s="9" t="s">
        <v>697</v>
      </c>
      <c r="C392" s="10" t="s">
        <v>698</v>
      </c>
      <c r="D392" s="11" t="s">
        <v>18</v>
      </c>
      <c r="E392" s="1"/>
      <c r="F392" s="1"/>
      <c r="G392" s="1"/>
      <c r="H392" s="1"/>
      <c r="I392" s="1"/>
    </row>
    <row r="393" spans="1:9" ht="29" x14ac:dyDescent="0.2">
      <c r="A393" s="1"/>
      <c r="B393" s="9" t="s">
        <v>699</v>
      </c>
      <c r="C393" s="10" t="s">
        <v>696</v>
      </c>
      <c r="D393" s="11" t="s">
        <v>13</v>
      </c>
      <c r="E393" s="1"/>
      <c r="F393" s="1"/>
      <c r="G393" s="1"/>
      <c r="H393" s="1"/>
      <c r="I393" s="1"/>
    </row>
    <row r="394" spans="1:9" ht="29" x14ac:dyDescent="0.2">
      <c r="A394" s="1"/>
      <c r="B394" s="9" t="s">
        <v>700</v>
      </c>
      <c r="C394" s="10" t="s">
        <v>701</v>
      </c>
      <c r="D394" s="11" t="s">
        <v>22</v>
      </c>
      <c r="E394" s="1"/>
      <c r="F394" s="1"/>
      <c r="G394" s="1"/>
      <c r="H394" s="1"/>
      <c r="I394" s="1"/>
    </row>
    <row r="395" spans="1:9" ht="29" x14ac:dyDescent="0.2">
      <c r="A395" s="1"/>
      <c r="B395" s="9" t="s">
        <v>702</v>
      </c>
      <c r="C395" s="10" t="s">
        <v>703</v>
      </c>
      <c r="D395" s="11" t="s">
        <v>11</v>
      </c>
      <c r="E395" s="1"/>
      <c r="F395" s="1"/>
      <c r="G395" s="1"/>
      <c r="H395" s="1"/>
      <c r="I395" s="1"/>
    </row>
    <row r="396" spans="1:9" ht="29" x14ac:dyDescent="0.2">
      <c r="A396" s="1"/>
      <c r="B396" s="9" t="s">
        <v>704</v>
      </c>
      <c r="C396" s="10" t="s">
        <v>705</v>
      </c>
      <c r="D396" s="11" t="s">
        <v>11</v>
      </c>
      <c r="E396" s="1"/>
      <c r="F396" s="1"/>
      <c r="G396" s="1"/>
      <c r="H396" s="1"/>
      <c r="I396" s="1"/>
    </row>
    <row r="397" spans="1:9" ht="29" x14ac:dyDescent="0.2">
      <c r="A397" s="1"/>
      <c r="B397" s="9" t="s">
        <v>706</v>
      </c>
      <c r="C397" s="10" t="s">
        <v>707</v>
      </c>
      <c r="D397" s="11" t="s">
        <v>18</v>
      </c>
      <c r="E397" s="1"/>
      <c r="F397" s="1"/>
      <c r="G397" s="1"/>
      <c r="H397" s="1"/>
      <c r="I397" s="1"/>
    </row>
    <row r="398" spans="1:9" ht="29" x14ac:dyDescent="0.2">
      <c r="A398" s="1"/>
      <c r="B398" s="9" t="s">
        <v>708</v>
      </c>
      <c r="C398" s="10" t="s">
        <v>705</v>
      </c>
      <c r="D398" s="11" t="s">
        <v>13</v>
      </c>
      <c r="E398" s="1"/>
      <c r="F398" s="1"/>
      <c r="G398" s="1"/>
      <c r="H398" s="1"/>
      <c r="I398" s="1"/>
    </row>
    <row r="399" spans="1:9" ht="29" x14ac:dyDescent="0.2">
      <c r="A399" s="1"/>
      <c r="B399" s="9" t="s">
        <v>709</v>
      </c>
      <c r="C399" s="10" t="s">
        <v>710</v>
      </c>
      <c r="D399" s="11" t="s">
        <v>22</v>
      </c>
      <c r="E399" s="1"/>
      <c r="F399" s="1"/>
      <c r="G399" s="1"/>
      <c r="H399" s="1"/>
      <c r="I399" s="1"/>
    </row>
    <row r="400" spans="1:9" ht="29" x14ac:dyDescent="0.2">
      <c r="A400" s="1"/>
      <c r="B400" s="9" t="s">
        <v>711</v>
      </c>
      <c r="C400" s="10" t="s">
        <v>712</v>
      </c>
      <c r="D400" s="11" t="s">
        <v>11</v>
      </c>
      <c r="E400" s="1"/>
      <c r="F400" s="1"/>
      <c r="G400" s="1"/>
      <c r="H400" s="1"/>
      <c r="I400" s="1"/>
    </row>
    <row r="401" spans="1:9" ht="29" x14ac:dyDescent="0.2">
      <c r="A401" s="1"/>
      <c r="B401" s="9" t="s">
        <v>713</v>
      </c>
      <c r="C401" s="10" t="s">
        <v>712</v>
      </c>
      <c r="D401" s="11" t="s">
        <v>13</v>
      </c>
      <c r="E401" s="1"/>
      <c r="F401" s="1"/>
      <c r="G401" s="1"/>
      <c r="H401" s="1"/>
      <c r="I401" s="1"/>
    </row>
    <row r="402" spans="1:9" ht="29" x14ac:dyDescent="0.2">
      <c r="A402" s="1"/>
      <c r="B402" s="9" t="s">
        <v>714</v>
      </c>
      <c r="C402" s="10" t="s">
        <v>715</v>
      </c>
      <c r="D402" s="11" t="s">
        <v>11</v>
      </c>
      <c r="E402" s="1"/>
      <c r="F402" s="1"/>
      <c r="G402" s="1"/>
      <c r="H402" s="1"/>
      <c r="I402" s="1"/>
    </row>
    <row r="403" spans="1:9" ht="29" x14ac:dyDescent="0.2">
      <c r="A403" s="1"/>
      <c r="B403" s="9" t="s">
        <v>716</v>
      </c>
      <c r="C403" s="10" t="s">
        <v>717</v>
      </c>
      <c r="D403" s="11" t="s">
        <v>11</v>
      </c>
      <c r="E403" s="1"/>
      <c r="F403" s="1"/>
      <c r="G403" s="1"/>
      <c r="H403" s="1"/>
      <c r="I403" s="1"/>
    </row>
    <row r="404" spans="1:9" ht="29" x14ac:dyDescent="0.2">
      <c r="A404" s="1"/>
      <c r="B404" s="9" t="s">
        <v>718</v>
      </c>
      <c r="C404" s="10" t="s">
        <v>719</v>
      </c>
      <c r="D404" s="11" t="s">
        <v>18</v>
      </c>
      <c r="E404" s="1"/>
      <c r="F404" s="1"/>
      <c r="G404" s="1"/>
      <c r="H404" s="1"/>
      <c r="I404" s="1"/>
    </row>
    <row r="405" spans="1:9" ht="29" x14ac:dyDescent="0.2">
      <c r="A405" s="1"/>
      <c r="B405" s="9" t="s">
        <v>720</v>
      </c>
      <c r="C405" s="10" t="s">
        <v>721</v>
      </c>
      <c r="D405" s="11" t="s">
        <v>722</v>
      </c>
      <c r="E405" s="1"/>
      <c r="F405" s="1"/>
      <c r="G405" s="1"/>
      <c r="H405" s="1"/>
      <c r="I405" s="1"/>
    </row>
    <row r="406" spans="1:9" ht="29" x14ac:dyDescent="0.2">
      <c r="A406" s="1"/>
      <c r="B406" s="9" t="s">
        <v>723</v>
      </c>
      <c r="C406" s="10" t="s">
        <v>724</v>
      </c>
      <c r="D406" s="11" t="s">
        <v>22</v>
      </c>
      <c r="E406" s="1"/>
      <c r="F406" s="1"/>
      <c r="G406" s="1"/>
      <c r="H406" s="1"/>
      <c r="I406" s="1"/>
    </row>
    <row r="407" spans="1:9" ht="43" x14ac:dyDescent="0.2">
      <c r="A407" s="1"/>
      <c r="B407" s="9" t="s">
        <v>725</v>
      </c>
      <c r="C407" s="10" t="s">
        <v>726</v>
      </c>
      <c r="D407" s="11" t="s">
        <v>11</v>
      </c>
      <c r="E407" s="1"/>
      <c r="F407" s="1"/>
      <c r="G407" s="1"/>
      <c r="H407" s="1"/>
      <c r="I407" s="1"/>
    </row>
    <row r="408" spans="1:9" ht="43" x14ac:dyDescent="0.2">
      <c r="A408" s="1"/>
      <c r="B408" s="9" t="s">
        <v>727</v>
      </c>
      <c r="C408" s="10" t="s">
        <v>728</v>
      </c>
      <c r="D408" s="11" t="s">
        <v>11</v>
      </c>
      <c r="E408" s="1"/>
      <c r="F408" s="1"/>
      <c r="G408" s="1"/>
      <c r="H408" s="1"/>
      <c r="I408" s="1"/>
    </row>
    <row r="409" spans="1:9" ht="29" x14ac:dyDescent="0.2">
      <c r="A409" s="1"/>
      <c r="B409" s="9" t="s">
        <v>729</v>
      </c>
      <c r="C409" s="10" t="s">
        <v>730</v>
      </c>
      <c r="D409" s="11" t="s">
        <v>18</v>
      </c>
      <c r="E409" s="1"/>
      <c r="F409" s="1"/>
      <c r="G409" s="1"/>
      <c r="H409" s="1"/>
      <c r="I409" s="1"/>
    </row>
    <row r="410" spans="1:9" ht="43" x14ac:dyDescent="0.2">
      <c r="A410" s="1"/>
      <c r="B410" s="9" t="s">
        <v>731</v>
      </c>
      <c r="C410" s="10" t="s">
        <v>728</v>
      </c>
      <c r="D410" s="11" t="s">
        <v>722</v>
      </c>
      <c r="E410" s="1"/>
      <c r="F410" s="1"/>
      <c r="G410" s="1"/>
      <c r="H410" s="1"/>
      <c r="I410" s="1"/>
    </row>
    <row r="411" spans="1:9" ht="43" x14ac:dyDescent="0.2">
      <c r="A411" s="1"/>
      <c r="B411" s="9" t="s">
        <v>732</v>
      </c>
      <c r="C411" s="10" t="s">
        <v>733</v>
      </c>
      <c r="D411" s="11" t="s">
        <v>22</v>
      </c>
      <c r="E411" s="1"/>
      <c r="F411" s="1"/>
      <c r="G411" s="1"/>
      <c r="H411" s="1"/>
      <c r="I411" s="1"/>
    </row>
    <row r="412" spans="1:9" ht="43" x14ac:dyDescent="0.2">
      <c r="A412" s="1"/>
      <c r="B412" s="9" t="s">
        <v>734</v>
      </c>
      <c r="C412" s="10" t="s">
        <v>735</v>
      </c>
      <c r="D412" s="11" t="s">
        <v>11</v>
      </c>
      <c r="E412" s="1"/>
      <c r="F412" s="1"/>
      <c r="G412" s="1"/>
      <c r="H412" s="1"/>
      <c r="I412" s="1"/>
    </row>
    <row r="413" spans="1:9" ht="43" x14ac:dyDescent="0.2">
      <c r="A413" s="1"/>
      <c r="B413" s="9" t="s">
        <v>736</v>
      </c>
      <c r="C413" s="10" t="s">
        <v>737</v>
      </c>
      <c r="D413" s="11" t="s">
        <v>18</v>
      </c>
      <c r="E413" s="2"/>
      <c r="F413" s="1"/>
      <c r="G413" s="1"/>
      <c r="H413" s="1"/>
      <c r="I413" s="1"/>
    </row>
    <row r="414" spans="1:9" ht="43" x14ac:dyDescent="0.2">
      <c r="A414" s="1"/>
      <c r="B414" s="9" t="s">
        <v>738</v>
      </c>
      <c r="C414" s="10" t="s">
        <v>739</v>
      </c>
      <c r="D414" s="11" t="s">
        <v>740</v>
      </c>
      <c r="E414" s="1"/>
      <c r="F414" s="1"/>
      <c r="G414" s="1"/>
      <c r="H414" s="1"/>
      <c r="I414" s="1"/>
    </row>
    <row r="415" spans="1:9" ht="43" x14ac:dyDescent="0.2">
      <c r="A415" s="1"/>
      <c r="B415" s="9" t="s">
        <v>741</v>
      </c>
      <c r="C415" s="10" t="s">
        <v>735</v>
      </c>
      <c r="D415" s="11" t="s">
        <v>722</v>
      </c>
      <c r="E415" s="1"/>
      <c r="F415" s="1"/>
      <c r="G415" s="2"/>
      <c r="H415" s="2"/>
      <c r="I415" s="2"/>
    </row>
    <row r="416" spans="1:9" ht="43" x14ac:dyDescent="0.2">
      <c r="A416" s="1"/>
      <c r="B416" s="9" t="s">
        <v>742</v>
      </c>
      <c r="C416" s="10" t="s">
        <v>743</v>
      </c>
      <c r="D416" s="11" t="s">
        <v>22</v>
      </c>
      <c r="E416" s="1"/>
      <c r="F416" s="1"/>
      <c r="G416" s="2"/>
      <c r="H416" s="2"/>
      <c r="I416" s="2"/>
    </row>
    <row r="417" spans="1:9" ht="29" x14ac:dyDescent="0.2">
      <c r="A417" s="1"/>
      <c r="B417" s="9" t="s">
        <v>744</v>
      </c>
      <c r="C417" s="10" t="s">
        <v>745</v>
      </c>
      <c r="D417" s="11" t="s">
        <v>107</v>
      </c>
      <c r="E417" s="1"/>
      <c r="F417" s="1"/>
      <c r="G417" s="2"/>
      <c r="H417" s="2"/>
      <c r="I417" s="2"/>
    </row>
    <row r="418" spans="1:9" ht="43" x14ac:dyDescent="0.2">
      <c r="A418" s="1"/>
      <c r="B418" s="9" t="s">
        <v>746</v>
      </c>
      <c r="C418" s="10" t="s">
        <v>747</v>
      </c>
      <c r="D418" s="11" t="s">
        <v>11</v>
      </c>
      <c r="E418" s="1"/>
      <c r="F418" s="1"/>
      <c r="G418" s="2"/>
      <c r="H418" s="2"/>
      <c r="I418" s="2"/>
    </row>
    <row r="419" spans="1:9" ht="29" x14ac:dyDescent="0.2">
      <c r="A419" s="1"/>
      <c r="B419" s="9" t="s">
        <v>748</v>
      </c>
      <c r="C419" s="10" t="s">
        <v>749</v>
      </c>
      <c r="D419" s="11" t="s">
        <v>18</v>
      </c>
      <c r="E419" s="1"/>
      <c r="F419" s="1"/>
      <c r="G419" s="1"/>
      <c r="H419" s="1"/>
      <c r="I419" s="1"/>
    </row>
    <row r="420" spans="1:9" ht="43" x14ac:dyDescent="0.2">
      <c r="A420" s="1"/>
      <c r="B420" s="9" t="s">
        <v>750</v>
      </c>
      <c r="C420" s="10" t="s">
        <v>747</v>
      </c>
      <c r="D420" s="11" t="s">
        <v>722</v>
      </c>
      <c r="E420" s="1"/>
      <c r="F420" s="1"/>
      <c r="G420" s="1"/>
      <c r="H420" s="1"/>
      <c r="I420" s="1"/>
    </row>
    <row r="421" spans="1:9" ht="43" x14ac:dyDescent="0.2">
      <c r="A421" s="2"/>
      <c r="B421" s="9" t="s">
        <v>751</v>
      </c>
      <c r="C421" s="10" t="s">
        <v>752</v>
      </c>
      <c r="D421" s="11" t="s">
        <v>22</v>
      </c>
      <c r="E421" s="1"/>
      <c r="F421" s="1"/>
      <c r="G421" s="1"/>
      <c r="H421" s="1"/>
      <c r="I421" s="1"/>
    </row>
    <row r="422" spans="1:9" ht="29" x14ac:dyDescent="0.2">
      <c r="A422" s="2"/>
      <c r="B422" s="9" t="s">
        <v>753</v>
      </c>
      <c r="C422" s="10" t="s">
        <v>754</v>
      </c>
      <c r="D422" s="11" t="s">
        <v>11</v>
      </c>
      <c r="E422" s="1"/>
      <c r="F422" s="1"/>
      <c r="G422" s="1"/>
      <c r="H422" s="1"/>
      <c r="I422" s="1"/>
    </row>
    <row r="423" spans="1:9" ht="29" x14ac:dyDescent="0.2">
      <c r="A423" s="1"/>
      <c r="B423" s="9" t="s">
        <v>755</v>
      </c>
      <c r="C423" s="10" t="s">
        <v>756</v>
      </c>
      <c r="D423" s="11" t="s">
        <v>11</v>
      </c>
      <c r="E423" s="1"/>
      <c r="F423" s="1"/>
      <c r="G423" s="1"/>
      <c r="H423" s="1"/>
      <c r="I423" s="1"/>
    </row>
    <row r="424" spans="1:9" x14ac:dyDescent="0.2">
      <c r="A424" s="1"/>
      <c r="B424" s="9" t="s">
        <v>757</v>
      </c>
      <c r="C424" s="10" t="s">
        <v>758</v>
      </c>
      <c r="D424" s="11" t="s">
        <v>11</v>
      </c>
      <c r="E424" s="1"/>
      <c r="F424" s="1"/>
      <c r="G424" s="1"/>
      <c r="H424" s="1"/>
      <c r="I424" s="1"/>
    </row>
    <row r="425" spans="1:9" ht="29" x14ac:dyDescent="0.2">
      <c r="A425" s="1"/>
      <c r="B425" s="9" t="s">
        <v>759</v>
      </c>
      <c r="C425" s="10" t="s">
        <v>760</v>
      </c>
      <c r="D425" s="11" t="s">
        <v>761</v>
      </c>
      <c r="E425" s="1"/>
      <c r="F425" s="1"/>
      <c r="G425" s="1"/>
      <c r="H425" s="1"/>
      <c r="I425" s="1"/>
    </row>
    <row r="426" spans="1:9" x14ac:dyDescent="0.2">
      <c r="A426" s="1"/>
      <c r="B426" s="9" t="s">
        <v>762</v>
      </c>
      <c r="C426" s="10" t="s">
        <v>758</v>
      </c>
      <c r="D426" s="11" t="s">
        <v>722</v>
      </c>
      <c r="E426" s="1"/>
      <c r="F426" s="1"/>
      <c r="G426" s="1"/>
      <c r="H426" s="1"/>
      <c r="I426" s="1"/>
    </row>
    <row r="427" spans="1:9" ht="29" x14ac:dyDescent="0.2">
      <c r="A427" s="1"/>
      <c r="B427" s="9" t="s">
        <v>763</v>
      </c>
      <c r="C427" s="10" t="s">
        <v>764</v>
      </c>
      <c r="D427" s="11" t="s">
        <v>11</v>
      </c>
      <c r="E427" s="2"/>
      <c r="F427" s="1"/>
      <c r="G427" s="1"/>
      <c r="H427" s="1"/>
      <c r="I427" s="1"/>
    </row>
    <row r="428" spans="1:9" ht="43" x14ac:dyDescent="0.2">
      <c r="A428" s="1"/>
      <c r="B428" s="9" t="s">
        <v>765</v>
      </c>
      <c r="C428" s="10" t="s">
        <v>766</v>
      </c>
      <c r="D428" s="11" t="s">
        <v>11</v>
      </c>
      <c r="E428" s="1"/>
      <c r="F428" s="1"/>
      <c r="G428" s="1"/>
      <c r="H428" s="1"/>
      <c r="I428" s="1"/>
    </row>
    <row r="429" spans="1:9" ht="29" x14ac:dyDescent="0.2">
      <c r="A429" s="1"/>
      <c r="B429" s="9" t="s">
        <v>767</v>
      </c>
      <c r="C429" s="10" t="s">
        <v>768</v>
      </c>
      <c r="D429" s="11" t="s">
        <v>18</v>
      </c>
      <c r="E429" s="1"/>
      <c r="F429" s="1"/>
      <c r="G429" s="1"/>
      <c r="H429" s="1"/>
      <c r="I429" s="1"/>
    </row>
    <row r="430" spans="1:9" ht="43" x14ac:dyDescent="0.2">
      <c r="A430" s="1"/>
      <c r="B430" s="9" t="s">
        <v>769</v>
      </c>
      <c r="C430" s="10" t="s">
        <v>766</v>
      </c>
      <c r="D430" s="11" t="s">
        <v>722</v>
      </c>
      <c r="E430" s="1"/>
      <c r="F430" s="1"/>
      <c r="G430" s="1"/>
      <c r="H430" s="1"/>
      <c r="I430" s="1"/>
    </row>
    <row r="431" spans="1:9" ht="43" x14ac:dyDescent="0.2">
      <c r="A431" s="1"/>
      <c r="B431" s="9" t="s">
        <v>770</v>
      </c>
      <c r="C431" s="10" t="s">
        <v>771</v>
      </c>
      <c r="D431" s="11" t="s">
        <v>22</v>
      </c>
      <c r="E431" s="1"/>
      <c r="F431" s="1"/>
      <c r="G431" s="1"/>
      <c r="H431" s="1"/>
      <c r="I431" s="1"/>
    </row>
    <row r="432" spans="1:9" x14ac:dyDescent="0.2">
      <c r="A432" s="1"/>
      <c r="B432" s="9" t="s">
        <v>772</v>
      </c>
      <c r="C432" s="10" t="s">
        <v>773</v>
      </c>
      <c r="D432" s="11" t="s">
        <v>11</v>
      </c>
      <c r="E432" s="1"/>
      <c r="F432" s="1"/>
      <c r="G432" s="1"/>
      <c r="H432" s="1"/>
      <c r="I432" s="1"/>
    </row>
    <row r="433" spans="1:9" ht="29" x14ac:dyDescent="0.2">
      <c r="A433" s="1"/>
      <c r="B433" s="9" t="s">
        <v>774</v>
      </c>
      <c r="C433" s="10" t="s">
        <v>775</v>
      </c>
      <c r="D433" s="11" t="s">
        <v>11</v>
      </c>
      <c r="E433" s="1"/>
      <c r="F433" s="1"/>
      <c r="G433" s="1"/>
      <c r="H433" s="1"/>
      <c r="I433" s="1"/>
    </row>
    <row r="434" spans="1:9" ht="29" x14ac:dyDescent="0.2">
      <c r="A434" s="1"/>
      <c r="B434" s="9" t="s">
        <v>776</v>
      </c>
      <c r="C434" s="10" t="s">
        <v>777</v>
      </c>
      <c r="D434" s="11" t="s">
        <v>11</v>
      </c>
      <c r="E434" s="1"/>
      <c r="F434" s="1"/>
      <c r="G434" s="1"/>
      <c r="H434" s="1"/>
      <c r="I434" s="1"/>
    </row>
    <row r="435" spans="1:9" ht="29" x14ac:dyDescent="0.2">
      <c r="A435" s="1"/>
      <c r="B435" s="9" t="s">
        <v>778</v>
      </c>
      <c r="C435" s="10" t="s">
        <v>779</v>
      </c>
      <c r="D435" s="11" t="s">
        <v>18</v>
      </c>
      <c r="E435" s="1"/>
      <c r="F435" s="1"/>
      <c r="G435" s="1"/>
      <c r="H435" s="1"/>
      <c r="I435" s="1"/>
    </row>
    <row r="436" spans="1:9" ht="29" x14ac:dyDescent="0.2">
      <c r="A436" s="1"/>
      <c r="B436" s="9" t="s">
        <v>780</v>
      </c>
      <c r="C436" s="10" t="s">
        <v>781</v>
      </c>
      <c r="D436" s="11" t="s">
        <v>740</v>
      </c>
      <c r="E436" s="1"/>
      <c r="F436" s="1"/>
      <c r="G436" s="1"/>
      <c r="H436" s="1"/>
      <c r="I436" s="1"/>
    </row>
    <row r="437" spans="1:9" ht="29" x14ac:dyDescent="0.2">
      <c r="A437" s="1"/>
      <c r="B437" s="9" t="s">
        <v>782</v>
      </c>
      <c r="C437" s="10" t="s">
        <v>777</v>
      </c>
      <c r="D437" s="11" t="s">
        <v>722</v>
      </c>
      <c r="E437" s="1"/>
      <c r="F437" s="1"/>
      <c r="G437" s="1"/>
      <c r="H437" s="1"/>
      <c r="I437" s="1"/>
    </row>
    <row r="438" spans="1:9" ht="29" x14ac:dyDescent="0.2">
      <c r="A438" s="1"/>
      <c r="B438" s="9" t="s">
        <v>783</v>
      </c>
      <c r="C438" s="10" t="s">
        <v>784</v>
      </c>
      <c r="D438" s="11" t="s">
        <v>22</v>
      </c>
      <c r="E438" s="1"/>
      <c r="F438" s="1"/>
      <c r="G438" s="1"/>
      <c r="H438" s="1"/>
      <c r="I438" s="1"/>
    </row>
    <row r="439" spans="1:9" x14ac:dyDescent="0.2">
      <c r="A439" s="1"/>
      <c r="B439" s="9" t="s">
        <v>785</v>
      </c>
      <c r="C439" s="10" t="s">
        <v>786</v>
      </c>
      <c r="D439" s="11" t="s">
        <v>787</v>
      </c>
      <c r="E439" s="1"/>
      <c r="F439" s="1"/>
      <c r="G439" s="1"/>
      <c r="H439" s="1"/>
      <c r="I439" s="1"/>
    </row>
    <row r="440" spans="1:9" x14ac:dyDescent="0.2">
      <c r="A440" s="1"/>
      <c r="B440" s="9" t="s">
        <v>788</v>
      </c>
      <c r="C440" s="10" t="s">
        <v>786</v>
      </c>
      <c r="D440" s="11" t="s">
        <v>789</v>
      </c>
      <c r="E440" s="1"/>
      <c r="F440" s="1"/>
      <c r="G440" s="1"/>
      <c r="H440" s="1"/>
      <c r="I440" s="1"/>
    </row>
    <row r="441" spans="1:9" ht="29" x14ac:dyDescent="0.2">
      <c r="A441" s="1"/>
      <c r="B441" s="9" t="s">
        <v>790</v>
      </c>
      <c r="C441" s="10" t="s">
        <v>791</v>
      </c>
      <c r="D441" s="11" t="s">
        <v>11</v>
      </c>
      <c r="E441" s="1"/>
      <c r="F441" s="1"/>
      <c r="G441" s="1"/>
      <c r="H441" s="1"/>
      <c r="I441" s="1"/>
    </row>
    <row r="442" spans="1:9" ht="43" x14ac:dyDescent="0.2">
      <c r="A442" s="1"/>
      <c r="B442" s="9" t="s">
        <v>792</v>
      </c>
      <c r="C442" s="10" t="s">
        <v>793</v>
      </c>
      <c r="D442" s="11" t="s">
        <v>18</v>
      </c>
      <c r="E442" s="1"/>
      <c r="F442" s="1"/>
      <c r="G442" s="1"/>
      <c r="H442" s="1"/>
      <c r="I442" s="1"/>
    </row>
    <row r="443" spans="1:9" ht="29" x14ac:dyDescent="0.2">
      <c r="A443" s="1"/>
      <c r="B443" s="9" t="s">
        <v>794</v>
      </c>
      <c r="C443" s="10" t="s">
        <v>795</v>
      </c>
      <c r="D443" s="11" t="s">
        <v>740</v>
      </c>
      <c r="E443" s="1"/>
      <c r="F443" s="1"/>
      <c r="G443" s="1"/>
      <c r="H443" s="1"/>
      <c r="I443" s="1"/>
    </row>
    <row r="444" spans="1:9" ht="29" x14ac:dyDescent="0.2">
      <c r="A444" s="1"/>
      <c r="B444" s="9" t="s">
        <v>796</v>
      </c>
      <c r="C444" s="10" t="s">
        <v>791</v>
      </c>
      <c r="D444" s="11" t="s">
        <v>722</v>
      </c>
      <c r="E444" s="1"/>
      <c r="F444" s="1"/>
      <c r="G444" s="1"/>
      <c r="H444" s="1"/>
      <c r="I444" s="1"/>
    </row>
    <row r="445" spans="1:9" ht="29" x14ac:dyDescent="0.2">
      <c r="A445" s="1"/>
      <c r="B445" s="9" t="s">
        <v>797</v>
      </c>
      <c r="C445" s="10" t="s">
        <v>798</v>
      </c>
      <c r="D445" s="11" t="s">
        <v>22</v>
      </c>
      <c r="E445" s="1"/>
      <c r="F445" s="1"/>
      <c r="G445" s="1"/>
      <c r="H445" s="1"/>
      <c r="I445" s="1"/>
    </row>
    <row r="446" spans="1:9" ht="29" x14ac:dyDescent="0.2">
      <c r="A446" s="1"/>
      <c r="B446" s="9" t="s">
        <v>799</v>
      </c>
      <c r="C446" s="10" t="s">
        <v>800</v>
      </c>
      <c r="D446" s="11" t="s">
        <v>11</v>
      </c>
      <c r="E446" s="1"/>
      <c r="F446" s="1"/>
      <c r="G446" s="1"/>
      <c r="H446" s="1"/>
      <c r="I446" s="1"/>
    </row>
    <row r="447" spans="1:9" ht="29" x14ac:dyDescent="0.2">
      <c r="A447" s="1"/>
      <c r="B447" s="9" t="s">
        <v>801</v>
      </c>
      <c r="C447" s="10" t="s">
        <v>802</v>
      </c>
      <c r="D447" s="11" t="s">
        <v>11</v>
      </c>
      <c r="E447" s="1"/>
      <c r="F447" s="1"/>
      <c r="G447" s="1"/>
      <c r="H447" s="1"/>
      <c r="I447" s="1"/>
    </row>
    <row r="448" spans="1:9" ht="29" x14ac:dyDescent="0.2">
      <c r="A448" s="1"/>
      <c r="B448" s="9" t="s">
        <v>803</v>
      </c>
      <c r="C448" s="10" t="s">
        <v>804</v>
      </c>
      <c r="D448" s="11" t="s">
        <v>18</v>
      </c>
      <c r="E448" s="1"/>
      <c r="F448" s="1"/>
      <c r="G448" s="1"/>
      <c r="H448" s="1"/>
      <c r="I448" s="1"/>
    </row>
    <row r="449" spans="1:9" ht="29" x14ac:dyDescent="0.2">
      <c r="A449" s="1"/>
      <c r="B449" s="9" t="s">
        <v>805</v>
      </c>
      <c r="C449" s="10" t="s">
        <v>806</v>
      </c>
      <c r="D449" s="11" t="s">
        <v>308</v>
      </c>
      <c r="E449" s="1"/>
      <c r="F449" s="1"/>
      <c r="G449" s="1"/>
      <c r="H449" s="1"/>
      <c r="I449" s="1"/>
    </row>
    <row r="450" spans="1:9" ht="29" x14ac:dyDescent="0.2">
      <c r="A450" s="1"/>
      <c r="B450" s="9" t="s">
        <v>807</v>
      </c>
      <c r="C450" s="10" t="s">
        <v>808</v>
      </c>
      <c r="D450" s="11" t="s">
        <v>22</v>
      </c>
      <c r="E450" s="1"/>
      <c r="F450" s="1"/>
      <c r="G450" s="1"/>
      <c r="H450" s="1"/>
      <c r="I450" s="1"/>
    </row>
    <row r="451" spans="1:9" ht="29" x14ac:dyDescent="0.2">
      <c r="A451" s="1"/>
      <c r="B451" s="9" t="s">
        <v>809</v>
      </c>
      <c r="C451" s="10" t="s">
        <v>810</v>
      </c>
      <c r="D451" s="11" t="s">
        <v>11</v>
      </c>
      <c r="E451" s="1"/>
      <c r="F451" s="1"/>
      <c r="G451" s="1"/>
      <c r="H451" s="1"/>
      <c r="I451" s="1"/>
    </row>
    <row r="452" spans="1:9" x14ac:dyDescent="0.2">
      <c r="A452" s="1"/>
      <c r="B452" s="9" t="s">
        <v>811</v>
      </c>
      <c r="C452" s="10" t="s">
        <v>812</v>
      </c>
      <c r="D452" s="11" t="s">
        <v>18</v>
      </c>
      <c r="E452" s="1"/>
      <c r="F452" s="1"/>
      <c r="G452" s="1"/>
      <c r="H452" s="1"/>
      <c r="I452" s="1"/>
    </row>
    <row r="453" spans="1:9" ht="43" x14ac:dyDescent="0.2">
      <c r="A453" s="1"/>
      <c r="B453" s="9" t="s">
        <v>813</v>
      </c>
      <c r="C453" s="10" t="s">
        <v>814</v>
      </c>
      <c r="D453" s="11" t="s">
        <v>426</v>
      </c>
      <c r="E453" s="1"/>
      <c r="F453" s="1"/>
      <c r="G453" s="1"/>
      <c r="H453" s="1"/>
      <c r="I453" s="1"/>
    </row>
    <row r="454" spans="1:9" x14ac:dyDescent="0.2">
      <c r="A454" s="1"/>
      <c r="B454" s="9" t="s">
        <v>815</v>
      </c>
      <c r="C454" s="10" t="s">
        <v>816</v>
      </c>
      <c r="D454" s="11" t="s">
        <v>308</v>
      </c>
      <c r="E454" s="1"/>
      <c r="F454" s="1"/>
      <c r="G454" s="1"/>
      <c r="H454" s="1"/>
      <c r="I454" s="1"/>
    </row>
    <row r="455" spans="1:9" x14ac:dyDescent="0.2">
      <c r="A455" s="1"/>
      <c r="B455" s="9" t="s">
        <v>817</v>
      </c>
      <c r="C455" s="10" t="s">
        <v>818</v>
      </c>
      <c r="D455" s="11" t="s">
        <v>22</v>
      </c>
      <c r="E455" s="1"/>
      <c r="F455" s="1"/>
      <c r="G455" s="1"/>
      <c r="H455" s="1"/>
      <c r="I455" s="1"/>
    </row>
    <row r="456" spans="1:9" ht="29" x14ac:dyDescent="0.2">
      <c r="A456" s="1"/>
      <c r="B456" s="9" t="s">
        <v>819</v>
      </c>
      <c r="C456" s="10" t="s">
        <v>820</v>
      </c>
      <c r="D456" s="11" t="s">
        <v>107</v>
      </c>
      <c r="E456" s="1"/>
      <c r="F456" s="1"/>
      <c r="G456" s="1"/>
      <c r="H456" s="1"/>
      <c r="I456" s="1"/>
    </row>
    <row r="457" spans="1:9" ht="43" x14ac:dyDescent="0.2">
      <c r="A457" s="1"/>
      <c r="B457" s="9" t="s">
        <v>821</v>
      </c>
      <c r="C457" s="10" t="s">
        <v>822</v>
      </c>
      <c r="D457" s="11" t="s">
        <v>11</v>
      </c>
      <c r="E457" s="1"/>
      <c r="F457" s="1"/>
      <c r="G457" s="1"/>
      <c r="H457" s="1"/>
      <c r="I457" s="1"/>
    </row>
    <row r="458" spans="1:9" ht="29" x14ac:dyDescent="0.2">
      <c r="A458" s="1"/>
      <c r="B458" s="9" t="s">
        <v>823</v>
      </c>
      <c r="C458" s="10" t="s">
        <v>824</v>
      </c>
      <c r="D458" s="11" t="s">
        <v>107</v>
      </c>
      <c r="E458" s="1"/>
      <c r="F458" s="1"/>
      <c r="G458" s="1"/>
      <c r="H458" s="1"/>
      <c r="I458" s="1"/>
    </row>
    <row r="459" spans="1:9" ht="29" x14ac:dyDescent="0.2">
      <c r="A459" s="1"/>
      <c r="B459" s="9" t="s">
        <v>825</v>
      </c>
      <c r="C459" s="10" t="s">
        <v>826</v>
      </c>
      <c r="D459" s="11" t="s">
        <v>11</v>
      </c>
      <c r="E459" s="1"/>
      <c r="F459" s="1"/>
      <c r="G459" s="1"/>
      <c r="H459" s="1"/>
      <c r="I459" s="1"/>
    </row>
    <row r="460" spans="1:9" ht="29" x14ac:dyDescent="0.2">
      <c r="A460" s="1"/>
      <c r="B460" s="9" t="s">
        <v>827</v>
      </c>
      <c r="C460" s="10" t="s">
        <v>828</v>
      </c>
      <c r="D460" s="11" t="s">
        <v>11</v>
      </c>
      <c r="E460" s="1"/>
      <c r="F460" s="1"/>
      <c r="G460" s="1"/>
      <c r="H460" s="1"/>
      <c r="I460" s="1"/>
    </row>
    <row r="461" spans="1:9" ht="29" x14ac:dyDescent="0.2">
      <c r="A461" s="1"/>
      <c r="B461" s="9" t="s">
        <v>829</v>
      </c>
      <c r="C461" s="10" t="s">
        <v>828</v>
      </c>
      <c r="D461" s="11" t="s">
        <v>13</v>
      </c>
      <c r="E461" s="1"/>
      <c r="F461" s="1"/>
      <c r="G461" s="1"/>
      <c r="H461" s="1"/>
      <c r="I461" s="1"/>
    </row>
    <row r="462" spans="1:9" ht="29" x14ac:dyDescent="0.2">
      <c r="A462" s="1"/>
      <c r="B462" s="9" t="s">
        <v>830</v>
      </c>
      <c r="C462" s="10" t="s">
        <v>831</v>
      </c>
      <c r="D462" s="11" t="s">
        <v>18</v>
      </c>
      <c r="E462" s="1"/>
      <c r="F462" s="1"/>
      <c r="G462" s="1"/>
      <c r="H462" s="1"/>
      <c r="I462" s="1"/>
    </row>
    <row r="463" spans="1:9" ht="43" x14ac:dyDescent="0.2">
      <c r="A463" s="1"/>
      <c r="B463" s="9" t="s">
        <v>832</v>
      </c>
      <c r="C463" s="10" t="s">
        <v>833</v>
      </c>
      <c r="D463" s="11" t="s">
        <v>22</v>
      </c>
      <c r="E463" s="1"/>
      <c r="F463" s="1"/>
      <c r="G463" s="2"/>
      <c r="H463" s="2"/>
      <c r="I463" s="2"/>
    </row>
    <row r="464" spans="1:9" ht="29" x14ac:dyDescent="0.2">
      <c r="A464" s="1"/>
      <c r="B464" s="9" t="s">
        <v>834</v>
      </c>
      <c r="C464" s="10" t="s">
        <v>835</v>
      </c>
      <c r="D464" s="11" t="s">
        <v>11</v>
      </c>
      <c r="E464" s="1"/>
      <c r="F464" s="1"/>
      <c r="G464" s="2"/>
      <c r="H464" s="2"/>
      <c r="I464" s="2"/>
    </row>
    <row r="465" spans="1:9" ht="29" x14ac:dyDescent="0.2">
      <c r="A465" s="1"/>
      <c r="B465" s="9" t="s">
        <v>836</v>
      </c>
      <c r="C465" s="10" t="s">
        <v>837</v>
      </c>
      <c r="D465" s="11" t="s">
        <v>18</v>
      </c>
      <c r="E465" s="1"/>
      <c r="F465" s="1"/>
      <c r="G465" s="2"/>
      <c r="H465" s="2"/>
      <c r="I465" s="2"/>
    </row>
    <row r="466" spans="1:9" ht="29" x14ac:dyDescent="0.2">
      <c r="A466" s="1"/>
      <c r="B466" s="9" t="s">
        <v>838</v>
      </c>
      <c r="C466" s="10" t="s">
        <v>835</v>
      </c>
      <c r="D466" s="11" t="s">
        <v>13</v>
      </c>
      <c r="E466" s="1"/>
      <c r="F466" s="1"/>
      <c r="G466" s="1"/>
      <c r="H466" s="1"/>
      <c r="I466" s="1"/>
    </row>
    <row r="467" spans="1:9" ht="29" x14ac:dyDescent="0.2">
      <c r="A467" s="1"/>
      <c r="B467" s="9" t="s">
        <v>839</v>
      </c>
      <c r="C467" s="10" t="s">
        <v>840</v>
      </c>
      <c r="D467" s="11" t="s">
        <v>22</v>
      </c>
      <c r="E467" s="1"/>
      <c r="F467" s="1"/>
      <c r="G467" s="1"/>
      <c r="H467" s="1"/>
      <c r="I467" s="1"/>
    </row>
    <row r="468" spans="1:9" ht="43" x14ac:dyDescent="0.2">
      <c r="A468" s="1"/>
      <c r="B468" s="9" t="s">
        <v>841</v>
      </c>
      <c r="C468" s="10" t="s">
        <v>842</v>
      </c>
      <c r="D468" s="11" t="s">
        <v>11</v>
      </c>
      <c r="E468" s="1"/>
      <c r="F468" s="1"/>
      <c r="G468" s="1"/>
      <c r="H468" s="1"/>
      <c r="I468" s="1"/>
    </row>
    <row r="469" spans="1:9" ht="43" x14ac:dyDescent="0.2">
      <c r="A469" s="1"/>
      <c r="B469" s="9" t="s">
        <v>843</v>
      </c>
      <c r="C469" s="10" t="s">
        <v>844</v>
      </c>
      <c r="D469" s="11" t="s">
        <v>11</v>
      </c>
      <c r="E469" s="1"/>
      <c r="F469" s="1"/>
      <c r="G469" s="1"/>
      <c r="H469" s="1"/>
      <c r="I469" s="1"/>
    </row>
    <row r="470" spans="1:9" ht="29" x14ac:dyDescent="0.2">
      <c r="A470" s="1"/>
      <c r="B470" s="9" t="s">
        <v>845</v>
      </c>
      <c r="C470" s="10" t="s">
        <v>846</v>
      </c>
      <c r="D470" s="11" t="s">
        <v>11</v>
      </c>
      <c r="E470" s="1"/>
      <c r="F470" s="1"/>
      <c r="G470" s="1"/>
      <c r="H470" s="1"/>
      <c r="I470" s="1"/>
    </row>
    <row r="471" spans="1:9" ht="29" x14ac:dyDescent="0.2">
      <c r="A471" s="1"/>
      <c r="B471" s="9" t="s">
        <v>847</v>
      </c>
      <c r="C471" s="10" t="s">
        <v>848</v>
      </c>
      <c r="D471" s="11" t="s">
        <v>18</v>
      </c>
      <c r="E471" s="1"/>
      <c r="F471" s="1"/>
      <c r="G471" s="1"/>
      <c r="H471" s="1"/>
      <c r="I471" s="1"/>
    </row>
    <row r="472" spans="1:9" ht="29" x14ac:dyDescent="0.2">
      <c r="A472" s="1"/>
      <c r="B472" s="9" t="s">
        <v>849</v>
      </c>
      <c r="C472" s="10" t="s">
        <v>846</v>
      </c>
      <c r="D472" s="11" t="s">
        <v>13</v>
      </c>
      <c r="E472" s="1"/>
      <c r="F472" s="1"/>
      <c r="G472" s="1"/>
      <c r="H472" s="1"/>
      <c r="I472" s="1"/>
    </row>
    <row r="473" spans="1:9" ht="29" x14ac:dyDescent="0.2">
      <c r="A473" s="1"/>
      <c r="B473" s="9" t="s">
        <v>850</v>
      </c>
      <c r="C473" s="10" t="s">
        <v>851</v>
      </c>
      <c r="D473" s="11" t="s">
        <v>22</v>
      </c>
      <c r="E473" s="1"/>
      <c r="F473" s="1"/>
      <c r="G473" s="1"/>
      <c r="H473" s="1"/>
      <c r="I473" s="1"/>
    </row>
    <row r="474" spans="1:9" ht="29" x14ac:dyDescent="0.2">
      <c r="A474" s="1"/>
      <c r="B474" s="9" t="s">
        <v>852</v>
      </c>
      <c r="C474" s="10" t="s">
        <v>853</v>
      </c>
      <c r="D474" s="11" t="s">
        <v>11</v>
      </c>
      <c r="E474" s="1"/>
      <c r="F474" s="1"/>
      <c r="G474" s="1"/>
      <c r="H474" s="1"/>
      <c r="I474" s="1"/>
    </row>
    <row r="475" spans="1:9" ht="29" x14ac:dyDescent="0.2">
      <c r="A475" s="1"/>
      <c r="B475" s="9" t="s">
        <v>854</v>
      </c>
      <c r="C475" s="10" t="s">
        <v>855</v>
      </c>
      <c r="D475" s="11" t="s">
        <v>18</v>
      </c>
      <c r="E475" s="1"/>
      <c r="F475" s="1"/>
      <c r="G475" s="1"/>
      <c r="H475" s="1"/>
      <c r="I475" s="1"/>
    </row>
    <row r="476" spans="1:9" ht="29" x14ac:dyDescent="0.2">
      <c r="A476" s="1"/>
      <c r="B476" s="9" t="s">
        <v>856</v>
      </c>
      <c r="C476" s="10" t="s">
        <v>853</v>
      </c>
      <c r="D476" s="11" t="s">
        <v>13</v>
      </c>
      <c r="E476" s="1"/>
      <c r="F476" s="1"/>
      <c r="G476" s="1"/>
      <c r="H476" s="1"/>
      <c r="I476" s="1"/>
    </row>
    <row r="477" spans="1:9" ht="29" x14ac:dyDescent="0.2">
      <c r="A477" s="1"/>
      <c r="B477" s="9" t="s">
        <v>857</v>
      </c>
      <c r="C477" s="10" t="s">
        <v>858</v>
      </c>
      <c r="D477" s="11" t="s">
        <v>22</v>
      </c>
      <c r="E477" s="1"/>
      <c r="F477" s="1"/>
      <c r="G477" s="1"/>
      <c r="H477" s="1"/>
      <c r="I477" s="1"/>
    </row>
    <row r="478" spans="1:9" ht="29" x14ac:dyDescent="0.2">
      <c r="A478" s="1"/>
      <c r="B478" s="9" t="s">
        <v>859</v>
      </c>
      <c r="C478" s="10" t="s">
        <v>860</v>
      </c>
      <c r="D478" s="11" t="s">
        <v>107</v>
      </c>
      <c r="E478" s="1"/>
      <c r="F478" s="1"/>
      <c r="G478" s="1"/>
      <c r="H478" s="1"/>
      <c r="I478" s="1"/>
    </row>
    <row r="479" spans="1:9" x14ac:dyDescent="0.2">
      <c r="A479" s="1"/>
      <c r="B479" s="9" t="s">
        <v>861</v>
      </c>
      <c r="C479" s="16" t="s">
        <v>862</v>
      </c>
      <c r="D479" s="11" t="s">
        <v>11</v>
      </c>
      <c r="E479" s="1"/>
      <c r="F479" s="1"/>
      <c r="G479" s="1"/>
      <c r="H479" s="1"/>
      <c r="I479" s="1"/>
    </row>
    <row r="480" spans="1:9" x14ac:dyDescent="0.2">
      <c r="A480" s="1"/>
      <c r="B480" s="9" t="s">
        <v>863</v>
      </c>
      <c r="C480" s="16" t="s">
        <v>864</v>
      </c>
      <c r="D480" s="11" t="s">
        <v>18</v>
      </c>
      <c r="E480" s="1"/>
      <c r="F480" s="1"/>
      <c r="G480" s="1"/>
      <c r="H480" s="1"/>
      <c r="I480" s="1"/>
    </row>
    <row r="481" spans="1:9" ht="57" x14ac:dyDescent="0.2">
      <c r="A481" s="1"/>
      <c r="B481" s="9" t="s">
        <v>865</v>
      </c>
      <c r="C481" s="10" t="s">
        <v>862</v>
      </c>
      <c r="D481" s="11" t="s">
        <v>13</v>
      </c>
      <c r="E481" s="1"/>
      <c r="F481" s="1"/>
      <c r="G481" s="1"/>
      <c r="H481" s="1"/>
      <c r="I481" s="1"/>
    </row>
    <row r="482" spans="1:9" ht="57" x14ac:dyDescent="0.2">
      <c r="A482" s="1"/>
      <c r="B482" s="9" t="s">
        <v>866</v>
      </c>
      <c r="C482" s="10" t="s">
        <v>867</v>
      </c>
      <c r="D482" s="11" t="s">
        <v>22</v>
      </c>
      <c r="E482" s="1"/>
      <c r="F482" s="1"/>
      <c r="G482" s="1"/>
      <c r="H482" s="1"/>
      <c r="I482" s="1"/>
    </row>
    <row r="483" spans="1:9" ht="71" x14ac:dyDescent="0.2">
      <c r="A483" s="1"/>
      <c r="B483" s="9" t="s">
        <v>868</v>
      </c>
      <c r="C483" s="10" t="s">
        <v>869</v>
      </c>
      <c r="D483" s="11" t="s">
        <v>11</v>
      </c>
      <c r="E483" s="1"/>
      <c r="F483" s="1"/>
      <c r="G483" s="1"/>
      <c r="H483" s="1"/>
      <c r="I483" s="1"/>
    </row>
    <row r="484" spans="1:9" ht="71" x14ac:dyDescent="0.2">
      <c r="A484" s="1"/>
      <c r="B484" s="9" t="s">
        <v>870</v>
      </c>
      <c r="C484" s="10" t="s">
        <v>871</v>
      </c>
      <c r="D484" s="11" t="s">
        <v>11</v>
      </c>
      <c r="E484" s="1"/>
      <c r="F484" s="1"/>
      <c r="G484" s="1"/>
      <c r="H484" s="1"/>
      <c r="I484" s="1"/>
    </row>
    <row r="485" spans="1:9" ht="57" x14ac:dyDescent="0.2">
      <c r="A485" s="1"/>
      <c r="B485" s="9" t="s">
        <v>872</v>
      </c>
      <c r="C485" s="10" t="s">
        <v>873</v>
      </c>
      <c r="D485" s="11" t="s">
        <v>11</v>
      </c>
      <c r="E485" s="1"/>
      <c r="F485" s="1"/>
      <c r="G485" s="1"/>
      <c r="H485" s="1"/>
      <c r="I485" s="1"/>
    </row>
    <row r="486" spans="1:9" ht="57" x14ac:dyDescent="0.2">
      <c r="A486" s="1"/>
      <c r="B486" s="9" t="s">
        <v>874</v>
      </c>
      <c r="C486" s="10" t="s">
        <v>875</v>
      </c>
      <c r="D486" s="11" t="s">
        <v>18</v>
      </c>
      <c r="E486" s="1"/>
      <c r="F486" s="1"/>
      <c r="G486" s="1"/>
      <c r="H486" s="1"/>
      <c r="I486" s="1"/>
    </row>
    <row r="487" spans="1:9" ht="57" x14ac:dyDescent="0.2">
      <c r="A487" s="1"/>
      <c r="B487" s="9" t="s">
        <v>876</v>
      </c>
      <c r="C487" s="10" t="s">
        <v>873</v>
      </c>
      <c r="D487" s="11" t="s">
        <v>13</v>
      </c>
      <c r="E487" s="1"/>
      <c r="F487" s="1"/>
      <c r="G487" s="1"/>
      <c r="H487" s="1"/>
      <c r="I487" s="1"/>
    </row>
    <row r="488" spans="1:9" ht="57" x14ac:dyDescent="0.2">
      <c r="A488" s="1"/>
      <c r="B488" s="9" t="s">
        <v>877</v>
      </c>
      <c r="C488" s="10" t="s">
        <v>878</v>
      </c>
      <c r="D488" s="11" t="s">
        <v>22</v>
      </c>
      <c r="E488" s="1"/>
      <c r="F488" s="1"/>
      <c r="G488" s="1"/>
      <c r="H488" s="1"/>
      <c r="I488" s="1"/>
    </row>
    <row r="489" spans="1:9" ht="57" x14ac:dyDescent="0.2">
      <c r="A489" s="1"/>
      <c r="B489" s="9" t="s">
        <v>879</v>
      </c>
      <c r="C489" s="10" t="s">
        <v>880</v>
      </c>
      <c r="D489" s="11" t="s">
        <v>11</v>
      </c>
      <c r="E489" s="1"/>
      <c r="F489" s="1"/>
      <c r="G489" s="1"/>
      <c r="H489" s="1"/>
      <c r="I489" s="1"/>
    </row>
    <row r="490" spans="1:9" ht="57" x14ac:dyDescent="0.2">
      <c r="A490" s="1"/>
      <c r="B490" s="9" t="s">
        <v>881</v>
      </c>
      <c r="C490" s="10" t="s">
        <v>882</v>
      </c>
      <c r="D490" s="11" t="s">
        <v>18</v>
      </c>
      <c r="E490" s="1"/>
      <c r="F490" s="1"/>
      <c r="G490" s="1"/>
      <c r="H490" s="1"/>
      <c r="I490" s="1"/>
    </row>
    <row r="491" spans="1:9" ht="57" x14ac:dyDescent="0.2">
      <c r="A491" s="1"/>
      <c r="B491" s="9" t="s">
        <v>883</v>
      </c>
      <c r="C491" s="10" t="s">
        <v>880</v>
      </c>
      <c r="D491" s="11" t="s">
        <v>13</v>
      </c>
      <c r="E491" s="1"/>
      <c r="F491" s="1"/>
      <c r="G491" s="1"/>
      <c r="H491" s="1"/>
      <c r="I491" s="1"/>
    </row>
    <row r="492" spans="1:9" ht="57" x14ac:dyDescent="0.2">
      <c r="A492" s="1"/>
      <c r="B492" s="9" t="s">
        <v>884</v>
      </c>
      <c r="C492" s="10" t="s">
        <v>885</v>
      </c>
      <c r="D492" s="11" t="s">
        <v>22</v>
      </c>
      <c r="E492" s="1"/>
      <c r="F492" s="1"/>
      <c r="G492" s="1"/>
      <c r="H492" s="1"/>
      <c r="I492" s="1"/>
    </row>
    <row r="493" spans="1:9" ht="29" x14ac:dyDescent="0.2">
      <c r="A493" s="1"/>
      <c r="B493" s="9" t="s">
        <v>886</v>
      </c>
      <c r="C493" s="10" t="s">
        <v>887</v>
      </c>
      <c r="D493" s="11" t="s">
        <v>11</v>
      </c>
      <c r="E493" s="1"/>
      <c r="F493" s="1"/>
      <c r="G493" s="1"/>
      <c r="H493" s="1"/>
      <c r="I493" s="1"/>
    </row>
    <row r="494" spans="1:9" ht="29" x14ac:dyDescent="0.2">
      <c r="A494" s="1"/>
      <c r="B494" s="9" t="s">
        <v>888</v>
      </c>
      <c r="C494" s="10" t="s">
        <v>889</v>
      </c>
      <c r="D494" s="11" t="s">
        <v>11</v>
      </c>
      <c r="E494" s="1"/>
      <c r="F494" s="1"/>
      <c r="G494" s="1"/>
      <c r="H494" s="1"/>
      <c r="I494" s="1"/>
    </row>
    <row r="495" spans="1:9" ht="29" x14ac:dyDescent="0.2">
      <c r="A495" s="1"/>
      <c r="B495" s="9" t="s">
        <v>890</v>
      </c>
      <c r="C495" s="10" t="s">
        <v>891</v>
      </c>
      <c r="D495" s="11" t="s">
        <v>18</v>
      </c>
      <c r="E495" s="1"/>
      <c r="F495" s="1"/>
      <c r="G495" s="1"/>
      <c r="H495" s="1"/>
      <c r="I495" s="1"/>
    </row>
    <row r="496" spans="1:9" ht="57" x14ac:dyDescent="0.2">
      <c r="A496" s="1"/>
      <c r="B496" s="9" t="s">
        <v>892</v>
      </c>
      <c r="C496" s="10" t="s">
        <v>893</v>
      </c>
      <c r="D496" s="11" t="s">
        <v>229</v>
      </c>
      <c r="E496" s="1"/>
      <c r="F496" s="1"/>
      <c r="G496" s="1"/>
      <c r="H496" s="1"/>
      <c r="I496" s="1"/>
    </row>
    <row r="497" spans="1:9" ht="29" x14ac:dyDescent="0.2">
      <c r="A497" s="1"/>
      <c r="B497" s="9" t="s">
        <v>894</v>
      </c>
      <c r="C497" s="10" t="s">
        <v>889</v>
      </c>
      <c r="D497" s="11" t="s">
        <v>13</v>
      </c>
      <c r="E497" s="1"/>
      <c r="F497" s="1"/>
      <c r="G497" s="1"/>
      <c r="H497" s="1"/>
      <c r="I497" s="1"/>
    </row>
    <row r="498" spans="1:9" ht="29" x14ac:dyDescent="0.2">
      <c r="A498" s="1"/>
      <c r="B498" s="9" t="s">
        <v>895</v>
      </c>
      <c r="C498" s="10" t="s">
        <v>896</v>
      </c>
      <c r="D498" s="11" t="s">
        <v>22</v>
      </c>
      <c r="E498" s="1"/>
      <c r="F498" s="1"/>
      <c r="G498" s="1"/>
      <c r="H498" s="1"/>
      <c r="I498" s="1"/>
    </row>
    <row r="499" spans="1:9" ht="57" x14ac:dyDescent="0.2">
      <c r="A499" s="1"/>
      <c r="B499" s="9" t="s">
        <v>897</v>
      </c>
      <c r="C499" s="10" t="s">
        <v>898</v>
      </c>
      <c r="D499" s="11" t="s">
        <v>11</v>
      </c>
      <c r="E499" s="1"/>
      <c r="F499" s="1"/>
      <c r="G499" s="1"/>
      <c r="H499" s="1"/>
      <c r="I499" s="1"/>
    </row>
    <row r="500" spans="1:9" ht="29" x14ac:dyDescent="0.2">
      <c r="A500" s="1"/>
      <c r="B500" s="9" t="s">
        <v>899</v>
      </c>
      <c r="C500" s="10" t="s">
        <v>900</v>
      </c>
      <c r="D500" s="11" t="s">
        <v>11</v>
      </c>
      <c r="E500" s="1"/>
      <c r="F500" s="1"/>
      <c r="G500" s="1"/>
      <c r="H500" s="1"/>
      <c r="I500" s="1"/>
    </row>
    <row r="501" spans="1:9" ht="29" x14ac:dyDescent="0.2">
      <c r="A501" s="1"/>
      <c r="B501" s="9" t="s">
        <v>901</v>
      </c>
      <c r="C501" s="10" t="s">
        <v>902</v>
      </c>
      <c r="D501" s="11" t="s">
        <v>18</v>
      </c>
      <c r="E501" s="1"/>
      <c r="F501" s="1"/>
      <c r="G501" s="1"/>
      <c r="H501" s="1"/>
      <c r="I501" s="1"/>
    </row>
    <row r="502" spans="1:9" ht="57" x14ac:dyDescent="0.2">
      <c r="A502" s="1"/>
      <c r="B502" s="9" t="s">
        <v>903</v>
      </c>
      <c r="C502" s="10" t="s">
        <v>904</v>
      </c>
      <c r="D502" s="11" t="s">
        <v>229</v>
      </c>
      <c r="E502" s="1"/>
      <c r="F502" s="1"/>
      <c r="G502" s="1"/>
      <c r="H502" s="1"/>
      <c r="I502" s="1"/>
    </row>
    <row r="503" spans="1:9" ht="29" x14ac:dyDescent="0.2">
      <c r="A503" s="1"/>
      <c r="B503" s="9" t="s">
        <v>905</v>
      </c>
      <c r="C503" s="10" t="s">
        <v>900</v>
      </c>
      <c r="D503" s="11" t="s">
        <v>13</v>
      </c>
      <c r="E503" s="1"/>
      <c r="F503" s="1"/>
      <c r="G503" s="1"/>
      <c r="H503" s="1"/>
      <c r="I503" s="1"/>
    </row>
    <row r="504" spans="1:9" ht="29" x14ac:dyDescent="0.2">
      <c r="A504" s="1"/>
      <c r="B504" s="9" t="s">
        <v>906</v>
      </c>
      <c r="C504" s="10" t="s">
        <v>907</v>
      </c>
      <c r="D504" s="11" t="s">
        <v>22</v>
      </c>
      <c r="E504" s="1"/>
      <c r="F504" s="1"/>
      <c r="G504" s="1"/>
      <c r="H504" s="1"/>
      <c r="I504" s="1"/>
    </row>
    <row r="505" spans="1:9" ht="29" x14ac:dyDescent="0.2">
      <c r="A505" s="1"/>
      <c r="B505" s="9" t="s">
        <v>908</v>
      </c>
      <c r="C505" s="10" t="s">
        <v>909</v>
      </c>
      <c r="D505" s="11" t="s">
        <v>11</v>
      </c>
      <c r="E505" s="1"/>
      <c r="F505" s="1"/>
      <c r="G505" s="1"/>
      <c r="H505" s="1"/>
      <c r="I505" s="1"/>
    </row>
    <row r="506" spans="1:9" ht="29" x14ac:dyDescent="0.2">
      <c r="A506" s="1"/>
      <c r="B506" s="9" t="s">
        <v>910</v>
      </c>
      <c r="C506" s="10" t="s">
        <v>911</v>
      </c>
      <c r="D506" s="11" t="s">
        <v>18</v>
      </c>
      <c r="E506" s="1"/>
      <c r="F506" s="1"/>
      <c r="G506" s="2"/>
      <c r="H506" s="2"/>
      <c r="I506" s="2"/>
    </row>
    <row r="507" spans="1:9" ht="57" x14ac:dyDescent="0.2">
      <c r="A507" s="1"/>
      <c r="B507" s="9" t="s">
        <v>912</v>
      </c>
      <c r="C507" s="10" t="s">
        <v>913</v>
      </c>
      <c r="D507" s="11" t="s">
        <v>229</v>
      </c>
      <c r="E507" s="1"/>
      <c r="F507" s="1"/>
      <c r="G507" s="1"/>
      <c r="H507" s="1"/>
      <c r="I507" s="1"/>
    </row>
    <row r="508" spans="1:9" ht="29" x14ac:dyDescent="0.2">
      <c r="A508" s="1"/>
      <c r="B508" s="9" t="s">
        <v>914</v>
      </c>
      <c r="C508" s="10" t="s">
        <v>909</v>
      </c>
      <c r="D508" s="11" t="s">
        <v>13</v>
      </c>
      <c r="E508" s="1"/>
      <c r="F508" s="1"/>
      <c r="G508" s="1"/>
      <c r="H508" s="1"/>
      <c r="I508" s="1"/>
    </row>
    <row r="509" spans="1:9" ht="29" x14ac:dyDescent="0.2">
      <c r="A509" s="1"/>
      <c r="B509" s="9" t="s">
        <v>915</v>
      </c>
      <c r="C509" s="10" t="s">
        <v>916</v>
      </c>
      <c r="D509" s="11" t="s">
        <v>22</v>
      </c>
      <c r="E509" s="1"/>
      <c r="F509" s="1"/>
      <c r="G509" s="1"/>
      <c r="H509" s="1"/>
      <c r="I509" s="1"/>
    </row>
    <row r="510" spans="1:9" ht="29" x14ac:dyDescent="0.2">
      <c r="A510" s="1"/>
      <c r="B510" s="9" t="s">
        <v>917</v>
      </c>
      <c r="C510" s="10" t="s">
        <v>918</v>
      </c>
      <c r="D510" s="11" t="s">
        <v>107</v>
      </c>
      <c r="E510" s="1"/>
      <c r="F510" s="1"/>
      <c r="G510" s="1"/>
      <c r="H510" s="1"/>
      <c r="I510" s="1"/>
    </row>
    <row r="511" spans="1:9" ht="29" x14ac:dyDescent="0.2">
      <c r="A511" s="2"/>
      <c r="B511" s="9" t="s">
        <v>919</v>
      </c>
      <c r="C511" s="10" t="s">
        <v>920</v>
      </c>
      <c r="D511" s="11" t="s">
        <v>11</v>
      </c>
      <c r="E511" s="1"/>
      <c r="F511" s="1"/>
      <c r="G511" s="1"/>
      <c r="H511" s="1"/>
      <c r="I511" s="1"/>
    </row>
    <row r="512" spans="1:9" ht="29" x14ac:dyDescent="0.2">
      <c r="A512" s="2"/>
      <c r="B512" s="9" t="s">
        <v>921</v>
      </c>
      <c r="C512" s="10" t="s">
        <v>922</v>
      </c>
      <c r="D512" s="11" t="s">
        <v>18</v>
      </c>
      <c r="E512" s="1"/>
      <c r="F512" s="1"/>
      <c r="G512" s="1"/>
      <c r="H512" s="1"/>
      <c r="I512" s="1"/>
    </row>
    <row r="513" spans="1:9" ht="57" x14ac:dyDescent="0.2">
      <c r="A513" s="2"/>
      <c r="B513" s="9" t="s">
        <v>923</v>
      </c>
      <c r="C513" s="10" t="s">
        <v>924</v>
      </c>
      <c r="D513" s="11" t="s">
        <v>229</v>
      </c>
      <c r="E513" s="1"/>
      <c r="F513" s="1"/>
      <c r="G513" s="1"/>
      <c r="H513" s="1"/>
      <c r="I513" s="1"/>
    </row>
    <row r="514" spans="1:9" ht="29" x14ac:dyDescent="0.2">
      <c r="A514" s="1"/>
      <c r="B514" s="9" t="s">
        <v>925</v>
      </c>
      <c r="C514" s="10" t="s">
        <v>920</v>
      </c>
      <c r="D514" s="11" t="s">
        <v>13</v>
      </c>
      <c r="E514" s="1"/>
      <c r="F514" s="1"/>
      <c r="G514" s="1"/>
      <c r="H514" s="1"/>
      <c r="I514" s="1"/>
    </row>
    <row r="515" spans="1:9" ht="29" x14ac:dyDescent="0.2">
      <c r="A515" s="1"/>
      <c r="B515" s="9" t="s">
        <v>926</v>
      </c>
      <c r="C515" s="10" t="s">
        <v>927</v>
      </c>
      <c r="D515" s="11" t="s">
        <v>22</v>
      </c>
      <c r="E515" s="1"/>
      <c r="F515" s="1"/>
      <c r="G515" s="1"/>
      <c r="H515" s="1"/>
      <c r="I515" s="1"/>
    </row>
    <row r="516" spans="1:9" ht="43" x14ac:dyDescent="0.2">
      <c r="A516" s="1"/>
      <c r="B516" s="9" t="s">
        <v>928</v>
      </c>
      <c r="C516" s="10" t="s">
        <v>929</v>
      </c>
      <c r="D516" s="11" t="s">
        <v>11</v>
      </c>
      <c r="E516" s="1"/>
      <c r="F516" s="1"/>
      <c r="G516" s="1"/>
      <c r="H516" s="1"/>
      <c r="I516" s="1"/>
    </row>
    <row r="517" spans="1:9" ht="29" x14ac:dyDescent="0.2">
      <c r="A517" s="1"/>
      <c r="B517" s="9" t="s">
        <v>930</v>
      </c>
      <c r="C517" s="10" t="s">
        <v>931</v>
      </c>
      <c r="D517" s="11" t="s">
        <v>11</v>
      </c>
      <c r="E517" s="1"/>
      <c r="F517" s="1"/>
      <c r="G517" s="1"/>
      <c r="H517" s="1"/>
      <c r="I517" s="1"/>
    </row>
    <row r="518" spans="1:9" ht="29" x14ac:dyDescent="0.2">
      <c r="A518" s="1"/>
      <c r="B518" s="9" t="s">
        <v>932</v>
      </c>
      <c r="C518" s="10" t="s">
        <v>931</v>
      </c>
      <c r="D518" s="11" t="s">
        <v>13</v>
      </c>
      <c r="E518" s="1"/>
      <c r="F518" s="1"/>
      <c r="G518" s="1"/>
      <c r="H518" s="1"/>
      <c r="I518" s="1"/>
    </row>
    <row r="519" spans="1:9" ht="29" x14ac:dyDescent="0.2">
      <c r="A519" s="1"/>
      <c r="B519" s="9" t="s">
        <v>933</v>
      </c>
      <c r="C519" s="10" t="s">
        <v>934</v>
      </c>
      <c r="D519" s="11" t="s">
        <v>11</v>
      </c>
      <c r="E519" s="1"/>
      <c r="F519" s="1"/>
      <c r="G519" s="1"/>
      <c r="H519" s="1"/>
      <c r="I519" s="1"/>
    </row>
    <row r="520" spans="1:9" ht="29" x14ac:dyDescent="0.2">
      <c r="A520" s="1"/>
      <c r="B520" s="9" t="s">
        <v>935</v>
      </c>
      <c r="C520" s="10" t="s">
        <v>936</v>
      </c>
      <c r="D520" s="11" t="s">
        <v>18</v>
      </c>
      <c r="E520" s="1"/>
      <c r="F520" s="1"/>
      <c r="G520" s="1"/>
      <c r="H520" s="1"/>
      <c r="I520" s="1"/>
    </row>
    <row r="521" spans="1:9" ht="57" x14ac:dyDescent="0.2">
      <c r="A521" s="1"/>
      <c r="B521" s="9" t="s">
        <v>937</v>
      </c>
      <c r="C521" s="10" t="s">
        <v>938</v>
      </c>
      <c r="D521" s="11" t="s">
        <v>229</v>
      </c>
      <c r="E521" s="1"/>
      <c r="F521" s="1"/>
      <c r="G521" s="1"/>
      <c r="H521" s="1"/>
      <c r="I521" s="1"/>
    </row>
    <row r="522" spans="1:9" ht="29" x14ac:dyDescent="0.2">
      <c r="A522" s="1"/>
      <c r="B522" s="9" t="s">
        <v>939</v>
      </c>
      <c r="C522" s="10" t="s">
        <v>934</v>
      </c>
      <c r="D522" s="11" t="s">
        <v>13</v>
      </c>
      <c r="E522" s="1"/>
      <c r="F522" s="1"/>
      <c r="G522" s="1"/>
      <c r="H522" s="1"/>
      <c r="I522" s="1"/>
    </row>
    <row r="523" spans="1:9" ht="29" x14ac:dyDescent="0.2">
      <c r="A523" s="1"/>
      <c r="B523" s="9" t="s">
        <v>940</v>
      </c>
      <c r="C523" s="10" t="s">
        <v>941</v>
      </c>
      <c r="D523" s="11" t="s">
        <v>22</v>
      </c>
      <c r="E523" s="1"/>
      <c r="F523" s="1"/>
      <c r="G523" s="1"/>
      <c r="H523" s="1"/>
      <c r="I523" s="1"/>
    </row>
    <row r="524" spans="1:9" ht="43" x14ac:dyDescent="0.2">
      <c r="A524" s="1"/>
      <c r="B524" s="9" t="s">
        <v>942</v>
      </c>
      <c r="C524" s="10" t="s">
        <v>943</v>
      </c>
      <c r="D524" s="11" t="s">
        <v>11</v>
      </c>
      <c r="E524" s="1"/>
      <c r="F524" s="1"/>
      <c r="G524" s="1"/>
      <c r="H524" s="1"/>
      <c r="I524" s="1"/>
    </row>
    <row r="525" spans="1:9" x14ac:dyDescent="0.2">
      <c r="A525" s="1"/>
      <c r="B525" s="9" t="s">
        <v>944</v>
      </c>
      <c r="C525" s="10" t="s">
        <v>945</v>
      </c>
      <c r="D525" s="11" t="s">
        <v>11</v>
      </c>
      <c r="E525" s="1"/>
      <c r="F525" s="1"/>
      <c r="G525" s="1"/>
      <c r="H525" s="1"/>
      <c r="I525" s="1"/>
    </row>
    <row r="526" spans="1:9" ht="29" x14ac:dyDescent="0.2">
      <c r="A526" s="1"/>
      <c r="B526" s="9" t="s">
        <v>946</v>
      </c>
      <c r="C526" s="10" t="s">
        <v>947</v>
      </c>
      <c r="D526" s="11" t="s">
        <v>18</v>
      </c>
      <c r="E526" s="1"/>
      <c r="F526" s="1"/>
      <c r="G526" s="1"/>
      <c r="H526" s="1"/>
      <c r="I526" s="1"/>
    </row>
    <row r="527" spans="1:9" ht="43" x14ac:dyDescent="0.2">
      <c r="A527" s="1"/>
      <c r="B527" s="9" t="s">
        <v>948</v>
      </c>
      <c r="C527" s="10" t="s">
        <v>949</v>
      </c>
      <c r="D527" s="11" t="s">
        <v>229</v>
      </c>
      <c r="E527" s="1"/>
      <c r="F527" s="1"/>
      <c r="G527" s="1"/>
      <c r="H527" s="1"/>
      <c r="I527" s="1"/>
    </row>
    <row r="528" spans="1:9" x14ac:dyDescent="0.2">
      <c r="A528" s="1"/>
      <c r="B528" s="9" t="s">
        <v>950</v>
      </c>
      <c r="C528" s="10" t="s">
        <v>945</v>
      </c>
      <c r="D528" s="11" t="s">
        <v>13</v>
      </c>
      <c r="E528" s="1"/>
      <c r="F528" s="1"/>
      <c r="G528" s="1"/>
      <c r="H528" s="1"/>
      <c r="I528" s="1"/>
    </row>
    <row r="529" spans="1:9" x14ac:dyDescent="0.2">
      <c r="A529" s="1"/>
      <c r="B529" s="9" t="s">
        <v>951</v>
      </c>
      <c r="C529" s="10" t="s">
        <v>952</v>
      </c>
      <c r="D529" s="11" t="s">
        <v>22</v>
      </c>
      <c r="E529" s="1"/>
      <c r="F529" s="1"/>
      <c r="G529" s="1"/>
      <c r="H529" s="1"/>
      <c r="I529" s="1"/>
    </row>
    <row r="530" spans="1:9" ht="29" x14ac:dyDescent="0.2">
      <c r="A530" s="1"/>
      <c r="B530" s="9" t="s">
        <v>953</v>
      </c>
      <c r="C530" s="10" t="s">
        <v>954</v>
      </c>
      <c r="D530" s="11" t="s">
        <v>787</v>
      </c>
      <c r="E530" s="1"/>
      <c r="F530" s="1"/>
      <c r="G530" s="1"/>
      <c r="H530" s="1"/>
      <c r="I530" s="1"/>
    </row>
    <row r="531" spans="1:9" ht="29" x14ac:dyDescent="0.2">
      <c r="A531" s="1"/>
      <c r="B531" s="9" t="s">
        <v>955</v>
      </c>
      <c r="C531" s="10" t="s">
        <v>954</v>
      </c>
      <c r="D531" s="11" t="s">
        <v>956</v>
      </c>
      <c r="E531" s="1"/>
      <c r="F531" s="1"/>
      <c r="G531" s="1"/>
      <c r="H531" s="1"/>
      <c r="I531" s="1"/>
    </row>
    <row r="532" spans="1:9" ht="29" x14ac:dyDescent="0.2">
      <c r="A532" s="1"/>
      <c r="B532" s="9" t="s">
        <v>957</v>
      </c>
      <c r="C532" s="10" t="s">
        <v>958</v>
      </c>
      <c r="D532" s="11" t="s">
        <v>11</v>
      </c>
      <c r="E532" s="1"/>
      <c r="F532" s="1"/>
      <c r="G532" s="1"/>
      <c r="H532" s="1"/>
      <c r="I532" s="1"/>
    </row>
    <row r="533" spans="1:9" ht="29" x14ac:dyDescent="0.2">
      <c r="A533" s="1"/>
      <c r="B533" s="9" t="s">
        <v>959</v>
      </c>
      <c r="C533" s="10" t="s">
        <v>960</v>
      </c>
      <c r="D533" s="11" t="s">
        <v>18</v>
      </c>
      <c r="E533" s="1"/>
      <c r="F533" s="1"/>
      <c r="G533" s="1"/>
      <c r="H533" s="1"/>
      <c r="I533" s="1"/>
    </row>
    <row r="534" spans="1:9" ht="29" x14ac:dyDescent="0.2">
      <c r="A534" s="1"/>
      <c r="B534" s="9" t="s">
        <v>961</v>
      </c>
      <c r="C534" s="10" t="s">
        <v>958</v>
      </c>
      <c r="D534" s="11" t="s">
        <v>13</v>
      </c>
      <c r="E534" s="1"/>
      <c r="F534" s="1"/>
      <c r="G534" s="1"/>
      <c r="H534" s="1"/>
      <c r="I534" s="1"/>
    </row>
    <row r="535" spans="1:9" ht="29" x14ac:dyDescent="0.2">
      <c r="A535" s="1"/>
      <c r="B535" s="9" t="s">
        <v>962</v>
      </c>
      <c r="C535" s="10" t="s">
        <v>963</v>
      </c>
      <c r="D535" s="11" t="s">
        <v>22</v>
      </c>
      <c r="E535" s="1"/>
      <c r="F535" s="1"/>
      <c r="G535" s="1"/>
      <c r="H535" s="1"/>
      <c r="I535" s="1"/>
    </row>
    <row r="536" spans="1:9" ht="29" x14ac:dyDescent="0.2">
      <c r="A536" s="1"/>
      <c r="B536" s="9" t="s">
        <v>964</v>
      </c>
      <c r="C536" s="10" t="s">
        <v>965</v>
      </c>
      <c r="D536" s="11" t="s">
        <v>11</v>
      </c>
      <c r="E536" s="1"/>
      <c r="F536" s="1"/>
      <c r="G536" s="1"/>
      <c r="H536" s="1"/>
      <c r="I536" s="1"/>
    </row>
    <row r="537" spans="1:9" ht="29" x14ac:dyDescent="0.2">
      <c r="A537" s="1"/>
      <c r="B537" s="9" t="s">
        <v>966</v>
      </c>
      <c r="C537" s="10" t="s">
        <v>967</v>
      </c>
      <c r="D537" s="11" t="s">
        <v>18</v>
      </c>
      <c r="E537" s="1"/>
      <c r="F537" s="1"/>
      <c r="G537" s="1"/>
      <c r="H537" s="1"/>
      <c r="I537" s="1"/>
    </row>
    <row r="538" spans="1:9" ht="29" x14ac:dyDescent="0.2">
      <c r="A538" s="1"/>
      <c r="B538" s="9" t="s">
        <v>968</v>
      </c>
      <c r="C538" s="10" t="s">
        <v>965</v>
      </c>
      <c r="D538" s="11" t="s">
        <v>13</v>
      </c>
      <c r="E538" s="1"/>
      <c r="F538" s="1"/>
      <c r="G538" s="1"/>
      <c r="H538" s="1"/>
      <c r="I538" s="1"/>
    </row>
    <row r="539" spans="1:9" ht="29" x14ac:dyDescent="0.2">
      <c r="A539" s="1"/>
      <c r="B539" s="9" t="s">
        <v>969</v>
      </c>
      <c r="C539" s="10" t="s">
        <v>970</v>
      </c>
      <c r="D539" s="11" t="s">
        <v>22</v>
      </c>
      <c r="E539" s="1"/>
      <c r="F539" s="1"/>
      <c r="G539" s="1"/>
      <c r="H539" s="1"/>
      <c r="I539" s="1"/>
    </row>
    <row r="540" spans="1:9" ht="29" x14ac:dyDescent="0.2">
      <c r="A540" s="1"/>
      <c r="B540" s="9" t="s">
        <v>971</v>
      </c>
      <c r="C540" s="10" t="s">
        <v>972</v>
      </c>
      <c r="D540" s="11" t="s">
        <v>229</v>
      </c>
      <c r="E540" s="2"/>
      <c r="F540" s="1"/>
      <c r="G540" s="1"/>
      <c r="H540" s="1"/>
      <c r="I540" s="1"/>
    </row>
    <row r="541" spans="1:9" ht="29" x14ac:dyDescent="0.2">
      <c r="A541" s="1"/>
      <c r="B541" s="9" t="s">
        <v>973</v>
      </c>
      <c r="C541" s="10" t="s">
        <v>974</v>
      </c>
      <c r="D541" s="11" t="s">
        <v>11</v>
      </c>
      <c r="E541" s="1"/>
      <c r="F541" s="1"/>
      <c r="G541" s="1"/>
      <c r="H541" s="1"/>
      <c r="I541" s="1"/>
    </row>
    <row r="542" spans="1:9" ht="29" x14ac:dyDescent="0.2">
      <c r="A542" s="1"/>
      <c r="B542" s="9" t="s">
        <v>975</v>
      </c>
      <c r="C542" s="10" t="s">
        <v>976</v>
      </c>
      <c r="D542" s="11" t="s">
        <v>18</v>
      </c>
      <c r="E542" s="1"/>
      <c r="F542" s="1"/>
      <c r="G542" s="1"/>
      <c r="H542" s="1"/>
      <c r="I542" s="1"/>
    </row>
    <row r="543" spans="1:9" ht="29" x14ac:dyDescent="0.2">
      <c r="A543" s="1"/>
      <c r="B543" s="9" t="s">
        <v>977</v>
      </c>
      <c r="C543" s="10" t="s">
        <v>974</v>
      </c>
      <c r="D543" s="11" t="s">
        <v>13</v>
      </c>
      <c r="E543" s="1"/>
      <c r="F543" s="1"/>
      <c r="G543" s="1"/>
      <c r="H543" s="1"/>
      <c r="I543" s="1"/>
    </row>
    <row r="544" spans="1:9" ht="29" x14ac:dyDescent="0.2">
      <c r="A544" s="1"/>
      <c r="B544" s="9" t="s">
        <v>978</v>
      </c>
      <c r="C544" s="10" t="s">
        <v>979</v>
      </c>
      <c r="D544" s="11" t="s">
        <v>22</v>
      </c>
      <c r="E544" s="1"/>
      <c r="F544" s="1"/>
      <c r="G544" s="1"/>
      <c r="H544" s="1"/>
      <c r="I544" s="1"/>
    </row>
    <row r="545" spans="1:9" ht="29" x14ac:dyDescent="0.2">
      <c r="A545" s="1"/>
      <c r="B545" s="9" t="s">
        <v>980</v>
      </c>
      <c r="C545" s="10" t="s">
        <v>981</v>
      </c>
      <c r="D545" s="11" t="s">
        <v>11</v>
      </c>
      <c r="E545" s="1"/>
      <c r="F545" s="1"/>
      <c r="G545" s="1"/>
      <c r="H545" s="1"/>
      <c r="I545" s="1"/>
    </row>
    <row r="546" spans="1:9" ht="29" x14ac:dyDescent="0.2">
      <c r="A546" s="1"/>
      <c r="B546" s="9" t="s">
        <v>982</v>
      </c>
      <c r="C546" s="10" t="s">
        <v>983</v>
      </c>
      <c r="D546" s="11" t="s">
        <v>18</v>
      </c>
      <c r="E546" s="1"/>
      <c r="F546" s="1"/>
      <c r="G546" s="1"/>
      <c r="H546" s="1"/>
      <c r="I546" s="1"/>
    </row>
    <row r="547" spans="1:9" ht="29" x14ac:dyDescent="0.2">
      <c r="A547" s="1"/>
      <c r="B547" s="9" t="s">
        <v>984</v>
      </c>
      <c r="C547" s="10" t="s">
        <v>981</v>
      </c>
      <c r="D547" s="11" t="s">
        <v>13</v>
      </c>
      <c r="E547" s="1"/>
      <c r="F547" s="1"/>
      <c r="G547" s="1"/>
      <c r="H547" s="1"/>
      <c r="I547" s="1"/>
    </row>
    <row r="548" spans="1:9" ht="29" x14ac:dyDescent="0.2">
      <c r="A548" s="1"/>
      <c r="B548" s="9" t="s">
        <v>985</v>
      </c>
      <c r="C548" s="10" t="s">
        <v>986</v>
      </c>
      <c r="D548" s="11" t="s">
        <v>22</v>
      </c>
      <c r="E548" s="1"/>
      <c r="F548" s="1"/>
      <c r="G548" s="1"/>
      <c r="H548" s="1"/>
      <c r="I548" s="1"/>
    </row>
    <row r="549" spans="1:9" ht="29" x14ac:dyDescent="0.2">
      <c r="A549" s="1"/>
      <c r="B549" s="9" t="s">
        <v>987</v>
      </c>
      <c r="C549" s="10" t="s">
        <v>988</v>
      </c>
      <c r="D549" s="11" t="s">
        <v>11</v>
      </c>
      <c r="E549" s="1"/>
      <c r="F549" s="1"/>
      <c r="G549" s="1"/>
      <c r="H549" s="1"/>
      <c r="I549" s="1"/>
    </row>
    <row r="550" spans="1:9" ht="43" x14ac:dyDescent="0.2">
      <c r="A550" s="1"/>
      <c r="B550" s="9" t="s">
        <v>989</v>
      </c>
      <c r="C550" s="10" t="s">
        <v>990</v>
      </c>
      <c r="D550" s="11" t="s">
        <v>229</v>
      </c>
      <c r="E550" s="1"/>
      <c r="F550" s="1"/>
      <c r="G550" s="1"/>
      <c r="H550" s="1"/>
      <c r="I550" s="1"/>
    </row>
    <row r="551" spans="1:9" ht="29" x14ac:dyDescent="0.2">
      <c r="A551" s="1"/>
      <c r="B551" s="9" t="s">
        <v>991</v>
      </c>
      <c r="C551" s="10" t="s">
        <v>992</v>
      </c>
      <c r="D551" s="11" t="s">
        <v>11</v>
      </c>
      <c r="E551" s="1"/>
      <c r="F551" s="1"/>
      <c r="G551" s="1"/>
      <c r="H551" s="1"/>
      <c r="I551" s="1"/>
    </row>
    <row r="552" spans="1:9" ht="29" x14ac:dyDescent="0.2">
      <c r="A552" s="1"/>
      <c r="B552" s="9" t="s">
        <v>993</v>
      </c>
      <c r="C552" s="10" t="s">
        <v>994</v>
      </c>
      <c r="D552" s="11" t="s">
        <v>11</v>
      </c>
      <c r="E552" s="1"/>
      <c r="F552" s="1"/>
      <c r="G552" s="1"/>
      <c r="H552" s="1"/>
      <c r="I552" s="1"/>
    </row>
    <row r="553" spans="1:9" x14ac:dyDescent="0.2">
      <c r="A553" s="1"/>
      <c r="B553" s="9" t="s">
        <v>995</v>
      </c>
      <c r="C553" s="10" t="s">
        <v>996</v>
      </c>
      <c r="D553" s="11" t="s">
        <v>11</v>
      </c>
      <c r="E553" s="1"/>
      <c r="F553" s="1"/>
      <c r="G553" s="1"/>
      <c r="H553" s="1"/>
      <c r="I553" s="1"/>
    </row>
    <row r="554" spans="1:9" x14ac:dyDescent="0.2">
      <c r="A554" s="1"/>
      <c r="B554" s="9" t="s">
        <v>997</v>
      </c>
      <c r="C554" s="10" t="s">
        <v>998</v>
      </c>
      <c r="D554" s="11" t="s">
        <v>18</v>
      </c>
      <c r="E554" s="1"/>
      <c r="F554" s="1"/>
      <c r="G554" s="1"/>
      <c r="H554" s="1"/>
      <c r="I554" s="1"/>
    </row>
    <row r="555" spans="1:9" x14ac:dyDescent="0.2">
      <c r="A555" s="1"/>
      <c r="B555" s="9" t="s">
        <v>999</v>
      </c>
      <c r="C555" s="10" t="s">
        <v>996</v>
      </c>
      <c r="D555" s="11" t="s">
        <v>13</v>
      </c>
      <c r="E555" s="1"/>
      <c r="F555" s="1"/>
      <c r="G555" s="1"/>
      <c r="H555" s="1"/>
      <c r="I555" s="1"/>
    </row>
    <row r="556" spans="1:9" x14ac:dyDescent="0.2">
      <c r="A556" s="1"/>
      <c r="B556" s="9" t="s">
        <v>1000</v>
      </c>
      <c r="C556" s="10" t="s">
        <v>1001</v>
      </c>
      <c r="D556" s="11" t="s">
        <v>22</v>
      </c>
      <c r="E556" s="1"/>
      <c r="F556" s="1"/>
      <c r="G556" s="1"/>
      <c r="H556" s="1"/>
      <c r="I556" s="1"/>
    </row>
    <row r="557" spans="1:9" ht="29" x14ac:dyDescent="0.2">
      <c r="A557" s="1"/>
      <c r="B557" s="9" t="s">
        <v>1002</v>
      </c>
      <c r="C557" s="10" t="s">
        <v>1003</v>
      </c>
      <c r="D557" s="11" t="s">
        <v>11</v>
      </c>
      <c r="E557" s="1"/>
      <c r="F557" s="1"/>
      <c r="G557" s="1"/>
      <c r="H557" s="1"/>
      <c r="I557" s="1"/>
    </row>
    <row r="558" spans="1:9" ht="29" x14ac:dyDescent="0.2">
      <c r="A558" s="1"/>
      <c r="B558" s="9" t="s">
        <v>1004</v>
      </c>
      <c r="C558" s="10" t="s">
        <v>1005</v>
      </c>
      <c r="D558" s="11" t="s">
        <v>18</v>
      </c>
      <c r="E558" s="1"/>
      <c r="F558" s="1"/>
      <c r="G558" s="1"/>
      <c r="H558" s="1"/>
      <c r="I558" s="1"/>
    </row>
    <row r="559" spans="1:9" ht="29" x14ac:dyDescent="0.2">
      <c r="A559" s="1"/>
      <c r="B559" s="9" t="s">
        <v>1006</v>
      </c>
      <c r="C559" s="10" t="s">
        <v>1003</v>
      </c>
      <c r="D559" s="11" t="s">
        <v>13</v>
      </c>
      <c r="E559" s="1"/>
      <c r="F559" s="1"/>
      <c r="G559" s="1"/>
      <c r="H559" s="1"/>
      <c r="I559" s="1"/>
    </row>
    <row r="560" spans="1:9" ht="29" x14ac:dyDescent="0.2">
      <c r="A560" s="1"/>
      <c r="B560" s="9" t="s">
        <v>1007</v>
      </c>
      <c r="C560" s="10" t="s">
        <v>1008</v>
      </c>
      <c r="D560" s="11" t="s">
        <v>22</v>
      </c>
      <c r="E560" s="1"/>
      <c r="F560" s="1"/>
      <c r="G560" s="1"/>
      <c r="H560" s="1"/>
      <c r="I560" s="1"/>
    </row>
    <row r="561" spans="1:9" ht="29" x14ac:dyDescent="0.2">
      <c r="A561" s="1"/>
      <c r="B561" s="9" t="s">
        <v>1009</v>
      </c>
      <c r="C561" s="10" t="s">
        <v>1010</v>
      </c>
      <c r="D561" s="11" t="s">
        <v>18</v>
      </c>
      <c r="E561" s="1"/>
      <c r="F561" s="1"/>
      <c r="G561" s="1"/>
      <c r="H561" s="1"/>
      <c r="I561" s="1"/>
    </row>
    <row r="562" spans="1:9" ht="29" x14ac:dyDescent="0.2">
      <c r="A562" s="1"/>
      <c r="B562" s="9" t="s">
        <v>1011</v>
      </c>
      <c r="C562" s="10" t="s">
        <v>1012</v>
      </c>
      <c r="D562" s="11" t="s">
        <v>22</v>
      </c>
      <c r="E562" s="1"/>
      <c r="F562" s="1"/>
      <c r="G562" s="1"/>
      <c r="H562" s="1"/>
      <c r="I562" s="1"/>
    </row>
    <row r="563" spans="1:9" ht="57" x14ac:dyDescent="0.2">
      <c r="A563" s="1"/>
      <c r="B563" s="9" t="s">
        <v>1013</v>
      </c>
      <c r="C563" s="10" t="s">
        <v>1014</v>
      </c>
      <c r="D563" s="11" t="s">
        <v>11</v>
      </c>
      <c r="E563" s="1"/>
      <c r="F563" s="1"/>
      <c r="G563" s="1"/>
      <c r="H563" s="1"/>
      <c r="I563" s="1"/>
    </row>
    <row r="564" spans="1:9" ht="29" x14ac:dyDescent="0.2">
      <c r="A564" s="1"/>
      <c r="B564" s="9" t="s">
        <v>1015</v>
      </c>
      <c r="C564" s="10" t="s">
        <v>1016</v>
      </c>
      <c r="D564" s="11" t="s">
        <v>18</v>
      </c>
      <c r="E564" s="1"/>
      <c r="F564" s="1"/>
      <c r="G564" s="1"/>
      <c r="H564" s="1"/>
      <c r="I564" s="1"/>
    </row>
    <row r="565" spans="1:9" ht="29" x14ac:dyDescent="0.2">
      <c r="A565" s="1"/>
      <c r="B565" s="9" t="s">
        <v>1017</v>
      </c>
      <c r="C565" s="10" t="s">
        <v>1018</v>
      </c>
      <c r="D565" s="11" t="s">
        <v>22</v>
      </c>
      <c r="E565" s="1"/>
      <c r="F565" s="1"/>
      <c r="G565" s="1"/>
      <c r="H565" s="1"/>
      <c r="I565" s="1"/>
    </row>
    <row r="566" spans="1:9" ht="57" x14ac:dyDescent="0.2">
      <c r="A566" s="1"/>
      <c r="B566" s="9" t="s">
        <v>1019</v>
      </c>
      <c r="C566" s="10" t="s">
        <v>1020</v>
      </c>
      <c r="D566" s="11" t="s">
        <v>11</v>
      </c>
      <c r="E566" s="1"/>
      <c r="F566" s="1"/>
      <c r="G566" s="1"/>
      <c r="H566" s="1"/>
      <c r="I566" s="1"/>
    </row>
    <row r="567" spans="1:9" ht="29" x14ac:dyDescent="0.2">
      <c r="A567" s="1"/>
      <c r="B567" s="9" t="s">
        <v>1021</v>
      </c>
      <c r="C567" s="10" t="s">
        <v>1022</v>
      </c>
      <c r="D567" s="11" t="s">
        <v>18</v>
      </c>
      <c r="E567" s="1"/>
      <c r="F567" s="1"/>
      <c r="G567" s="1"/>
      <c r="H567" s="1"/>
      <c r="I567" s="1"/>
    </row>
    <row r="568" spans="1:9" ht="29" x14ac:dyDescent="0.2">
      <c r="A568" s="1"/>
      <c r="B568" s="9" t="s">
        <v>1023</v>
      </c>
      <c r="C568" s="10" t="s">
        <v>1024</v>
      </c>
      <c r="D568" s="11" t="s">
        <v>22</v>
      </c>
      <c r="E568" s="1"/>
      <c r="F568" s="1"/>
      <c r="G568" s="1"/>
      <c r="H568" s="1"/>
      <c r="I568" s="1"/>
    </row>
    <row r="569" spans="1:9" ht="29" x14ac:dyDescent="0.2">
      <c r="A569" s="1"/>
      <c r="B569" s="9" t="s">
        <v>1025</v>
      </c>
      <c r="C569" s="10" t="s">
        <v>1026</v>
      </c>
      <c r="D569" s="11" t="s">
        <v>18</v>
      </c>
      <c r="E569" s="1"/>
      <c r="F569" s="1"/>
      <c r="G569" s="1"/>
      <c r="H569" s="1"/>
      <c r="I569" s="1"/>
    </row>
    <row r="570" spans="1:9" ht="29" x14ac:dyDescent="0.2">
      <c r="A570" s="1"/>
      <c r="B570" s="9" t="s">
        <v>1027</v>
      </c>
      <c r="C570" s="10" t="s">
        <v>1028</v>
      </c>
      <c r="D570" s="11" t="s">
        <v>22</v>
      </c>
      <c r="E570" s="1"/>
      <c r="F570" s="1"/>
      <c r="G570" s="1"/>
      <c r="H570" s="1"/>
      <c r="I570" s="1"/>
    </row>
    <row r="571" spans="1:9" ht="57" x14ac:dyDescent="0.2">
      <c r="A571" s="1"/>
      <c r="B571" s="9" t="s">
        <v>1029</v>
      </c>
      <c r="C571" s="10" t="s">
        <v>1030</v>
      </c>
      <c r="D571" s="11" t="s">
        <v>11</v>
      </c>
      <c r="E571" s="1"/>
      <c r="F571" s="1"/>
      <c r="G571" s="1"/>
      <c r="H571" s="1"/>
      <c r="I571" s="1"/>
    </row>
    <row r="572" spans="1:9" ht="29" x14ac:dyDescent="0.2">
      <c r="A572" s="1"/>
      <c r="B572" s="9" t="s">
        <v>1031</v>
      </c>
      <c r="C572" s="10" t="s">
        <v>1032</v>
      </c>
      <c r="D572" s="11" t="s">
        <v>18</v>
      </c>
      <c r="E572" s="1"/>
      <c r="F572" s="1"/>
      <c r="G572" s="1"/>
      <c r="H572" s="1"/>
      <c r="I572" s="1"/>
    </row>
    <row r="573" spans="1:9" ht="29" x14ac:dyDescent="0.2">
      <c r="A573" s="1"/>
      <c r="B573" s="9" t="s">
        <v>1033</v>
      </c>
      <c r="C573" s="10" t="s">
        <v>1034</v>
      </c>
      <c r="D573" s="11" t="s">
        <v>22</v>
      </c>
      <c r="E573" s="1"/>
      <c r="F573" s="1"/>
      <c r="G573" s="1"/>
      <c r="H573" s="1"/>
      <c r="I573" s="1"/>
    </row>
    <row r="574" spans="1:9" ht="57" x14ac:dyDescent="0.2">
      <c r="A574" s="1"/>
      <c r="B574" s="9" t="s">
        <v>1035</v>
      </c>
      <c r="C574" s="10" t="s">
        <v>1036</v>
      </c>
      <c r="D574" s="11" t="s">
        <v>11</v>
      </c>
      <c r="E574" s="1"/>
      <c r="F574" s="1"/>
      <c r="G574" s="1"/>
      <c r="H574" s="1"/>
      <c r="I574" s="1"/>
    </row>
    <row r="575" spans="1:9" ht="43" x14ac:dyDescent="0.2">
      <c r="A575" s="1"/>
      <c r="B575" s="9" t="s">
        <v>1037</v>
      </c>
      <c r="C575" s="10" t="s">
        <v>1038</v>
      </c>
      <c r="D575" s="11" t="s">
        <v>11</v>
      </c>
      <c r="E575" s="1"/>
      <c r="F575" s="1"/>
      <c r="G575" s="1"/>
      <c r="H575" s="1"/>
      <c r="I575" s="1"/>
    </row>
    <row r="576" spans="1:9" x14ac:dyDescent="0.2">
      <c r="A576" s="1"/>
      <c r="B576" s="9" t="s">
        <v>1039</v>
      </c>
      <c r="C576" s="10" t="s">
        <v>1040</v>
      </c>
      <c r="D576" s="11" t="s">
        <v>18</v>
      </c>
      <c r="E576" s="1"/>
      <c r="F576" s="1"/>
      <c r="G576" s="1"/>
      <c r="H576" s="1"/>
      <c r="I576" s="1"/>
    </row>
    <row r="577" spans="1:9" x14ac:dyDescent="0.2">
      <c r="A577" s="1"/>
      <c r="B577" s="9" t="s">
        <v>1041</v>
      </c>
      <c r="C577" s="10" t="s">
        <v>1042</v>
      </c>
      <c r="D577" s="11" t="s">
        <v>22</v>
      </c>
      <c r="E577" s="1"/>
      <c r="F577" s="1"/>
      <c r="G577" s="1"/>
      <c r="H577" s="1"/>
      <c r="I577" s="1"/>
    </row>
    <row r="578" spans="1:9" ht="29" x14ac:dyDescent="0.2">
      <c r="A578" s="1"/>
      <c r="B578" s="9" t="s">
        <v>1043</v>
      </c>
      <c r="C578" s="10" t="s">
        <v>1044</v>
      </c>
      <c r="D578" s="11" t="s">
        <v>18</v>
      </c>
      <c r="E578" s="1"/>
      <c r="F578" s="1"/>
      <c r="G578" s="1"/>
      <c r="H578" s="1"/>
      <c r="I578" s="1"/>
    </row>
    <row r="579" spans="1:9" ht="29" x14ac:dyDescent="0.2">
      <c r="A579" s="2"/>
      <c r="B579" s="9" t="s">
        <v>1045</v>
      </c>
      <c r="C579" s="10" t="s">
        <v>1046</v>
      </c>
      <c r="D579" s="11" t="s">
        <v>22</v>
      </c>
      <c r="E579" s="1"/>
      <c r="F579" s="1"/>
      <c r="G579" s="1"/>
      <c r="H579" s="1"/>
      <c r="I579" s="1"/>
    </row>
    <row r="580" spans="1:9" ht="29" x14ac:dyDescent="0.2">
      <c r="A580" s="2"/>
      <c r="B580" s="9" t="s">
        <v>1047</v>
      </c>
      <c r="C580" s="10" t="s">
        <v>1048</v>
      </c>
      <c r="D580" s="11" t="s">
        <v>11</v>
      </c>
      <c r="E580" s="1"/>
      <c r="F580" s="1"/>
      <c r="G580" s="1"/>
      <c r="H580" s="1"/>
      <c r="I580" s="1"/>
    </row>
    <row r="581" spans="1:9" ht="29" x14ac:dyDescent="0.2">
      <c r="A581" s="2"/>
      <c r="B581" s="9" t="s">
        <v>1049</v>
      </c>
      <c r="C581" s="10" t="s">
        <v>1048</v>
      </c>
      <c r="D581" s="11" t="s">
        <v>13</v>
      </c>
      <c r="E581" s="1"/>
      <c r="F581" s="1"/>
      <c r="G581" s="1"/>
      <c r="H581" s="1"/>
      <c r="I581" s="1"/>
    </row>
    <row r="582" spans="1:9" ht="29" x14ac:dyDescent="0.2">
      <c r="A582" s="2"/>
      <c r="B582" s="9" t="s">
        <v>1050</v>
      </c>
      <c r="C582" s="10" t="s">
        <v>1051</v>
      </c>
      <c r="D582" s="11" t="s">
        <v>11</v>
      </c>
      <c r="E582" s="1"/>
      <c r="F582" s="1"/>
      <c r="G582" s="1"/>
      <c r="H582" s="1"/>
      <c r="I582" s="1"/>
    </row>
    <row r="583" spans="1:9" ht="29" x14ac:dyDescent="0.2">
      <c r="A583" s="2"/>
      <c r="B583" s="9" t="s">
        <v>1052</v>
      </c>
      <c r="C583" s="10" t="s">
        <v>1053</v>
      </c>
      <c r="D583" s="11" t="s">
        <v>11</v>
      </c>
      <c r="E583" s="1"/>
      <c r="F583" s="1"/>
      <c r="G583" s="1"/>
      <c r="H583" s="1"/>
      <c r="I583" s="1"/>
    </row>
    <row r="584" spans="1:9" ht="29" x14ac:dyDescent="0.2">
      <c r="A584" s="2"/>
      <c r="B584" s="9" t="s">
        <v>1054</v>
      </c>
      <c r="C584" s="10" t="s">
        <v>1053</v>
      </c>
      <c r="D584" s="11" t="s">
        <v>13</v>
      </c>
      <c r="E584" s="1"/>
      <c r="F584" s="1"/>
      <c r="G584" s="1"/>
      <c r="H584" s="1"/>
      <c r="I584" s="1"/>
    </row>
    <row r="585" spans="1:9" ht="29" x14ac:dyDescent="0.2">
      <c r="A585" s="2"/>
      <c r="B585" s="9" t="s">
        <v>1055</v>
      </c>
      <c r="C585" s="10" t="s">
        <v>1056</v>
      </c>
      <c r="D585" s="11" t="s">
        <v>11</v>
      </c>
      <c r="E585" s="1"/>
      <c r="F585" s="1"/>
      <c r="G585" s="1"/>
      <c r="H585" s="1"/>
      <c r="I585" s="1"/>
    </row>
    <row r="586" spans="1:9" ht="29" x14ac:dyDescent="0.2">
      <c r="A586" s="2"/>
      <c r="B586" s="9" t="s">
        <v>1057</v>
      </c>
      <c r="C586" s="10" t="s">
        <v>1056</v>
      </c>
      <c r="D586" s="11" t="s">
        <v>13</v>
      </c>
      <c r="E586" s="1"/>
      <c r="F586" s="1"/>
      <c r="G586" s="1"/>
      <c r="H586" s="1"/>
      <c r="I586" s="1"/>
    </row>
    <row r="587" spans="1:9" ht="29" x14ac:dyDescent="0.2">
      <c r="A587" s="2"/>
      <c r="B587" s="9" t="s">
        <v>1058</v>
      </c>
      <c r="C587" s="10" t="s">
        <v>1059</v>
      </c>
      <c r="D587" s="11" t="s">
        <v>11</v>
      </c>
      <c r="E587" s="1"/>
      <c r="F587" s="1"/>
      <c r="G587" s="1"/>
      <c r="H587" s="1"/>
      <c r="I587" s="1"/>
    </row>
    <row r="588" spans="1:9" x14ac:dyDescent="0.2">
      <c r="A588" s="2"/>
      <c r="B588" s="9" t="s">
        <v>1060</v>
      </c>
      <c r="C588" s="10" t="s">
        <v>1061</v>
      </c>
      <c r="D588" s="11" t="s">
        <v>18</v>
      </c>
      <c r="E588" s="1"/>
      <c r="F588" s="1"/>
      <c r="G588" s="1"/>
      <c r="H588" s="1"/>
      <c r="I588" s="1"/>
    </row>
    <row r="589" spans="1:9" ht="29" x14ac:dyDescent="0.2">
      <c r="A589" s="2"/>
      <c r="B589" s="9" t="s">
        <v>1062</v>
      </c>
      <c r="C589" s="10" t="s">
        <v>1059</v>
      </c>
      <c r="D589" s="11" t="s">
        <v>13</v>
      </c>
      <c r="E589" s="1"/>
      <c r="F589" s="1"/>
      <c r="G589" s="1"/>
      <c r="H589" s="1"/>
      <c r="I589" s="1"/>
    </row>
    <row r="590" spans="1:9" ht="29" x14ac:dyDescent="0.2">
      <c r="A590" s="2"/>
      <c r="B590" s="9" t="s">
        <v>1063</v>
      </c>
      <c r="C590" s="10" t="s">
        <v>1064</v>
      </c>
      <c r="D590" s="11" t="s">
        <v>22</v>
      </c>
      <c r="E590" s="1"/>
      <c r="F590" s="1"/>
      <c r="G590" s="1"/>
      <c r="H590" s="1"/>
      <c r="I590" s="1"/>
    </row>
    <row r="591" spans="1:9" ht="29" x14ac:dyDescent="0.2">
      <c r="A591" s="2"/>
      <c r="B591" s="9" t="s">
        <v>1065</v>
      </c>
      <c r="C591" s="10" t="s">
        <v>1066</v>
      </c>
      <c r="D591" s="11" t="s">
        <v>11</v>
      </c>
      <c r="E591" s="1"/>
      <c r="F591" s="1"/>
      <c r="G591" s="1"/>
      <c r="H591" s="1"/>
      <c r="I591" s="1"/>
    </row>
    <row r="592" spans="1:9" x14ac:dyDescent="0.2">
      <c r="A592" s="2"/>
      <c r="B592" s="9" t="s">
        <v>1067</v>
      </c>
      <c r="C592" s="10" t="s">
        <v>1068</v>
      </c>
      <c r="D592" s="11" t="s">
        <v>18</v>
      </c>
      <c r="E592" s="1"/>
      <c r="F592" s="1"/>
      <c r="G592" s="1"/>
      <c r="H592" s="1"/>
      <c r="I592" s="1"/>
    </row>
    <row r="593" spans="1:9" ht="29" x14ac:dyDescent="0.2">
      <c r="A593" s="2"/>
      <c r="B593" s="9" t="s">
        <v>1069</v>
      </c>
      <c r="C593" s="10" t="s">
        <v>1066</v>
      </c>
      <c r="D593" s="11" t="s">
        <v>13</v>
      </c>
      <c r="E593" s="1"/>
      <c r="F593" s="1"/>
      <c r="G593" s="1"/>
      <c r="H593" s="1"/>
      <c r="I593" s="1"/>
    </row>
    <row r="594" spans="1:9" ht="29" x14ac:dyDescent="0.2">
      <c r="A594" s="2"/>
      <c r="B594" s="9" t="s">
        <v>1070</v>
      </c>
      <c r="C594" s="10" t="s">
        <v>1071</v>
      </c>
      <c r="D594" s="11" t="s">
        <v>22</v>
      </c>
      <c r="E594" s="1"/>
      <c r="F594" s="1"/>
      <c r="G594" s="1"/>
      <c r="H594" s="1"/>
      <c r="I594" s="1"/>
    </row>
    <row r="595" spans="1:9" ht="29" x14ac:dyDescent="0.2">
      <c r="A595" s="2"/>
      <c r="B595" s="9" t="s">
        <v>1072</v>
      </c>
      <c r="C595" s="10" t="s">
        <v>1073</v>
      </c>
      <c r="D595" s="11" t="s">
        <v>11</v>
      </c>
      <c r="E595" s="1"/>
      <c r="F595" s="1"/>
      <c r="G595" s="1"/>
      <c r="H595" s="1"/>
      <c r="I595" s="1"/>
    </row>
    <row r="596" spans="1:9" x14ac:dyDescent="0.2">
      <c r="A596" s="2"/>
      <c r="B596" s="9" t="s">
        <v>1074</v>
      </c>
      <c r="C596" s="10" t="s">
        <v>1075</v>
      </c>
      <c r="D596" s="11" t="s">
        <v>18</v>
      </c>
      <c r="E596" s="1"/>
      <c r="F596" s="1"/>
      <c r="G596" s="1"/>
      <c r="H596" s="1"/>
      <c r="I596" s="1"/>
    </row>
    <row r="597" spans="1:9" ht="29" x14ac:dyDescent="0.2">
      <c r="A597" s="2"/>
      <c r="B597" s="9" t="s">
        <v>1076</v>
      </c>
      <c r="C597" s="10" t="s">
        <v>1073</v>
      </c>
      <c r="D597" s="11" t="s">
        <v>13</v>
      </c>
      <c r="E597" s="1"/>
      <c r="F597" s="1"/>
      <c r="G597" s="1"/>
      <c r="H597" s="1"/>
      <c r="I597" s="1"/>
    </row>
    <row r="598" spans="1:9" ht="29" x14ac:dyDescent="0.2">
      <c r="A598" s="2"/>
      <c r="B598" s="9" t="s">
        <v>1077</v>
      </c>
      <c r="C598" s="10" t="s">
        <v>1078</v>
      </c>
      <c r="D598" s="11" t="s">
        <v>22</v>
      </c>
      <c r="E598" s="1"/>
      <c r="F598" s="1"/>
      <c r="G598" s="1"/>
      <c r="H598" s="1"/>
      <c r="I598" s="1"/>
    </row>
    <row r="599" spans="1:9" ht="29" x14ac:dyDescent="0.2">
      <c r="A599" s="2"/>
      <c r="B599" s="9" t="s">
        <v>1079</v>
      </c>
      <c r="C599" s="10" t="s">
        <v>1080</v>
      </c>
      <c r="D599" s="11" t="s">
        <v>11</v>
      </c>
      <c r="E599" s="1"/>
      <c r="F599" s="1"/>
      <c r="G599" s="1"/>
      <c r="H599" s="1"/>
      <c r="I599" s="1"/>
    </row>
    <row r="600" spans="1:9" ht="29" x14ac:dyDescent="0.2">
      <c r="A600" s="2"/>
      <c r="B600" s="9" t="s">
        <v>1081</v>
      </c>
      <c r="C600" s="10" t="s">
        <v>1082</v>
      </c>
      <c r="D600" s="11" t="s">
        <v>11</v>
      </c>
      <c r="E600" s="1"/>
      <c r="F600" s="1"/>
      <c r="G600" s="1"/>
      <c r="H600" s="1"/>
      <c r="I600" s="1"/>
    </row>
    <row r="601" spans="1:9" x14ac:dyDescent="0.2">
      <c r="A601" s="2"/>
      <c r="B601" s="9" t="s">
        <v>1083</v>
      </c>
      <c r="C601" s="10" t="s">
        <v>1084</v>
      </c>
      <c r="D601" s="11" t="s">
        <v>18</v>
      </c>
      <c r="E601" s="1"/>
      <c r="F601" s="1"/>
      <c r="G601" s="1"/>
      <c r="H601" s="1"/>
      <c r="I601" s="1"/>
    </row>
    <row r="602" spans="1:9" ht="29" x14ac:dyDescent="0.2">
      <c r="A602" s="2"/>
      <c r="B602" s="9" t="s">
        <v>1085</v>
      </c>
      <c r="C602" s="10" t="s">
        <v>1082</v>
      </c>
      <c r="D602" s="11" t="s">
        <v>13</v>
      </c>
      <c r="E602" s="1"/>
      <c r="F602" s="1"/>
      <c r="G602" s="1"/>
      <c r="H602" s="1"/>
      <c r="I602" s="1"/>
    </row>
    <row r="603" spans="1:9" ht="29" x14ac:dyDescent="0.2">
      <c r="A603" s="2"/>
      <c r="B603" s="9" t="s">
        <v>1086</v>
      </c>
      <c r="C603" s="10" t="s">
        <v>1087</v>
      </c>
      <c r="D603" s="11" t="s">
        <v>22</v>
      </c>
      <c r="E603" s="1"/>
      <c r="F603" s="1"/>
      <c r="G603" s="1"/>
      <c r="H603" s="1"/>
      <c r="I603" s="1"/>
    </row>
    <row r="604" spans="1:9" x14ac:dyDescent="0.2">
      <c r="A604" s="2"/>
      <c r="B604" s="9" t="s">
        <v>1088</v>
      </c>
      <c r="C604" s="10" t="s">
        <v>1089</v>
      </c>
      <c r="D604" s="11" t="s">
        <v>11</v>
      </c>
      <c r="E604" s="1"/>
      <c r="F604" s="1"/>
      <c r="G604" s="1"/>
      <c r="H604" s="1"/>
      <c r="I604" s="1"/>
    </row>
    <row r="605" spans="1:9" ht="29" x14ac:dyDescent="0.2">
      <c r="A605" s="2"/>
      <c r="B605" s="9" t="s">
        <v>1090</v>
      </c>
      <c r="C605" s="10" t="s">
        <v>1091</v>
      </c>
      <c r="D605" s="11" t="s">
        <v>11</v>
      </c>
      <c r="E605" s="1"/>
      <c r="F605" s="1"/>
      <c r="G605" s="1"/>
      <c r="H605" s="1"/>
      <c r="I605" s="1"/>
    </row>
    <row r="606" spans="1:9" x14ac:dyDescent="0.2">
      <c r="A606" s="2"/>
      <c r="B606" s="9" t="s">
        <v>1092</v>
      </c>
      <c r="C606" s="10" t="s">
        <v>1093</v>
      </c>
      <c r="D606" s="11" t="s">
        <v>11</v>
      </c>
      <c r="E606" s="1"/>
      <c r="F606" s="1"/>
      <c r="G606" s="1"/>
      <c r="H606" s="1"/>
      <c r="I606" s="1"/>
    </row>
    <row r="607" spans="1:9" x14ac:dyDescent="0.2">
      <c r="A607" s="2"/>
      <c r="B607" s="9" t="s">
        <v>1094</v>
      </c>
      <c r="C607" s="10" t="s">
        <v>1095</v>
      </c>
      <c r="D607" s="11" t="s">
        <v>18</v>
      </c>
      <c r="E607" s="1"/>
      <c r="F607" s="1"/>
      <c r="G607" s="1"/>
      <c r="H607" s="1"/>
      <c r="I607" s="1"/>
    </row>
    <row r="608" spans="1:9" x14ac:dyDescent="0.2">
      <c r="A608" s="2"/>
      <c r="B608" s="9" t="s">
        <v>1096</v>
      </c>
      <c r="C608" s="10" t="s">
        <v>1093</v>
      </c>
      <c r="D608" s="11" t="s">
        <v>13</v>
      </c>
      <c r="E608" s="1"/>
      <c r="F608" s="1"/>
      <c r="G608" s="1"/>
      <c r="H608" s="1"/>
      <c r="I608" s="1"/>
    </row>
    <row r="609" spans="1:9" x14ac:dyDescent="0.2">
      <c r="A609" s="2"/>
      <c r="B609" s="9" t="s">
        <v>1097</v>
      </c>
      <c r="C609" s="10" t="s">
        <v>1098</v>
      </c>
      <c r="D609" s="11" t="s">
        <v>22</v>
      </c>
      <c r="E609" s="1"/>
      <c r="F609" s="1"/>
      <c r="G609" s="1"/>
      <c r="H609" s="1"/>
      <c r="I609" s="1"/>
    </row>
    <row r="610" spans="1:9" x14ac:dyDescent="0.2">
      <c r="A610" s="2"/>
      <c r="B610" s="9" t="s">
        <v>1099</v>
      </c>
      <c r="C610" s="10" t="s">
        <v>1100</v>
      </c>
      <c r="D610" s="11" t="s">
        <v>11</v>
      </c>
      <c r="E610" s="1"/>
      <c r="F610" s="1"/>
      <c r="G610" s="1"/>
      <c r="H610" s="1"/>
      <c r="I610" s="1"/>
    </row>
    <row r="611" spans="1:9" ht="29" x14ac:dyDescent="0.2">
      <c r="A611" s="2"/>
      <c r="B611" s="9" t="s">
        <v>1101</v>
      </c>
      <c r="C611" s="10" t="s">
        <v>1102</v>
      </c>
      <c r="D611" s="11" t="s">
        <v>18</v>
      </c>
      <c r="E611" s="1"/>
      <c r="F611" s="1"/>
      <c r="G611" s="1"/>
      <c r="H611" s="1"/>
      <c r="I611" s="1"/>
    </row>
    <row r="612" spans="1:9" x14ac:dyDescent="0.2">
      <c r="A612" s="2"/>
      <c r="B612" s="9" t="s">
        <v>1103</v>
      </c>
      <c r="C612" s="10" t="s">
        <v>1100</v>
      </c>
      <c r="D612" s="11" t="s">
        <v>13</v>
      </c>
      <c r="E612" s="1"/>
      <c r="F612" s="1"/>
      <c r="G612" s="1"/>
      <c r="H612" s="1"/>
      <c r="I612" s="1"/>
    </row>
    <row r="613" spans="1:9" x14ac:dyDescent="0.2">
      <c r="A613" s="2"/>
      <c r="B613" s="9" t="s">
        <v>1104</v>
      </c>
      <c r="C613" s="10" t="s">
        <v>1105</v>
      </c>
      <c r="D613" s="11" t="s">
        <v>22</v>
      </c>
      <c r="E613" s="1"/>
      <c r="F613" s="1"/>
      <c r="G613" s="1"/>
      <c r="H613" s="1"/>
      <c r="I613" s="1"/>
    </row>
    <row r="614" spans="1:9" ht="29" x14ac:dyDescent="0.2">
      <c r="A614" s="2"/>
      <c r="B614" s="9" t="s">
        <v>1106</v>
      </c>
      <c r="C614" s="10" t="s">
        <v>1107</v>
      </c>
      <c r="D614" s="11" t="s">
        <v>11</v>
      </c>
      <c r="E614" s="1"/>
      <c r="F614" s="1"/>
      <c r="G614" s="1"/>
      <c r="H614" s="1"/>
      <c r="I614" s="1"/>
    </row>
    <row r="615" spans="1:9" ht="29" x14ac:dyDescent="0.2">
      <c r="A615" s="2"/>
      <c r="B615" s="9" t="s">
        <v>1108</v>
      </c>
      <c r="C615" s="10" t="s">
        <v>1107</v>
      </c>
      <c r="D615" s="11" t="s">
        <v>13</v>
      </c>
      <c r="E615" s="1"/>
      <c r="F615" s="1"/>
      <c r="G615" s="1"/>
      <c r="H615" s="1"/>
      <c r="I615" s="1"/>
    </row>
    <row r="616" spans="1:9" ht="29" x14ac:dyDescent="0.2">
      <c r="A616" s="1"/>
      <c r="B616" s="9" t="s">
        <v>1109</v>
      </c>
      <c r="C616" s="10" t="s">
        <v>1110</v>
      </c>
      <c r="D616" s="11" t="s">
        <v>11</v>
      </c>
      <c r="E616" s="1"/>
      <c r="F616" s="1"/>
      <c r="G616" s="1"/>
      <c r="H616" s="1"/>
      <c r="I616" s="1"/>
    </row>
    <row r="617" spans="1:9" ht="29" x14ac:dyDescent="0.2">
      <c r="A617" s="1"/>
      <c r="B617" s="9" t="s">
        <v>1111</v>
      </c>
      <c r="C617" s="10" t="s">
        <v>1110</v>
      </c>
      <c r="D617" s="11" t="s">
        <v>13</v>
      </c>
      <c r="E617" s="1"/>
      <c r="F617" s="1"/>
      <c r="G617" s="1"/>
      <c r="H617" s="1"/>
      <c r="I617" s="1"/>
    </row>
    <row r="618" spans="1:9" ht="29" x14ac:dyDescent="0.2">
      <c r="A618" s="1"/>
      <c r="B618" s="9" t="s">
        <v>1112</v>
      </c>
      <c r="C618" s="10" t="s">
        <v>1113</v>
      </c>
      <c r="D618" s="11" t="s">
        <v>107</v>
      </c>
      <c r="E618" s="1"/>
      <c r="F618" s="1"/>
      <c r="G618" s="1"/>
      <c r="H618" s="1"/>
      <c r="I618" s="1"/>
    </row>
    <row r="619" spans="1:9" x14ac:dyDescent="0.2">
      <c r="A619" s="1"/>
      <c r="B619" s="9" t="s">
        <v>1114</v>
      </c>
      <c r="C619" s="10" t="s">
        <v>1115</v>
      </c>
      <c r="D619" s="11" t="s">
        <v>11</v>
      </c>
      <c r="E619" s="1"/>
      <c r="F619" s="1"/>
      <c r="G619" s="1"/>
      <c r="H619" s="1"/>
      <c r="I619" s="1"/>
    </row>
    <row r="620" spans="1:9" x14ac:dyDescent="0.2">
      <c r="A620" s="1"/>
      <c r="B620" s="9" t="s">
        <v>1116</v>
      </c>
      <c r="C620" s="10" t="s">
        <v>1117</v>
      </c>
      <c r="D620" s="11" t="s">
        <v>11</v>
      </c>
      <c r="E620" s="1"/>
      <c r="F620" s="1"/>
      <c r="G620" s="1"/>
      <c r="H620" s="1"/>
      <c r="I620" s="1"/>
    </row>
    <row r="621" spans="1:9" ht="29" x14ac:dyDescent="0.2">
      <c r="A621" s="1"/>
      <c r="B621" s="9" t="s">
        <v>1118</v>
      </c>
      <c r="C621" s="10" t="s">
        <v>1119</v>
      </c>
      <c r="D621" s="11" t="s">
        <v>11</v>
      </c>
      <c r="E621" s="1"/>
      <c r="F621" s="1"/>
      <c r="G621" s="1"/>
      <c r="H621" s="1"/>
      <c r="I621" s="1"/>
    </row>
    <row r="622" spans="1:9" ht="29" x14ac:dyDescent="0.2">
      <c r="A622" s="1"/>
      <c r="B622" s="9" t="s">
        <v>1120</v>
      </c>
      <c r="C622" s="10" t="s">
        <v>1121</v>
      </c>
      <c r="D622" s="11" t="s">
        <v>18</v>
      </c>
      <c r="E622" s="1"/>
      <c r="F622" s="1"/>
      <c r="G622" s="1"/>
      <c r="H622" s="1"/>
      <c r="I622" s="1"/>
    </row>
    <row r="623" spans="1:9" ht="29" x14ac:dyDescent="0.2">
      <c r="A623" s="1"/>
      <c r="B623" s="9" t="s">
        <v>1122</v>
      </c>
      <c r="C623" s="10" t="s">
        <v>1119</v>
      </c>
      <c r="D623" s="11" t="s">
        <v>13</v>
      </c>
      <c r="E623" s="1"/>
      <c r="F623" s="1"/>
      <c r="G623" s="1"/>
      <c r="H623" s="1"/>
      <c r="I623" s="1"/>
    </row>
    <row r="624" spans="1:9" ht="29" x14ac:dyDescent="0.2">
      <c r="A624" s="1"/>
      <c r="B624" s="9" t="s">
        <v>1123</v>
      </c>
      <c r="C624" s="10" t="s">
        <v>1124</v>
      </c>
      <c r="D624" s="11" t="s">
        <v>22</v>
      </c>
      <c r="E624" s="1"/>
      <c r="F624" s="1"/>
      <c r="G624" s="1"/>
      <c r="H624" s="1"/>
      <c r="I624" s="1"/>
    </row>
    <row r="625" spans="1:9" ht="29" x14ac:dyDescent="0.2">
      <c r="A625" s="1"/>
      <c r="B625" s="9" t="s">
        <v>1125</v>
      </c>
      <c r="C625" s="10" t="s">
        <v>1126</v>
      </c>
      <c r="D625" s="11" t="s">
        <v>11</v>
      </c>
      <c r="E625" s="1"/>
      <c r="F625" s="1"/>
      <c r="G625" s="1"/>
      <c r="H625" s="1"/>
      <c r="I625" s="1"/>
    </row>
    <row r="626" spans="1:9" ht="29" x14ac:dyDescent="0.2">
      <c r="A626" s="1"/>
      <c r="B626" s="9" t="s">
        <v>1127</v>
      </c>
      <c r="C626" s="10" t="s">
        <v>1128</v>
      </c>
      <c r="D626" s="11" t="s">
        <v>18</v>
      </c>
      <c r="E626" s="1"/>
      <c r="F626" s="1"/>
      <c r="G626" s="1"/>
      <c r="H626" s="1"/>
      <c r="I626" s="1"/>
    </row>
    <row r="627" spans="1:9" ht="29" x14ac:dyDescent="0.2">
      <c r="A627" s="1"/>
      <c r="B627" s="9" t="s">
        <v>1129</v>
      </c>
      <c r="C627" s="10" t="s">
        <v>1126</v>
      </c>
      <c r="D627" s="11" t="s">
        <v>13</v>
      </c>
      <c r="E627" s="1"/>
      <c r="F627" s="1"/>
      <c r="G627" s="1"/>
      <c r="H627" s="1"/>
      <c r="I627" s="1"/>
    </row>
    <row r="628" spans="1:9" ht="29" x14ac:dyDescent="0.2">
      <c r="A628" s="1"/>
      <c r="B628" s="9" t="s">
        <v>1130</v>
      </c>
      <c r="C628" s="10" t="s">
        <v>1131</v>
      </c>
      <c r="D628" s="11" t="s">
        <v>22</v>
      </c>
      <c r="E628" s="1"/>
      <c r="F628" s="1"/>
      <c r="G628" s="1"/>
      <c r="H628" s="1"/>
      <c r="I628" s="1"/>
    </row>
    <row r="629" spans="1:9" ht="29" x14ac:dyDescent="0.2">
      <c r="A629" s="1"/>
      <c r="B629" s="9" t="s">
        <v>1132</v>
      </c>
      <c r="C629" s="10" t="s">
        <v>1133</v>
      </c>
      <c r="D629" s="11" t="s">
        <v>11</v>
      </c>
      <c r="E629" s="1"/>
      <c r="F629" s="1"/>
      <c r="G629" s="1"/>
      <c r="H629" s="1"/>
      <c r="I629" s="1"/>
    </row>
    <row r="630" spans="1:9" ht="29" x14ac:dyDescent="0.2">
      <c r="A630" s="1"/>
      <c r="B630" s="9" t="s">
        <v>1134</v>
      </c>
      <c r="C630" s="10" t="s">
        <v>1135</v>
      </c>
      <c r="D630" s="11" t="s">
        <v>18</v>
      </c>
      <c r="E630" s="1"/>
      <c r="F630" s="1"/>
      <c r="G630" s="1"/>
      <c r="H630" s="1"/>
      <c r="I630" s="1"/>
    </row>
    <row r="631" spans="1:9" ht="29" x14ac:dyDescent="0.2">
      <c r="A631" s="1"/>
      <c r="B631" s="9" t="s">
        <v>1136</v>
      </c>
      <c r="C631" s="10" t="s">
        <v>1133</v>
      </c>
      <c r="D631" s="11" t="s">
        <v>13</v>
      </c>
      <c r="E631" s="1"/>
      <c r="F631" s="1"/>
      <c r="G631" s="1"/>
      <c r="H631" s="1"/>
      <c r="I631" s="1"/>
    </row>
    <row r="632" spans="1:9" ht="29" x14ac:dyDescent="0.2">
      <c r="A632" s="1"/>
      <c r="B632" s="9" t="s">
        <v>1137</v>
      </c>
      <c r="C632" s="10" t="s">
        <v>1138</v>
      </c>
      <c r="D632" s="11" t="s">
        <v>22</v>
      </c>
      <c r="E632" s="1"/>
      <c r="F632" s="1"/>
      <c r="G632" s="1"/>
      <c r="H632" s="1"/>
      <c r="I632" s="1"/>
    </row>
    <row r="633" spans="1:9" ht="29" x14ac:dyDescent="0.2">
      <c r="A633" s="1"/>
      <c r="B633" s="9" t="s">
        <v>1139</v>
      </c>
      <c r="C633" s="10" t="s">
        <v>1140</v>
      </c>
      <c r="D633" s="11" t="s">
        <v>11</v>
      </c>
      <c r="E633" s="1"/>
      <c r="F633" s="1"/>
      <c r="G633" s="1"/>
      <c r="H633" s="1"/>
      <c r="I633" s="1"/>
    </row>
    <row r="634" spans="1:9" ht="29" x14ac:dyDescent="0.2">
      <c r="A634" s="1"/>
      <c r="B634" s="9" t="s">
        <v>1141</v>
      </c>
      <c r="C634" s="10" t="s">
        <v>1142</v>
      </c>
      <c r="D634" s="11" t="s">
        <v>18</v>
      </c>
      <c r="E634" s="1"/>
      <c r="F634" s="1"/>
      <c r="G634" s="1"/>
      <c r="H634" s="1"/>
      <c r="I634" s="1"/>
    </row>
    <row r="635" spans="1:9" ht="29" x14ac:dyDescent="0.2">
      <c r="A635" s="1"/>
      <c r="B635" s="9" t="s">
        <v>1143</v>
      </c>
      <c r="C635" s="10" t="s">
        <v>1140</v>
      </c>
      <c r="D635" s="11" t="s">
        <v>13</v>
      </c>
      <c r="E635" s="1"/>
      <c r="F635" s="1"/>
      <c r="G635" s="1"/>
      <c r="H635" s="1"/>
      <c r="I635" s="1"/>
    </row>
    <row r="636" spans="1:9" ht="29" x14ac:dyDescent="0.2">
      <c r="A636" s="1"/>
      <c r="B636" s="9" t="s">
        <v>1144</v>
      </c>
      <c r="C636" s="10" t="s">
        <v>1145</v>
      </c>
      <c r="D636" s="11" t="s">
        <v>22</v>
      </c>
      <c r="E636" s="1"/>
      <c r="F636" s="1"/>
      <c r="G636" s="1"/>
      <c r="H636" s="1"/>
      <c r="I636" s="1"/>
    </row>
    <row r="637" spans="1:9" ht="29" x14ac:dyDescent="0.2">
      <c r="A637" s="1"/>
      <c r="B637" s="9" t="s">
        <v>1146</v>
      </c>
      <c r="C637" s="10" t="s">
        <v>1147</v>
      </c>
      <c r="D637" s="11" t="s">
        <v>11</v>
      </c>
      <c r="E637" s="1"/>
      <c r="F637" s="1"/>
      <c r="G637" s="1"/>
      <c r="H637" s="1"/>
      <c r="I637" s="1"/>
    </row>
    <row r="638" spans="1:9" ht="29" x14ac:dyDescent="0.2">
      <c r="A638" s="1"/>
      <c r="B638" s="9" t="s">
        <v>1148</v>
      </c>
      <c r="C638" s="10" t="s">
        <v>1149</v>
      </c>
      <c r="D638" s="11" t="s">
        <v>11</v>
      </c>
      <c r="E638" s="1"/>
      <c r="F638" s="1"/>
      <c r="G638" s="1"/>
      <c r="H638" s="1"/>
      <c r="I638" s="1"/>
    </row>
    <row r="639" spans="1:9" ht="29" x14ac:dyDescent="0.2">
      <c r="A639" s="1"/>
      <c r="B639" s="9" t="s">
        <v>1150</v>
      </c>
      <c r="C639" s="10" t="s">
        <v>1151</v>
      </c>
      <c r="D639" s="11" t="s">
        <v>11</v>
      </c>
      <c r="E639" s="1"/>
      <c r="F639" s="1"/>
      <c r="G639" s="1"/>
      <c r="H639" s="1"/>
      <c r="I639" s="1"/>
    </row>
    <row r="640" spans="1:9" x14ac:dyDescent="0.2">
      <c r="A640" s="1"/>
      <c r="B640" s="9" t="s">
        <v>1152</v>
      </c>
      <c r="C640" s="10" t="s">
        <v>1153</v>
      </c>
      <c r="D640" s="11" t="s">
        <v>11</v>
      </c>
      <c r="E640" s="1"/>
      <c r="F640" s="1"/>
      <c r="G640" s="1"/>
      <c r="H640" s="1"/>
      <c r="I640" s="1"/>
    </row>
    <row r="641" spans="1:9" x14ac:dyDescent="0.2">
      <c r="A641" s="1"/>
      <c r="B641" s="9" t="s">
        <v>1154</v>
      </c>
      <c r="C641" s="10" t="s">
        <v>1155</v>
      </c>
      <c r="D641" s="11" t="s">
        <v>18</v>
      </c>
      <c r="E641" s="1"/>
      <c r="F641" s="1"/>
      <c r="G641" s="1"/>
      <c r="H641" s="1"/>
      <c r="I641" s="1"/>
    </row>
    <row r="642" spans="1:9" x14ac:dyDescent="0.2">
      <c r="A642" s="1"/>
      <c r="B642" s="9" t="s">
        <v>1156</v>
      </c>
      <c r="C642" s="10" t="s">
        <v>1153</v>
      </c>
      <c r="D642" s="11" t="s">
        <v>13</v>
      </c>
      <c r="E642" s="1"/>
      <c r="F642" s="1"/>
      <c r="G642" s="1"/>
      <c r="H642" s="1"/>
      <c r="I642" s="1"/>
    </row>
    <row r="643" spans="1:9" x14ac:dyDescent="0.2">
      <c r="A643" s="1"/>
      <c r="B643" s="9" t="s">
        <v>1157</v>
      </c>
      <c r="C643" s="10" t="s">
        <v>1158</v>
      </c>
      <c r="D643" s="11" t="s">
        <v>22</v>
      </c>
      <c r="E643" s="1"/>
      <c r="F643" s="1"/>
      <c r="G643" s="1"/>
      <c r="H643" s="1"/>
      <c r="I643" s="1"/>
    </row>
    <row r="644" spans="1:9" ht="29" x14ac:dyDescent="0.2">
      <c r="A644" s="1"/>
      <c r="B644" s="9" t="s">
        <v>1159</v>
      </c>
      <c r="C644" s="10" t="s">
        <v>1160</v>
      </c>
      <c r="D644" s="11" t="s">
        <v>11</v>
      </c>
      <c r="E644" s="1"/>
      <c r="F644" s="1"/>
      <c r="G644" s="1"/>
      <c r="H644" s="1"/>
      <c r="I644" s="1"/>
    </row>
    <row r="645" spans="1:9" ht="29" x14ac:dyDescent="0.2">
      <c r="A645" s="1"/>
      <c r="B645" s="9" t="s">
        <v>1161</v>
      </c>
      <c r="C645" s="10" t="s">
        <v>1162</v>
      </c>
      <c r="D645" s="11" t="s">
        <v>18</v>
      </c>
      <c r="E645" s="1"/>
      <c r="F645" s="1"/>
      <c r="G645" s="1"/>
      <c r="H645" s="1"/>
      <c r="I645" s="1"/>
    </row>
    <row r="646" spans="1:9" ht="29" x14ac:dyDescent="0.2">
      <c r="A646" s="1"/>
      <c r="B646" s="12" t="s">
        <v>1163</v>
      </c>
      <c r="C646" s="14" t="s">
        <v>1160</v>
      </c>
      <c r="D646" s="15" t="s">
        <v>13</v>
      </c>
      <c r="E646" s="1"/>
      <c r="F646" s="1"/>
      <c r="G646" s="1"/>
      <c r="H646" s="1"/>
      <c r="I646" s="1"/>
    </row>
    <row r="647" spans="1:9" ht="29" x14ac:dyDescent="0.2">
      <c r="A647" s="1"/>
      <c r="B647" s="9" t="s">
        <v>1164</v>
      </c>
      <c r="C647" s="10" t="s">
        <v>1165</v>
      </c>
      <c r="D647" s="11" t="s">
        <v>22</v>
      </c>
      <c r="E647" s="1"/>
      <c r="F647" s="1"/>
      <c r="G647" s="1"/>
      <c r="H647" s="1"/>
      <c r="I647" s="1"/>
    </row>
    <row r="648" spans="1:9" ht="29" x14ac:dyDescent="0.2">
      <c r="A648" s="1"/>
      <c r="B648" s="9" t="s">
        <v>1166</v>
      </c>
      <c r="C648" s="10" t="s">
        <v>1167</v>
      </c>
      <c r="D648" s="11" t="s">
        <v>11</v>
      </c>
      <c r="E648" s="1"/>
      <c r="F648" s="1"/>
      <c r="G648" s="1"/>
      <c r="H648" s="1"/>
      <c r="I648" s="1"/>
    </row>
    <row r="649" spans="1:9" ht="29" x14ac:dyDescent="0.2">
      <c r="A649" s="1"/>
      <c r="B649" s="9" t="s">
        <v>1168</v>
      </c>
      <c r="C649" s="10" t="s">
        <v>1169</v>
      </c>
      <c r="D649" s="11" t="s">
        <v>11</v>
      </c>
      <c r="E649" s="1"/>
      <c r="F649" s="1"/>
      <c r="G649" s="1"/>
      <c r="H649" s="1"/>
      <c r="I649" s="1"/>
    </row>
    <row r="650" spans="1:9" ht="29" x14ac:dyDescent="0.2">
      <c r="A650" s="1"/>
      <c r="B650" s="9" t="s">
        <v>1170</v>
      </c>
      <c r="C650" s="10" t="s">
        <v>1171</v>
      </c>
      <c r="D650" s="11" t="s">
        <v>11</v>
      </c>
      <c r="E650" s="1"/>
      <c r="F650" s="1"/>
      <c r="G650" s="1"/>
      <c r="H650" s="1"/>
      <c r="I650" s="1"/>
    </row>
    <row r="651" spans="1:9" ht="29" x14ac:dyDescent="0.2">
      <c r="A651" s="1"/>
      <c r="B651" s="9" t="s">
        <v>1172</v>
      </c>
      <c r="C651" s="10" t="s">
        <v>1173</v>
      </c>
      <c r="D651" s="11" t="s">
        <v>11</v>
      </c>
      <c r="E651" s="1"/>
      <c r="F651" s="1"/>
      <c r="G651" s="1"/>
      <c r="H651" s="1"/>
      <c r="I651" s="1"/>
    </row>
    <row r="652" spans="1:9" ht="29" x14ac:dyDescent="0.2">
      <c r="A652" s="1"/>
      <c r="B652" s="9" t="s">
        <v>1174</v>
      </c>
      <c r="C652" s="10" t="s">
        <v>1175</v>
      </c>
      <c r="D652" s="11" t="s">
        <v>11</v>
      </c>
      <c r="E652" s="1"/>
      <c r="F652" s="1"/>
      <c r="G652" s="1"/>
      <c r="H652" s="1"/>
      <c r="I652" s="1"/>
    </row>
    <row r="653" spans="1:9" ht="29" x14ac:dyDescent="0.2">
      <c r="A653" s="1"/>
      <c r="B653" s="9" t="s">
        <v>1176</v>
      </c>
      <c r="C653" s="10" t="s">
        <v>1177</v>
      </c>
      <c r="D653" s="11" t="s">
        <v>11</v>
      </c>
      <c r="E653" s="1"/>
      <c r="F653" s="1"/>
      <c r="G653" s="1"/>
      <c r="H653" s="1"/>
      <c r="I653" s="1"/>
    </row>
    <row r="654" spans="1:9" ht="29" x14ac:dyDescent="0.2">
      <c r="A654" s="1"/>
      <c r="B654" s="9" t="s">
        <v>1178</v>
      </c>
      <c r="C654" s="10" t="s">
        <v>1177</v>
      </c>
      <c r="D654" s="11" t="s">
        <v>13</v>
      </c>
      <c r="E654" s="1"/>
      <c r="F654" s="1"/>
      <c r="G654" s="1"/>
      <c r="H654" s="1"/>
      <c r="I654" s="1"/>
    </row>
    <row r="655" spans="1:9" ht="29" x14ac:dyDescent="0.2">
      <c r="A655" s="1"/>
      <c r="B655" s="9" t="s">
        <v>1179</v>
      </c>
      <c r="C655" s="10" t="s">
        <v>1180</v>
      </c>
      <c r="D655" s="11" t="s">
        <v>11</v>
      </c>
      <c r="E655" s="1"/>
      <c r="F655" s="1"/>
      <c r="G655" s="1"/>
      <c r="H655" s="1"/>
      <c r="I655" s="1"/>
    </row>
    <row r="656" spans="1:9" ht="29" x14ac:dyDescent="0.2">
      <c r="A656" s="1"/>
      <c r="B656" s="9" t="s">
        <v>1181</v>
      </c>
      <c r="C656" s="10" t="s">
        <v>1182</v>
      </c>
      <c r="D656" s="11" t="s">
        <v>18</v>
      </c>
      <c r="E656" s="1"/>
      <c r="F656" s="1"/>
      <c r="G656" s="1"/>
      <c r="H656" s="1"/>
      <c r="I656" s="1"/>
    </row>
    <row r="657" spans="1:9" ht="29" x14ac:dyDescent="0.2">
      <c r="A657" s="1"/>
      <c r="B657" s="9" t="s">
        <v>1183</v>
      </c>
      <c r="C657" s="10" t="s">
        <v>1180</v>
      </c>
      <c r="D657" s="11" t="s">
        <v>13</v>
      </c>
      <c r="E657" s="1"/>
      <c r="F657" s="1"/>
      <c r="G657" s="1"/>
      <c r="H657" s="1"/>
      <c r="I657" s="1"/>
    </row>
    <row r="658" spans="1:9" ht="29" x14ac:dyDescent="0.2">
      <c r="A658" s="1"/>
      <c r="B658" s="9" t="s">
        <v>1184</v>
      </c>
      <c r="C658" s="10" t="s">
        <v>1185</v>
      </c>
      <c r="D658" s="11" t="s">
        <v>22</v>
      </c>
      <c r="E658" s="1"/>
      <c r="F658" s="1"/>
      <c r="G658" s="1"/>
      <c r="H658" s="1"/>
      <c r="I658" s="1"/>
    </row>
    <row r="659" spans="1:9" ht="29" x14ac:dyDescent="0.2">
      <c r="A659" s="1"/>
      <c r="B659" s="9" t="s">
        <v>1186</v>
      </c>
      <c r="C659" s="10" t="s">
        <v>1187</v>
      </c>
      <c r="D659" s="11" t="s">
        <v>11</v>
      </c>
      <c r="E659" s="1"/>
      <c r="F659" s="1"/>
      <c r="G659" s="1"/>
      <c r="H659" s="1"/>
      <c r="I659" s="1"/>
    </row>
    <row r="660" spans="1:9" ht="29" x14ac:dyDescent="0.2">
      <c r="A660" s="1"/>
      <c r="B660" s="9" t="s">
        <v>1188</v>
      </c>
      <c r="C660" s="10" t="s">
        <v>1189</v>
      </c>
      <c r="D660" s="11" t="s">
        <v>308</v>
      </c>
      <c r="E660" s="1"/>
      <c r="F660" s="1"/>
      <c r="G660" s="1"/>
      <c r="H660" s="1"/>
      <c r="I660" s="1"/>
    </row>
    <row r="661" spans="1:9" ht="29" x14ac:dyDescent="0.2">
      <c r="A661" s="1"/>
      <c r="B661" s="9" t="s">
        <v>1190</v>
      </c>
      <c r="C661" s="10" t="s">
        <v>1191</v>
      </c>
      <c r="D661" s="11" t="s">
        <v>11</v>
      </c>
      <c r="E661" s="1"/>
      <c r="F661" s="1"/>
      <c r="G661" s="1"/>
      <c r="H661" s="1"/>
      <c r="I661" s="1"/>
    </row>
    <row r="662" spans="1:9" ht="43" x14ac:dyDescent="0.2">
      <c r="A662" s="1"/>
      <c r="B662" s="9" t="s">
        <v>1192</v>
      </c>
      <c r="C662" s="10" t="s">
        <v>1193</v>
      </c>
      <c r="D662" s="11" t="s">
        <v>308</v>
      </c>
      <c r="E662" s="1"/>
      <c r="F662" s="1"/>
      <c r="G662" s="1"/>
      <c r="H662" s="1"/>
      <c r="I662" s="1"/>
    </row>
    <row r="663" spans="1:9" ht="29" x14ac:dyDescent="0.2">
      <c r="A663" s="1"/>
      <c r="B663" s="9" t="s">
        <v>1194</v>
      </c>
      <c r="C663" s="10" t="s">
        <v>1195</v>
      </c>
      <c r="D663" s="11" t="s">
        <v>107</v>
      </c>
      <c r="E663" s="1"/>
      <c r="F663" s="1"/>
      <c r="G663" s="1"/>
      <c r="H663" s="1"/>
      <c r="I663" s="1"/>
    </row>
    <row r="664" spans="1:9" ht="29" x14ac:dyDescent="0.2">
      <c r="A664" s="1"/>
      <c r="B664" s="9" t="s">
        <v>1196</v>
      </c>
      <c r="C664" s="10" t="s">
        <v>1197</v>
      </c>
      <c r="D664" s="11" t="s">
        <v>11</v>
      </c>
      <c r="E664" s="1"/>
      <c r="F664" s="1"/>
      <c r="G664" s="1"/>
      <c r="H664" s="1"/>
      <c r="I664" s="1"/>
    </row>
    <row r="665" spans="1:9" ht="29" x14ac:dyDescent="0.2">
      <c r="A665" s="1"/>
      <c r="B665" s="9" t="s">
        <v>1198</v>
      </c>
      <c r="C665" s="10" t="s">
        <v>1199</v>
      </c>
      <c r="D665" s="11" t="s">
        <v>308</v>
      </c>
      <c r="E665" s="1"/>
      <c r="F665" s="1"/>
      <c r="G665" s="1"/>
      <c r="H665" s="1"/>
      <c r="I665" s="1"/>
    </row>
    <row r="666" spans="1:9" ht="43" x14ac:dyDescent="0.2">
      <c r="A666" s="1"/>
      <c r="B666" s="9" t="s">
        <v>1200</v>
      </c>
      <c r="C666" s="10" t="s">
        <v>1201</v>
      </c>
      <c r="D666" s="11" t="s">
        <v>308</v>
      </c>
      <c r="E666" s="1"/>
      <c r="F666" s="1"/>
      <c r="G666" s="1"/>
      <c r="H666" s="1"/>
      <c r="I666" s="1"/>
    </row>
    <row r="667" spans="1:9" ht="29" x14ac:dyDescent="0.2">
      <c r="A667" s="1"/>
      <c r="B667" s="9" t="s">
        <v>1202</v>
      </c>
      <c r="C667" s="10" t="s">
        <v>1203</v>
      </c>
      <c r="D667" s="11" t="s">
        <v>11</v>
      </c>
      <c r="E667" s="1"/>
      <c r="F667" s="1"/>
      <c r="G667" s="1"/>
      <c r="H667" s="1"/>
      <c r="I667" s="1"/>
    </row>
    <row r="668" spans="1:9" x14ac:dyDescent="0.2">
      <c r="A668" s="1"/>
      <c r="B668" s="9" t="s">
        <v>1204</v>
      </c>
      <c r="C668" s="10" t="s">
        <v>1205</v>
      </c>
      <c r="D668" s="11" t="s">
        <v>11</v>
      </c>
      <c r="E668" s="1"/>
      <c r="F668" s="1"/>
      <c r="G668" s="1"/>
      <c r="H668" s="1"/>
      <c r="I668" s="1"/>
    </row>
    <row r="669" spans="1:9" ht="29" x14ac:dyDescent="0.2">
      <c r="A669" s="1"/>
      <c r="B669" s="9" t="s">
        <v>1206</v>
      </c>
      <c r="C669" s="10" t="s">
        <v>1207</v>
      </c>
      <c r="D669" s="11" t="s">
        <v>308</v>
      </c>
      <c r="E669" s="1"/>
      <c r="F669" s="1"/>
      <c r="G669" s="1"/>
      <c r="H669" s="1"/>
      <c r="I669" s="1"/>
    </row>
    <row r="670" spans="1:9" x14ac:dyDescent="0.2">
      <c r="A670" s="1"/>
      <c r="B670" s="9" t="s">
        <v>1208</v>
      </c>
      <c r="C670" s="10" t="s">
        <v>1209</v>
      </c>
      <c r="D670" s="11" t="s">
        <v>11</v>
      </c>
      <c r="E670" s="1"/>
      <c r="F670" s="1"/>
      <c r="G670" s="1"/>
      <c r="H670" s="1"/>
      <c r="I670" s="1"/>
    </row>
    <row r="671" spans="1:9" ht="29" x14ac:dyDescent="0.2">
      <c r="A671" s="1"/>
      <c r="B671" s="9" t="s">
        <v>1210</v>
      </c>
      <c r="C671" s="10" t="s">
        <v>1211</v>
      </c>
      <c r="D671" s="11" t="s">
        <v>11</v>
      </c>
      <c r="E671" s="1"/>
      <c r="F671" s="1"/>
      <c r="G671" s="1"/>
      <c r="H671" s="1"/>
      <c r="I671" s="1"/>
    </row>
    <row r="672" spans="1:9" ht="29" x14ac:dyDescent="0.2">
      <c r="A672" s="1"/>
      <c r="B672" s="9" t="s">
        <v>1212</v>
      </c>
      <c r="C672" s="10" t="s">
        <v>1213</v>
      </c>
      <c r="D672" s="11" t="s">
        <v>18</v>
      </c>
      <c r="E672" s="1"/>
      <c r="F672" s="1"/>
      <c r="G672" s="1"/>
      <c r="H672" s="1"/>
      <c r="I672" s="1"/>
    </row>
    <row r="673" spans="1:9" ht="29" x14ac:dyDescent="0.2">
      <c r="A673" s="1"/>
      <c r="B673" s="9" t="s">
        <v>1214</v>
      </c>
      <c r="C673" s="10" t="s">
        <v>1215</v>
      </c>
      <c r="D673" s="11" t="s">
        <v>22</v>
      </c>
      <c r="E673" s="1"/>
      <c r="F673" s="1"/>
      <c r="G673" s="1"/>
      <c r="H673" s="1"/>
      <c r="I673" s="1"/>
    </row>
    <row r="674" spans="1:9" ht="29" x14ac:dyDescent="0.2">
      <c r="A674" s="1"/>
      <c r="B674" s="9" t="s">
        <v>1216</v>
      </c>
      <c r="C674" s="10" t="s">
        <v>1217</v>
      </c>
      <c r="D674" s="11" t="s">
        <v>787</v>
      </c>
      <c r="E674" s="1"/>
      <c r="F674" s="1"/>
      <c r="G674" s="1"/>
      <c r="H674" s="1"/>
      <c r="I674" s="1"/>
    </row>
    <row r="675" spans="1:9" ht="29" x14ac:dyDescent="0.2">
      <c r="A675" s="1"/>
      <c r="B675" s="9" t="s">
        <v>1218</v>
      </c>
      <c r="C675" s="10" t="s">
        <v>1219</v>
      </c>
      <c r="D675" s="11" t="s">
        <v>11</v>
      </c>
      <c r="E675" s="2"/>
      <c r="F675" s="1"/>
      <c r="G675" s="1"/>
      <c r="H675" s="1"/>
      <c r="I675" s="1"/>
    </row>
    <row r="676" spans="1:9" ht="29" x14ac:dyDescent="0.2">
      <c r="A676" s="1"/>
      <c r="B676" s="9" t="s">
        <v>1220</v>
      </c>
      <c r="C676" s="10" t="s">
        <v>1221</v>
      </c>
      <c r="D676" s="11" t="s">
        <v>18</v>
      </c>
      <c r="E676" s="2"/>
      <c r="F676" s="1"/>
      <c r="G676" s="2"/>
      <c r="H676" s="2"/>
      <c r="I676" s="2"/>
    </row>
    <row r="677" spans="1:9" ht="29" x14ac:dyDescent="0.2">
      <c r="A677" s="1"/>
      <c r="B677" s="9" t="s">
        <v>1222</v>
      </c>
      <c r="C677" s="10" t="s">
        <v>1223</v>
      </c>
      <c r="D677" s="11" t="s">
        <v>22</v>
      </c>
      <c r="E677" s="2"/>
      <c r="F677" s="1"/>
      <c r="G677" s="2"/>
      <c r="H677" s="2"/>
      <c r="I677" s="2"/>
    </row>
    <row r="678" spans="1:9" ht="29" x14ac:dyDescent="0.2">
      <c r="A678" s="1"/>
      <c r="B678" s="9" t="s">
        <v>1224</v>
      </c>
      <c r="C678" s="10" t="s">
        <v>1225</v>
      </c>
      <c r="D678" s="11" t="s">
        <v>787</v>
      </c>
      <c r="E678" s="2"/>
      <c r="F678" s="1"/>
      <c r="G678" s="1"/>
      <c r="H678" s="1"/>
      <c r="I678" s="1"/>
    </row>
    <row r="679" spans="1:9" ht="43" x14ac:dyDescent="0.2">
      <c r="A679" s="1"/>
      <c r="B679" s="9" t="s">
        <v>1226</v>
      </c>
      <c r="C679" s="10" t="s">
        <v>1227</v>
      </c>
      <c r="D679" s="11" t="s">
        <v>11</v>
      </c>
      <c r="E679" s="2"/>
      <c r="F679" s="1"/>
      <c r="G679" s="1"/>
      <c r="H679" s="1"/>
      <c r="I679" s="1"/>
    </row>
    <row r="680" spans="1:9" ht="29" x14ac:dyDescent="0.2">
      <c r="A680" s="1"/>
      <c r="B680" s="9" t="s">
        <v>1228</v>
      </c>
      <c r="C680" s="10" t="s">
        <v>1229</v>
      </c>
      <c r="D680" s="11" t="s">
        <v>1230</v>
      </c>
      <c r="E680" s="1"/>
      <c r="F680" s="1"/>
      <c r="G680" s="1"/>
      <c r="H680" s="1"/>
      <c r="I680" s="1"/>
    </row>
    <row r="681" spans="1:9" ht="29" x14ac:dyDescent="0.2">
      <c r="A681" s="1"/>
      <c r="B681" s="9" t="s">
        <v>1231</v>
      </c>
      <c r="C681" s="10" t="s">
        <v>1232</v>
      </c>
      <c r="D681" s="11" t="s">
        <v>11</v>
      </c>
      <c r="E681" s="1"/>
      <c r="F681" s="1"/>
      <c r="G681" s="1"/>
      <c r="H681" s="1"/>
      <c r="I681" s="1"/>
    </row>
    <row r="682" spans="1:9" ht="29" x14ac:dyDescent="0.2">
      <c r="A682" s="2"/>
      <c r="B682" s="9" t="s">
        <v>1233</v>
      </c>
      <c r="C682" s="10" t="s">
        <v>1234</v>
      </c>
      <c r="D682" s="11" t="s">
        <v>18</v>
      </c>
      <c r="E682" s="1"/>
      <c r="F682" s="1"/>
      <c r="G682" s="1"/>
      <c r="H682" s="1"/>
      <c r="I682" s="1"/>
    </row>
    <row r="683" spans="1:9" ht="29" x14ac:dyDescent="0.2">
      <c r="A683" s="2"/>
      <c r="B683" s="9" t="s">
        <v>1235</v>
      </c>
      <c r="C683" s="10" t="s">
        <v>1236</v>
      </c>
      <c r="D683" s="11" t="s">
        <v>22</v>
      </c>
      <c r="E683" s="1"/>
      <c r="F683" s="1"/>
      <c r="G683" s="1"/>
      <c r="H683" s="1"/>
      <c r="I683" s="1"/>
    </row>
    <row r="684" spans="1:9" ht="29" x14ac:dyDescent="0.2">
      <c r="A684" s="1"/>
      <c r="B684" s="9" t="s">
        <v>1237</v>
      </c>
      <c r="C684" s="10" t="s">
        <v>1238</v>
      </c>
      <c r="D684" s="11" t="s">
        <v>787</v>
      </c>
      <c r="E684" s="1"/>
      <c r="F684" s="1"/>
      <c r="G684" s="1"/>
      <c r="H684" s="1"/>
      <c r="I684" s="1"/>
    </row>
    <row r="685" spans="1:9" ht="43" x14ac:dyDescent="0.2">
      <c r="A685" s="1"/>
      <c r="B685" s="9" t="s">
        <v>1239</v>
      </c>
      <c r="C685" s="10" t="s">
        <v>1240</v>
      </c>
      <c r="D685" s="11" t="s">
        <v>11</v>
      </c>
      <c r="E685" s="1"/>
      <c r="F685" s="1"/>
      <c r="G685" s="1"/>
      <c r="H685" s="1"/>
      <c r="I685" s="1"/>
    </row>
    <row r="686" spans="1:9" x14ac:dyDescent="0.2">
      <c r="A686" s="1"/>
      <c r="B686" s="9" t="s">
        <v>1241</v>
      </c>
      <c r="C686" s="10" t="s">
        <v>1242</v>
      </c>
      <c r="D686" s="11" t="s">
        <v>11</v>
      </c>
      <c r="E686" s="1"/>
      <c r="F686" s="1"/>
      <c r="G686" s="1"/>
      <c r="H686" s="1"/>
      <c r="I686" s="1"/>
    </row>
    <row r="687" spans="1:9" ht="29" x14ac:dyDescent="0.2">
      <c r="A687" s="1"/>
      <c r="B687" s="9" t="s">
        <v>1243</v>
      </c>
      <c r="C687" s="10" t="s">
        <v>1244</v>
      </c>
      <c r="D687" s="11" t="s">
        <v>11</v>
      </c>
      <c r="E687" s="1"/>
      <c r="F687" s="1"/>
      <c r="G687" s="1"/>
      <c r="H687" s="1"/>
      <c r="I687" s="1"/>
    </row>
    <row r="688" spans="1:9" ht="29" x14ac:dyDescent="0.2">
      <c r="A688" s="1"/>
      <c r="B688" s="9" t="s">
        <v>1245</v>
      </c>
      <c r="C688" s="10" t="s">
        <v>1246</v>
      </c>
      <c r="D688" s="11" t="s">
        <v>18</v>
      </c>
      <c r="E688" s="1"/>
      <c r="F688" s="1"/>
      <c r="G688" s="1"/>
      <c r="H688" s="1"/>
      <c r="I688" s="1"/>
    </row>
    <row r="689" spans="1:9" ht="29" x14ac:dyDescent="0.2">
      <c r="A689" s="1"/>
      <c r="B689" s="9" t="s">
        <v>1247</v>
      </c>
      <c r="C689" s="10" t="s">
        <v>1248</v>
      </c>
      <c r="D689" s="11" t="s">
        <v>22</v>
      </c>
      <c r="E689" s="1"/>
      <c r="F689" s="1"/>
      <c r="G689" s="1"/>
      <c r="H689" s="1"/>
      <c r="I689" s="1"/>
    </row>
    <row r="690" spans="1:9" ht="29" x14ac:dyDescent="0.2">
      <c r="A690" s="1"/>
      <c r="B690" s="9" t="s">
        <v>1249</v>
      </c>
      <c r="C690" s="10" t="s">
        <v>1250</v>
      </c>
      <c r="D690" s="11" t="s">
        <v>11</v>
      </c>
      <c r="E690" s="1"/>
      <c r="F690" s="1"/>
      <c r="G690" s="1"/>
      <c r="H690" s="1"/>
      <c r="I690" s="1"/>
    </row>
    <row r="691" spans="1:9" ht="29" x14ac:dyDescent="0.2">
      <c r="A691" s="1"/>
      <c r="B691" s="9" t="s">
        <v>1251</v>
      </c>
      <c r="C691" s="10" t="s">
        <v>1252</v>
      </c>
      <c r="D691" s="11" t="s">
        <v>787</v>
      </c>
      <c r="E691" s="1"/>
      <c r="F691" s="1"/>
      <c r="G691" s="1"/>
      <c r="H691" s="1"/>
      <c r="I691" s="1"/>
    </row>
    <row r="692" spans="1:9" x14ac:dyDescent="0.2">
      <c r="A692" s="1"/>
      <c r="B692" s="9" t="s">
        <v>1253</v>
      </c>
      <c r="C692" s="10" t="s">
        <v>1254</v>
      </c>
      <c r="D692" s="11" t="s">
        <v>11</v>
      </c>
      <c r="E692" s="1"/>
      <c r="F692" s="1"/>
      <c r="G692" s="1"/>
      <c r="H692" s="1"/>
      <c r="I692" s="1"/>
    </row>
    <row r="693" spans="1:9" x14ac:dyDescent="0.2">
      <c r="A693" s="1"/>
      <c r="B693" s="9" t="s">
        <v>1255</v>
      </c>
      <c r="C693" s="10" t="s">
        <v>1256</v>
      </c>
      <c r="D693" s="11" t="s">
        <v>18</v>
      </c>
      <c r="E693" s="1"/>
      <c r="F693" s="1"/>
      <c r="G693" s="1"/>
      <c r="H693" s="1"/>
      <c r="I693" s="1"/>
    </row>
    <row r="694" spans="1:9" x14ac:dyDescent="0.2">
      <c r="A694" s="1"/>
      <c r="B694" s="9" t="s">
        <v>1257</v>
      </c>
      <c r="C694" s="10" t="s">
        <v>1258</v>
      </c>
      <c r="D694" s="17" t="s">
        <v>22</v>
      </c>
      <c r="E694" s="1"/>
      <c r="F694" s="1"/>
      <c r="G694" s="1"/>
      <c r="H694" s="1"/>
      <c r="I694" s="1"/>
    </row>
    <row r="695" spans="1:9" ht="29" x14ac:dyDescent="0.2">
      <c r="A695" s="1"/>
      <c r="B695" s="9" t="s">
        <v>1259</v>
      </c>
      <c r="C695" s="10" t="s">
        <v>1260</v>
      </c>
      <c r="D695" s="11" t="s">
        <v>1261</v>
      </c>
      <c r="E695" s="1"/>
      <c r="F695" s="1"/>
      <c r="G695" s="1"/>
      <c r="H695" s="1"/>
      <c r="I695" s="1"/>
    </row>
    <row r="696" spans="1:9" x14ac:dyDescent="0.2">
      <c r="A696" s="1"/>
      <c r="B696" s="9" t="s">
        <v>1262</v>
      </c>
      <c r="C696" s="10" t="s">
        <v>1263</v>
      </c>
      <c r="D696" s="11" t="s">
        <v>787</v>
      </c>
      <c r="E696" s="1"/>
      <c r="F696" s="1"/>
      <c r="G696" s="1"/>
      <c r="H696" s="1"/>
      <c r="I696" s="1"/>
    </row>
    <row r="697" spans="1:9" x14ac:dyDescent="0.2">
      <c r="A697" s="1"/>
      <c r="B697" s="9" t="s">
        <v>1264</v>
      </c>
      <c r="C697" s="10" t="s">
        <v>1265</v>
      </c>
      <c r="D697" s="11" t="s">
        <v>694</v>
      </c>
      <c r="E697" s="1"/>
      <c r="F697" s="1"/>
      <c r="G697" s="1"/>
      <c r="H697" s="1"/>
      <c r="I697" s="1"/>
    </row>
    <row r="698" spans="1:9" x14ac:dyDescent="0.2">
      <c r="A698" s="1"/>
      <c r="B698" s="9" t="s">
        <v>1266</v>
      </c>
      <c r="C698" s="10" t="s">
        <v>1267</v>
      </c>
      <c r="D698" s="11" t="s">
        <v>11</v>
      </c>
      <c r="E698" s="1"/>
      <c r="F698" s="1"/>
      <c r="G698" s="1"/>
      <c r="H698" s="1"/>
      <c r="I698" s="1"/>
    </row>
    <row r="699" spans="1:9" x14ac:dyDescent="0.2">
      <c r="A699" s="1"/>
      <c r="B699" s="9" t="s">
        <v>1268</v>
      </c>
      <c r="C699" s="10" t="s">
        <v>1269</v>
      </c>
      <c r="D699" s="11" t="s">
        <v>18</v>
      </c>
      <c r="E699" s="1"/>
      <c r="F699" s="1"/>
      <c r="G699" s="1"/>
      <c r="H699" s="1"/>
      <c r="I699" s="1"/>
    </row>
    <row r="700" spans="1:9" x14ac:dyDescent="0.2">
      <c r="A700" s="1"/>
      <c r="B700" s="9" t="s">
        <v>1270</v>
      </c>
      <c r="C700" s="10" t="s">
        <v>1271</v>
      </c>
      <c r="D700" s="11" t="s">
        <v>22</v>
      </c>
      <c r="E700" s="1"/>
      <c r="F700" s="1"/>
      <c r="G700" s="1"/>
      <c r="H700" s="1"/>
      <c r="I700" s="1"/>
    </row>
    <row r="701" spans="1:9" ht="29" x14ac:dyDescent="0.2">
      <c r="A701" s="1"/>
      <c r="B701" s="9" t="s">
        <v>1272</v>
      </c>
      <c r="C701" s="10" t="s">
        <v>1273</v>
      </c>
      <c r="D701" s="11" t="s">
        <v>11</v>
      </c>
      <c r="E701" s="1"/>
      <c r="F701" s="1"/>
      <c r="G701" s="1"/>
      <c r="H701" s="1"/>
      <c r="I701" s="1"/>
    </row>
    <row r="702" spans="1:9" ht="57" x14ac:dyDescent="0.2">
      <c r="A702" s="1"/>
      <c r="B702" s="9" t="s">
        <v>1274</v>
      </c>
      <c r="C702" s="10" t="s">
        <v>1275</v>
      </c>
      <c r="D702" s="11" t="s">
        <v>11</v>
      </c>
      <c r="E702" s="1"/>
      <c r="F702" s="1"/>
      <c r="G702" s="1"/>
      <c r="H702" s="1"/>
      <c r="I702" s="1"/>
    </row>
    <row r="703" spans="1:9" ht="29" x14ac:dyDescent="0.2">
      <c r="A703" s="1"/>
      <c r="B703" s="9" t="s">
        <v>1276</v>
      </c>
      <c r="C703" s="10" t="s">
        <v>1277</v>
      </c>
      <c r="D703" s="11" t="s">
        <v>11</v>
      </c>
      <c r="E703" s="1"/>
      <c r="F703" s="1"/>
      <c r="G703" s="1"/>
      <c r="H703" s="1"/>
      <c r="I703" s="1"/>
    </row>
    <row r="704" spans="1:9" ht="57" x14ac:dyDescent="0.2">
      <c r="A704" s="1"/>
      <c r="B704" s="9" t="s">
        <v>1278</v>
      </c>
      <c r="C704" s="10" t="s">
        <v>1279</v>
      </c>
      <c r="D704" s="11" t="s">
        <v>11</v>
      </c>
      <c r="E704" s="1"/>
      <c r="F704" s="1"/>
      <c r="G704" s="1"/>
      <c r="H704" s="1"/>
      <c r="I704" s="1"/>
    </row>
    <row r="705" spans="1:9" ht="29" x14ac:dyDescent="0.2">
      <c r="A705" s="1"/>
      <c r="B705" s="9" t="s">
        <v>1280</v>
      </c>
      <c r="C705" s="10" t="s">
        <v>1281</v>
      </c>
      <c r="D705" s="11" t="s">
        <v>11</v>
      </c>
      <c r="E705" s="1"/>
      <c r="F705" s="1"/>
      <c r="G705" s="1"/>
      <c r="H705" s="1"/>
      <c r="I705" s="1"/>
    </row>
    <row r="706" spans="1:9" ht="57" x14ac:dyDescent="0.2">
      <c r="A706" s="1"/>
      <c r="B706" s="9" t="s">
        <v>1282</v>
      </c>
      <c r="C706" s="10" t="s">
        <v>1283</v>
      </c>
      <c r="D706" s="11" t="s">
        <v>11</v>
      </c>
      <c r="E706" s="1"/>
      <c r="F706" s="1"/>
      <c r="G706" s="1"/>
      <c r="H706" s="1"/>
      <c r="I706" s="1"/>
    </row>
    <row r="707" spans="1:9" ht="29" x14ac:dyDescent="0.2">
      <c r="A707" s="1"/>
      <c r="B707" s="9" t="s">
        <v>1284</v>
      </c>
      <c r="C707" s="10" t="s">
        <v>1285</v>
      </c>
      <c r="D707" s="11" t="s">
        <v>11</v>
      </c>
      <c r="E707" s="1"/>
      <c r="F707" s="1"/>
      <c r="G707" s="1"/>
      <c r="H707" s="1"/>
      <c r="I707" s="1"/>
    </row>
    <row r="708" spans="1:9" ht="57" x14ac:dyDescent="0.2">
      <c r="A708" s="1"/>
      <c r="B708" s="9" t="s">
        <v>1286</v>
      </c>
      <c r="C708" s="10" t="s">
        <v>1287</v>
      </c>
      <c r="D708" s="11" t="s">
        <v>11</v>
      </c>
      <c r="E708" s="1"/>
      <c r="F708" s="1"/>
      <c r="G708" s="1"/>
      <c r="H708" s="1"/>
      <c r="I708" s="1"/>
    </row>
    <row r="709" spans="1:9" ht="43" x14ac:dyDescent="0.2">
      <c r="A709" s="1"/>
      <c r="B709" s="9" t="s">
        <v>1288</v>
      </c>
      <c r="C709" s="10" t="s">
        <v>1289</v>
      </c>
      <c r="D709" s="11" t="s">
        <v>11</v>
      </c>
      <c r="E709" s="1"/>
      <c r="F709" s="1"/>
      <c r="G709" s="1"/>
      <c r="H709" s="1"/>
      <c r="I709" s="1"/>
    </row>
    <row r="710" spans="1:9" ht="29" x14ac:dyDescent="0.2">
      <c r="A710" s="1"/>
      <c r="B710" s="9" t="s">
        <v>1290</v>
      </c>
      <c r="C710" s="10" t="s">
        <v>1291</v>
      </c>
      <c r="D710" s="11" t="s">
        <v>11</v>
      </c>
      <c r="E710" s="1"/>
      <c r="F710" s="1"/>
      <c r="G710" s="1"/>
      <c r="H710" s="1"/>
      <c r="I710" s="1"/>
    </row>
    <row r="711" spans="1:9" ht="29" x14ac:dyDescent="0.2">
      <c r="A711" s="1"/>
      <c r="B711" s="9" t="s">
        <v>1292</v>
      </c>
      <c r="C711" s="10" t="s">
        <v>1293</v>
      </c>
      <c r="D711" s="11" t="s">
        <v>1294</v>
      </c>
      <c r="E711" s="1"/>
      <c r="F711" s="1"/>
      <c r="G711" s="1"/>
      <c r="H711" s="1"/>
      <c r="I711" s="1"/>
    </row>
    <row r="712" spans="1:9" ht="29" x14ac:dyDescent="0.2">
      <c r="A712" s="1"/>
      <c r="B712" s="9" t="s">
        <v>1295</v>
      </c>
      <c r="C712" s="10" t="s">
        <v>1296</v>
      </c>
      <c r="D712" s="11" t="s">
        <v>11</v>
      </c>
      <c r="E712" s="1"/>
      <c r="F712" s="1"/>
      <c r="G712" s="1"/>
      <c r="H712" s="1"/>
      <c r="I712" s="1"/>
    </row>
    <row r="713" spans="1:9" ht="29" x14ac:dyDescent="0.2">
      <c r="A713" s="1"/>
      <c r="B713" s="9" t="s">
        <v>1297</v>
      </c>
      <c r="C713" s="10" t="s">
        <v>1296</v>
      </c>
      <c r="D713" s="11" t="s">
        <v>13</v>
      </c>
      <c r="E713" s="1"/>
      <c r="F713" s="1"/>
      <c r="G713" s="1"/>
      <c r="H713" s="1"/>
      <c r="I713" s="1"/>
    </row>
    <row r="714" spans="1:9" ht="29" x14ac:dyDescent="0.2">
      <c r="A714" s="1"/>
      <c r="B714" s="9" t="s">
        <v>1298</v>
      </c>
      <c r="C714" s="10" t="s">
        <v>1299</v>
      </c>
      <c r="D714" s="11" t="s">
        <v>11</v>
      </c>
      <c r="E714" s="1"/>
      <c r="F714" s="1"/>
      <c r="G714" s="1"/>
      <c r="H714" s="1"/>
      <c r="I714" s="1"/>
    </row>
    <row r="715" spans="1:9" ht="29" x14ac:dyDescent="0.2">
      <c r="A715" s="1"/>
      <c r="B715" s="9" t="s">
        <v>1300</v>
      </c>
      <c r="C715" s="10" t="s">
        <v>1299</v>
      </c>
      <c r="D715" s="11" t="s">
        <v>13</v>
      </c>
      <c r="E715" s="1"/>
      <c r="F715" s="1"/>
      <c r="G715" s="1"/>
      <c r="H715" s="1"/>
      <c r="I715" s="1"/>
    </row>
    <row r="716" spans="1:9" ht="29" x14ac:dyDescent="0.2">
      <c r="A716" s="1"/>
      <c r="B716" s="9" t="s">
        <v>1301</v>
      </c>
      <c r="C716" s="10" t="s">
        <v>1302</v>
      </c>
      <c r="D716" s="11" t="s">
        <v>11</v>
      </c>
      <c r="E716" s="1"/>
      <c r="F716" s="1"/>
      <c r="G716" s="1"/>
      <c r="H716" s="1"/>
      <c r="I716" s="1"/>
    </row>
    <row r="717" spans="1:9" ht="29" x14ac:dyDescent="0.2">
      <c r="A717" s="1"/>
      <c r="B717" s="9" t="s">
        <v>1303</v>
      </c>
      <c r="C717" s="10" t="s">
        <v>1304</v>
      </c>
      <c r="D717" s="11" t="s">
        <v>11</v>
      </c>
      <c r="E717" s="1"/>
      <c r="F717" s="1"/>
      <c r="G717" s="1"/>
      <c r="H717" s="1"/>
      <c r="I717" s="1"/>
    </row>
    <row r="718" spans="1:9" x14ac:dyDescent="0.2">
      <c r="A718" s="1"/>
      <c r="B718" s="9" t="s">
        <v>1305</v>
      </c>
      <c r="C718" s="10" t="s">
        <v>1306</v>
      </c>
      <c r="D718" s="11" t="s">
        <v>11</v>
      </c>
      <c r="E718" s="1"/>
      <c r="F718" s="1"/>
      <c r="G718" s="1"/>
      <c r="H718" s="1"/>
      <c r="I718" s="1"/>
    </row>
    <row r="719" spans="1:9" ht="29" x14ac:dyDescent="0.2">
      <c r="A719" s="1"/>
      <c r="B719" s="9" t="s">
        <v>1307</v>
      </c>
      <c r="C719" s="10" t="s">
        <v>1308</v>
      </c>
      <c r="D719" s="11" t="s">
        <v>107</v>
      </c>
      <c r="E719" s="1"/>
      <c r="F719" s="1"/>
      <c r="G719" s="1"/>
      <c r="H719" s="1"/>
      <c r="I719" s="1"/>
    </row>
    <row r="720" spans="1:9" ht="29" x14ac:dyDescent="0.2">
      <c r="A720" s="1"/>
      <c r="B720" s="9" t="s">
        <v>1309</v>
      </c>
      <c r="C720" s="10" t="s">
        <v>1310</v>
      </c>
      <c r="D720" s="11" t="s">
        <v>11</v>
      </c>
      <c r="E720" s="1"/>
      <c r="F720" s="1"/>
      <c r="G720" s="1"/>
      <c r="H720" s="1"/>
      <c r="I720" s="1"/>
    </row>
    <row r="721" spans="1:9" x14ac:dyDescent="0.2">
      <c r="A721" s="1"/>
      <c r="B721" s="9" t="s">
        <v>1311</v>
      </c>
      <c r="C721" s="10" t="s">
        <v>1312</v>
      </c>
      <c r="D721" s="11" t="s">
        <v>11</v>
      </c>
      <c r="E721" s="1"/>
      <c r="F721" s="1"/>
      <c r="G721" s="1"/>
      <c r="H721" s="1"/>
      <c r="I721" s="1"/>
    </row>
    <row r="722" spans="1:9" ht="29" x14ac:dyDescent="0.2">
      <c r="A722" s="1"/>
      <c r="B722" s="9" t="s">
        <v>1313</v>
      </c>
      <c r="C722" s="10" t="s">
        <v>1314</v>
      </c>
      <c r="D722" s="11" t="s">
        <v>11</v>
      </c>
      <c r="E722" s="1"/>
      <c r="F722" s="1"/>
      <c r="G722" s="1"/>
      <c r="H722" s="1"/>
      <c r="I722" s="1"/>
    </row>
    <row r="723" spans="1:9" x14ac:dyDescent="0.2">
      <c r="A723" s="1"/>
      <c r="B723" s="9" t="s">
        <v>1315</v>
      </c>
      <c r="C723" s="10" t="s">
        <v>1316</v>
      </c>
      <c r="D723" s="11" t="s">
        <v>18</v>
      </c>
      <c r="E723" s="1"/>
      <c r="F723" s="1"/>
      <c r="G723" s="1"/>
      <c r="H723" s="1"/>
      <c r="I723" s="1"/>
    </row>
    <row r="724" spans="1:9" ht="29" x14ac:dyDescent="0.2">
      <c r="A724" s="1"/>
      <c r="B724" s="9" t="s">
        <v>1317</v>
      </c>
      <c r="C724" s="10" t="s">
        <v>1318</v>
      </c>
      <c r="D724" s="11" t="s">
        <v>22</v>
      </c>
      <c r="E724" s="1"/>
      <c r="F724" s="1"/>
      <c r="G724" s="1"/>
      <c r="H724" s="1"/>
      <c r="I724" s="1"/>
    </row>
    <row r="725" spans="1:9" ht="29" x14ac:dyDescent="0.2">
      <c r="A725" s="1"/>
      <c r="B725" s="9" t="s">
        <v>1319</v>
      </c>
      <c r="C725" s="10" t="s">
        <v>1320</v>
      </c>
      <c r="D725" s="11" t="s">
        <v>11</v>
      </c>
      <c r="E725" s="1"/>
      <c r="F725" s="1"/>
      <c r="G725" s="1"/>
      <c r="H725" s="1"/>
      <c r="I725" s="1"/>
    </row>
    <row r="726" spans="1:9" ht="29" x14ac:dyDescent="0.2">
      <c r="A726" s="1"/>
      <c r="B726" s="9" t="s">
        <v>1321</v>
      </c>
      <c r="C726" s="10" t="s">
        <v>1322</v>
      </c>
      <c r="D726" s="11" t="s">
        <v>11</v>
      </c>
      <c r="E726" s="1"/>
      <c r="F726" s="1"/>
      <c r="G726" s="1"/>
      <c r="H726" s="1"/>
      <c r="I726" s="1"/>
    </row>
    <row r="727" spans="1:9" x14ac:dyDescent="0.2">
      <c r="A727" s="1"/>
      <c r="B727" s="9" t="s">
        <v>1323</v>
      </c>
      <c r="C727" s="10" t="s">
        <v>1324</v>
      </c>
      <c r="D727" s="11" t="s">
        <v>11</v>
      </c>
      <c r="E727" s="1"/>
      <c r="F727" s="1"/>
      <c r="G727" s="1"/>
      <c r="H727" s="1"/>
      <c r="I727" s="1"/>
    </row>
    <row r="728" spans="1:9" ht="29" x14ac:dyDescent="0.2">
      <c r="A728" s="1"/>
      <c r="B728" s="9" t="s">
        <v>1325</v>
      </c>
      <c r="C728" s="10" t="s">
        <v>1326</v>
      </c>
      <c r="D728" s="11" t="s">
        <v>11</v>
      </c>
      <c r="E728" s="1"/>
      <c r="F728" s="1"/>
      <c r="G728" s="1"/>
      <c r="H728" s="1"/>
      <c r="I728" s="1"/>
    </row>
    <row r="729" spans="1:9" ht="29" x14ac:dyDescent="0.2">
      <c r="A729" s="1"/>
      <c r="B729" s="9" t="s">
        <v>1327</v>
      </c>
      <c r="C729" s="10" t="s">
        <v>1328</v>
      </c>
      <c r="D729" s="11" t="s">
        <v>11</v>
      </c>
      <c r="E729" s="1"/>
      <c r="F729" s="1"/>
      <c r="G729" s="1"/>
      <c r="H729" s="1"/>
      <c r="I729" s="1"/>
    </row>
    <row r="730" spans="1:9" ht="29" x14ac:dyDescent="0.2">
      <c r="A730" s="1"/>
      <c r="B730" s="9" t="s">
        <v>1329</v>
      </c>
      <c r="C730" s="10" t="s">
        <v>1330</v>
      </c>
      <c r="D730" s="11" t="s">
        <v>107</v>
      </c>
      <c r="E730" s="1"/>
      <c r="F730" s="1"/>
      <c r="G730" s="1"/>
      <c r="H730" s="1"/>
      <c r="I730" s="1"/>
    </row>
    <row r="731" spans="1:9" ht="29" x14ac:dyDescent="0.2">
      <c r="A731" s="1"/>
      <c r="B731" s="9" t="s">
        <v>1331</v>
      </c>
      <c r="C731" s="10" t="s">
        <v>1332</v>
      </c>
      <c r="D731" s="11" t="s">
        <v>11</v>
      </c>
      <c r="E731" s="1"/>
      <c r="F731" s="1"/>
      <c r="G731" s="1"/>
      <c r="H731" s="1"/>
      <c r="I731" s="1"/>
    </row>
    <row r="732" spans="1:9" x14ac:dyDescent="0.2">
      <c r="A732" s="1"/>
      <c r="B732" s="9" t="s">
        <v>1333</v>
      </c>
      <c r="C732" s="10" t="s">
        <v>1334</v>
      </c>
      <c r="D732" s="11" t="s">
        <v>11</v>
      </c>
      <c r="E732" s="1"/>
      <c r="F732" s="1"/>
      <c r="G732" s="1"/>
      <c r="H732" s="1"/>
      <c r="I732" s="1"/>
    </row>
    <row r="733" spans="1:9" ht="29" x14ac:dyDescent="0.2">
      <c r="A733" s="1"/>
      <c r="B733" s="9" t="s">
        <v>1335</v>
      </c>
      <c r="C733" s="10" t="s">
        <v>1336</v>
      </c>
      <c r="D733" s="11" t="s">
        <v>11</v>
      </c>
      <c r="E733" s="1"/>
      <c r="F733" s="1"/>
      <c r="G733" s="1"/>
      <c r="H733" s="1"/>
      <c r="I733" s="1"/>
    </row>
    <row r="734" spans="1:9" ht="29" x14ac:dyDescent="0.2">
      <c r="A734" s="1"/>
      <c r="B734" s="9" t="s">
        <v>1337</v>
      </c>
      <c r="C734" s="10" t="s">
        <v>1338</v>
      </c>
      <c r="D734" s="11" t="s">
        <v>18</v>
      </c>
      <c r="E734" s="1"/>
      <c r="F734" s="1"/>
      <c r="G734" s="1"/>
      <c r="H734" s="1"/>
      <c r="I734" s="1"/>
    </row>
    <row r="735" spans="1:9" ht="29" x14ac:dyDescent="0.2">
      <c r="A735" s="1"/>
      <c r="B735" s="9" t="s">
        <v>1339</v>
      </c>
      <c r="C735" s="10" t="s">
        <v>1340</v>
      </c>
      <c r="D735" s="11" t="s">
        <v>22</v>
      </c>
      <c r="E735" s="1"/>
      <c r="F735" s="1"/>
      <c r="G735" s="1"/>
      <c r="H735" s="1"/>
      <c r="I735" s="1"/>
    </row>
    <row r="736" spans="1:9" ht="29" x14ac:dyDescent="0.2">
      <c r="A736" s="1"/>
      <c r="B736" s="9" t="s">
        <v>1341</v>
      </c>
      <c r="C736" s="10" t="s">
        <v>1342</v>
      </c>
      <c r="D736" s="11" t="s">
        <v>11</v>
      </c>
      <c r="E736" s="1"/>
      <c r="F736" s="1"/>
      <c r="G736" s="1"/>
      <c r="H736" s="1"/>
      <c r="I736" s="1"/>
    </row>
    <row r="737" spans="1:9" ht="29" x14ac:dyDescent="0.2">
      <c r="A737" s="1"/>
      <c r="B737" s="9" t="s">
        <v>1343</v>
      </c>
      <c r="C737" s="10" t="s">
        <v>1344</v>
      </c>
      <c r="D737" s="11" t="s">
        <v>11</v>
      </c>
      <c r="E737" s="1"/>
      <c r="F737" s="1"/>
      <c r="G737" s="1"/>
      <c r="H737" s="1"/>
      <c r="I737" s="1"/>
    </row>
    <row r="738" spans="1:9" ht="29" x14ac:dyDescent="0.2">
      <c r="A738" s="1"/>
      <c r="B738" s="9" t="s">
        <v>1345</v>
      </c>
      <c r="C738" s="10" t="s">
        <v>1346</v>
      </c>
      <c r="D738" s="11" t="s">
        <v>11</v>
      </c>
      <c r="E738" s="1"/>
      <c r="F738" s="1"/>
      <c r="G738" s="1"/>
      <c r="H738" s="1"/>
      <c r="I738" s="1"/>
    </row>
    <row r="739" spans="1:9" ht="29" x14ac:dyDescent="0.2">
      <c r="A739" s="1"/>
      <c r="B739" s="9" t="s">
        <v>1347</v>
      </c>
      <c r="C739" s="10" t="s">
        <v>1348</v>
      </c>
      <c r="D739" s="11" t="s">
        <v>18</v>
      </c>
      <c r="E739" s="1"/>
      <c r="F739" s="1"/>
      <c r="G739" s="1"/>
      <c r="H739" s="1"/>
      <c r="I739" s="1"/>
    </row>
    <row r="740" spans="1:9" ht="29" x14ac:dyDescent="0.2">
      <c r="A740" s="1"/>
      <c r="B740" s="9" t="s">
        <v>1349</v>
      </c>
      <c r="C740" s="10" t="s">
        <v>1350</v>
      </c>
      <c r="D740" s="11" t="s">
        <v>22</v>
      </c>
      <c r="E740" s="1"/>
      <c r="F740" s="1"/>
      <c r="G740" s="1"/>
      <c r="H740" s="1"/>
      <c r="I740" s="1"/>
    </row>
    <row r="741" spans="1:9" ht="29" x14ac:dyDescent="0.2">
      <c r="A741" s="1"/>
      <c r="B741" s="9" t="s">
        <v>1351</v>
      </c>
      <c r="C741" s="10" t="s">
        <v>1352</v>
      </c>
      <c r="D741" s="11" t="s">
        <v>11</v>
      </c>
      <c r="E741" s="1"/>
      <c r="F741" s="1"/>
      <c r="G741" s="1"/>
      <c r="H741" s="1"/>
      <c r="I741" s="1"/>
    </row>
    <row r="742" spans="1:9" ht="29" x14ac:dyDescent="0.2">
      <c r="A742" s="1"/>
      <c r="B742" s="9" t="s">
        <v>1353</v>
      </c>
      <c r="C742" s="10" t="s">
        <v>1354</v>
      </c>
      <c r="D742" s="11" t="s">
        <v>18</v>
      </c>
      <c r="E742" s="1"/>
      <c r="F742" s="1"/>
      <c r="G742" s="1"/>
      <c r="H742" s="1"/>
      <c r="I742" s="1"/>
    </row>
    <row r="743" spans="1:9" ht="29" x14ac:dyDescent="0.2">
      <c r="A743" s="1"/>
      <c r="B743" s="9" t="s">
        <v>1355</v>
      </c>
      <c r="C743" s="10" t="s">
        <v>1356</v>
      </c>
      <c r="D743" s="11" t="s">
        <v>22</v>
      </c>
      <c r="E743" s="1"/>
      <c r="F743" s="1"/>
      <c r="G743" s="1"/>
      <c r="H743" s="1"/>
      <c r="I743" s="1"/>
    </row>
    <row r="744" spans="1:9" ht="29" x14ac:dyDescent="0.2">
      <c r="A744" s="1"/>
      <c r="B744" s="9" t="s">
        <v>1357</v>
      </c>
      <c r="C744" s="10" t="s">
        <v>1358</v>
      </c>
      <c r="D744" s="11" t="s">
        <v>11</v>
      </c>
      <c r="E744" s="1"/>
      <c r="F744" s="1"/>
      <c r="G744" s="1"/>
      <c r="H744" s="1"/>
      <c r="I744" s="1"/>
    </row>
    <row r="745" spans="1:9" ht="29" x14ac:dyDescent="0.2">
      <c r="A745" s="1"/>
      <c r="B745" s="9" t="s">
        <v>1359</v>
      </c>
      <c r="C745" s="10" t="s">
        <v>1360</v>
      </c>
      <c r="D745" s="11" t="s">
        <v>11</v>
      </c>
      <c r="E745" s="1"/>
      <c r="F745" s="1"/>
      <c r="G745" s="1"/>
      <c r="H745" s="1"/>
      <c r="I745" s="1"/>
    </row>
    <row r="746" spans="1:9" x14ac:dyDescent="0.2">
      <c r="A746" s="1"/>
      <c r="B746" s="9" t="s">
        <v>1361</v>
      </c>
      <c r="C746" s="10" t="s">
        <v>1362</v>
      </c>
      <c r="D746" s="11" t="s">
        <v>11</v>
      </c>
      <c r="E746" s="1"/>
      <c r="F746" s="1"/>
      <c r="G746" s="1"/>
      <c r="H746" s="1"/>
      <c r="I746" s="1"/>
    </row>
    <row r="747" spans="1:9" ht="43" x14ac:dyDescent="0.2">
      <c r="A747" s="1"/>
      <c r="B747" s="9" t="s">
        <v>1363</v>
      </c>
      <c r="C747" s="10" t="s">
        <v>1364</v>
      </c>
      <c r="D747" s="11" t="s">
        <v>11</v>
      </c>
      <c r="E747" s="1"/>
      <c r="F747" s="1"/>
      <c r="G747" s="1"/>
      <c r="H747" s="1"/>
      <c r="I747" s="1"/>
    </row>
    <row r="748" spans="1:9" x14ac:dyDescent="0.2">
      <c r="A748" s="1"/>
      <c r="B748" s="9" t="s">
        <v>1365</v>
      </c>
      <c r="C748" s="10" t="s">
        <v>1366</v>
      </c>
      <c r="D748" s="11" t="s">
        <v>11</v>
      </c>
      <c r="E748" s="1"/>
      <c r="F748" s="1"/>
      <c r="G748" s="1"/>
      <c r="H748" s="1"/>
      <c r="I748" s="1"/>
    </row>
    <row r="749" spans="1:9" ht="29" x14ac:dyDescent="0.2">
      <c r="A749" s="1"/>
      <c r="B749" s="9" t="s">
        <v>1367</v>
      </c>
      <c r="C749" s="10" t="s">
        <v>1368</v>
      </c>
      <c r="D749" s="11" t="s">
        <v>18</v>
      </c>
      <c r="E749" s="1"/>
      <c r="F749" s="1"/>
      <c r="G749" s="1"/>
      <c r="H749" s="1"/>
      <c r="I749" s="1"/>
    </row>
    <row r="750" spans="1:9" x14ac:dyDescent="0.2">
      <c r="A750" s="1"/>
      <c r="B750" s="9" t="s">
        <v>1369</v>
      </c>
      <c r="C750" s="10" t="s">
        <v>1370</v>
      </c>
      <c r="D750" s="11" t="s">
        <v>22</v>
      </c>
      <c r="E750" s="1"/>
      <c r="F750" s="1"/>
      <c r="G750" s="1"/>
      <c r="H750" s="1"/>
      <c r="I750" s="1"/>
    </row>
    <row r="751" spans="1:9" ht="29" x14ac:dyDescent="0.2">
      <c r="A751" s="1"/>
      <c r="B751" s="9" t="s">
        <v>1371</v>
      </c>
      <c r="C751" s="10" t="s">
        <v>1372</v>
      </c>
      <c r="D751" s="11" t="s">
        <v>11</v>
      </c>
      <c r="E751" s="1"/>
      <c r="F751" s="1"/>
      <c r="G751" s="1"/>
      <c r="H751" s="1"/>
      <c r="I751" s="1"/>
    </row>
    <row r="752" spans="1:9" ht="29" x14ac:dyDescent="0.2">
      <c r="A752" s="1"/>
      <c r="B752" s="9" t="s">
        <v>1373</v>
      </c>
      <c r="C752" s="10" t="s">
        <v>1374</v>
      </c>
      <c r="D752" s="11" t="s">
        <v>18</v>
      </c>
      <c r="E752" s="1"/>
      <c r="F752" s="1"/>
      <c r="G752" s="1"/>
      <c r="H752" s="1"/>
      <c r="I752" s="1"/>
    </row>
    <row r="753" spans="1:9" ht="29" x14ac:dyDescent="0.2">
      <c r="A753" s="1"/>
      <c r="B753" s="9" t="s">
        <v>1375</v>
      </c>
      <c r="C753" s="10" t="s">
        <v>1376</v>
      </c>
      <c r="D753" s="11" t="s">
        <v>22</v>
      </c>
      <c r="E753" s="1"/>
      <c r="F753" s="1"/>
      <c r="G753" s="1"/>
      <c r="H753" s="1"/>
      <c r="I753" s="1"/>
    </row>
    <row r="754" spans="1:9" x14ac:dyDescent="0.2">
      <c r="A754" s="1"/>
      <c r="B754" s="9" t="s">
        <v>1377</v>
      </c>
      <c r="C754" s="10" t="s">
        <v>1378</v>
      </c>
      <c r="D754" s="11" t="s">
        <v>11</v>
      </c>
      <c r="E754" s="1"/>
      <c r="F754" s="1"/>
      <c r="G754" s="1"/>
      <c r="H754" s="1"/>
      <c r="I754" s="1"/>
    </row>
    <row r="755" spans="1:9" x14ac:dyDescent="0.2">
      <c r="A755" s="1"/>
      <c r="B755" s="9" t="s">
        <v>1379</v>
      </c>
      <c r="C755" s="10" t="s">
        <v>1380</v>
      </c>
      <c r="D755" s="11" t="s">
        <v>18</v>
      </c>
      <c r="E755" s="1"/>
      <c r="F755" s="1"/>
      <c r="G755" s="1"/>
      <c r="H755" s="1"/>
      <c r="I755" s="1"/>
    </row>
    <row r="756" spans="1:9" x14ac:dyDescent="0.2">
      <c r="A756" s="1"/>
      <c r="B756" s="9" t="s">
        <v>1381</v>
      </c>
      <c r="C756" s="10" t="s">
        <v>1378</v>
      </c>
      <c r="D756" s="11" t="s">
        <v>13</v>
      </c>
      <c r="E756" s="1"/>
      <c r="F756" s="1"/>
      <c r="G756" s="1"/>
      <c r="H756" s="1"/>
      <c r="I756" s="1"/>
    </row>
    <row r="757" spans="1:9" ht="29" x14ac:dyDescent="0.2">
      <c r="A757" s="1"/>
      <c r="B757" s="9" t="s">
        <v>1382</v>
      </c>
      <c r="C757" s="10" t="s">
        <v>1383</v>
      </c>
      <c r="D757" s="11" t="s">
        <v>22</v>
      </c>
      <c r="E757" s="1"/>
      <c r="F757" s="1"/>
      <c r="G757" s="1"/>
      <c r="H757" s="1"/>
      <c r="I757" s="1"/>
    </row>
    <row r="758" spans="1:9" ht="29" x14ac:dyDescent="0.2">
      <c r="A758" s="1"/>
      <c r="B758" s="9" t="s">
        <v>1384</v>
      </c>
      <c r="C758" s="10" t="s">
        <v>1385</v>
      </c>
      <c r="D758" s="11" t="s">
        <v>11</v>
      </c>
      <c r="E758" s="1"/>
      <c r="F758" s="1"/>
      <c r="G758" s="1"/>
      <c r="H758" s="1"/>
      <c r="I758" s="1"/>
    </row>
    <row r="759" spans="1:9" ht="29" x14ac:dyDescent="0.2">
      <c r="A759" s="1"/>
      <c r="B759" s="9" t="s">
        <v>1386</v>
      </c>
      <c r="C759" s="10" t="s">
        <v>1387</v>
      </c>
      <c r="D759" s="11" t="s">
        <v>308</v>
      </c>
      <c r="E759" s="1"/>
      <c r="F759" s="1"/>
      <c r="G759" s="1"/>
      <c r="H759" s="1"/>
      <c r="I759" s="1"/>
    </row>
    <row r="760" spans="1:9" ht="29" x14ac:dyDescent="0.2">
      <c r="A760" s="1"/>
      <c r="B760" s="9" t="s">
        <v>1388</v>
      </c>
      <c r="C760" s="10" t="s">
        <v>1389</v>
      </c>
      <c r="D760" s="11" t="s">
        <v>11</v>
      </c>
      <c r="E760" s="1"/>
      <c r="F760" s="1"/>
      <c r="G760" s="1"/>
      <c r="H760" s="1"/>
      <c r="I760" s="1"/>
    </row>
    <row r="761" spans="1:9" ht="29" x14ac:dyDescent="0.2">
      <c r="A761" s="1"/>
      <c r="B761" s="9" t="s">
        <v>1390</v>
      </c>
      <c r="C761" s="10" t="s">
        <v>1391</v>
      </c>
      <c r="D761" s="11" t="s">
        <v>308</v>
      </c>
      <c r="E761" s="1"/>
      <c r="F761" s="1"/>
      <c r="G761" s="1"/>
      <c r="H761" s="1"/>
      <c r="I761" s="1"/>
    </row>
    <row r="762" spans="1:9" ht="29" x14ac:dyDescent="0.2">
      <c r="A762" s="1"/>
      <c r="B762" s="9" t="s">
        <v>1392</v>
      </c>
      <c r="C762" s="10" t="s">
        <v>1393</v>
      </c>
      <c r="D762" s="11" t="s">
        <v>107</v>
      </c>
      <c r="E762" s="1"/>
      <c r="F762" s="1"/>
      <c r="G762" s="1"/>
      <c r="H762" s="1"/>
      <c r="I762" s="1"/>
    </row>
    <row r="763" spans="1:9" ht="29" x14ac:dyDescent="0.2">
      <c r="A763" s="1"/>
      <c r="B763" s="9" t="s">
        <v>1394</v>
      </c>
      <c r="C763" s="10" t="s">
        <v>1395</v>
      </c>
      <c r="D763" s="11" t="s">
        <v>11</v>
      </c>
      <c r="E763" s="1"/>
      <c r="F763" s="1"/>
      <c r="G763" s="1"/>
      <c r="H763" s="1"/>
      <c r="I763" s="1"/>
    </row>
    <row r="764" spans="1:9" ht="29" x14ac:dyDescent="0.2">
      <c r="A764" s="1"/>
      <c r="B764" s="9" t="s">
        <v>1396</v>
      </c>
      <c r="C764" s="10" t="s">
        <v>1397</v>
      </c>
      <c r="D764" s="11" t="s">
        <v>308</v>
      </c>
      <c r="E764" s="1"/>
      <c r="F764" s="1"/>
      <c r="G764" s="1"/>
      <c r="H764" s="1"/>
      <c r="I764" s="1"/>
    </row>
    <row r="765" spans="1:9" x14ac:dyDescent="0.2">
      <c r="A765" s="1"/>
      <c r="B765" s="9" t="s">
        <v>1398</v>
      </c>
      <c r="C765" s="10" t="s">
        <v>1399</v>
      </c>
      <c r="D765" s="11" t="s">
        <v>11</v>
      </c>
      <c r="E765" s="1"/>
      <c r="F765" s="1"/>
      <c r="G765" s="1"/>
      <c r="H765" s="1"/>
      <c r="I765" s="1"/>
    </row>
    <row r="766" spans="1:9" x14ac:dyDescent="0.2">
      <c r="A766" s="1"/>
      <c r="B766" s="9" t="s">
        <v>1400</v>
      </c>
      <c r="C766" s="10" t="s">
        <v>1401</v>
      </c>
      <c r="D766" s="11" t="s">
        <v>308</v>
      </c>
      <c r="E766" s="1"/>
      <c r="F766" s="1"/>
      <c r="G766" s="1"/>
      <c r="H766" s="1"/>
      <c r="I766" s="1"/>
    </row>
    <row r="767" spans="1:9" x14ac:dyDescent="0.2">
      <c r="A767" s="1"/>
      <c r="B767" s="9" t="s">
        <v>1402</v>
      </c>
      <c r="C767" s="10" t="s">
        <v>1403</v>
      </c>
      <c r="D767" s="11" t="s">
        <v>11</v>
      </c>
      <c r="E767" s="1"/>
      <c r="F767" s="1"/>
      <c r="G767" s="1"/>
      <c r="H767" s="1"/>
      <c r="I767" s="1"/>
    </row>
    <row r="768" spans="1:9" x14ac:dyDescent="0.2">
      <c r="A768" s="1"/>
      <c r="B768" s="9" t="s">
        <v>1404</v>
      </c>
      <c r="C768" s="10" t="s">
        <v>1405</v>
      </c>
      <c r="D768" s="11" t="s">
        <v>308</v>
      </c>
      <c r="E768" s="1"/>
      <c r="F768" s="1"/>
      <c r="G768" s="1"/>
      <c r="H768" s="1"/>
      <c r="I768" s="1"/>
    </row>
    <row r="769" spans="1:9" x14ac:dyDescent="0.2">
      <c r="A769" s="1"/>
      <c r="B769" s="9" t="s">
        <v>1406</v>
      </c>
      <c r="C769" s="10" t="s">
        <v>1407</v>
      </c>
      <c r="D769" s="11" t="s">
        <v>1408</v>
      </c>
      <c r="E769" s="1"/>
      <c r="F769" s="1"/>
      <c r="G769" s="1"/>
      <c r="H769" s="1"/>
      <c r="I769" s="1"/>
    </row>
    <row r="770" spans="1:9" ht="17" thickBot="1" x14ac:dyDescent="0.25">
      <c r="A770" s="1"/>
      <c r="B770" s="18" t="s">
        <v>1409</v>
      </c>
      <c r="C770" s="19" t="s">
        <v>1410</v>
      </c>
      <c r="D770" s="20" t="s">
        <v>1408</v>
      </c>
      <c r="E770" s="1"/>
      <c r="F770" s="1"/>
      <c r="G770" s="1"/>
      <c r="H770" s="1"/>
      <c r="I770" s="1"/>
    </row>
    <row r="771" spans="1:9" ht="17" thickTop="1" x14ac:dyDescent="0.2">
      <c r="A771" s="1"/>
      <c r="B771" s="2"/>
      <c r="C771" s="2"/>
      <c r="D771" s="2"/>
      <c r="E771" s="1"/>
      <c r="F771" s="1"/>
      <c r="G771" s="1"/>
      <c r="H771" s="1"/>
      <c r="I771" s="1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8068-6F12-BD46-B412-C4731E68A607}">
  <dimension ref="A1:BM432"/>
  <sheetViews>
    <sheetView workbookViewId="0">
      <pane xSplit="3" ySplit="1" topLeftCell="P150" activePane="bottomRight" state="frozen"/>
      <selection activeCell="C288" sqref="C288"/>
      <selection pane="topRight" activeCell="C288" sqref="C288"/>
      <selection pane="bottomLeft" activeCell="C288" sqref="C288"/>
      <selection pane="bottomRight" activeCell="C288" sqref="C288"/>
    </sheetView>
  </sheetViews>
  <sheetFormatPr baseColWidth="10" defaultRowHeight="16" x14ac:dyDescent="0.2"/>
  <sheetData>
    <row r="1" spans="1:65" x14ac:dyDescent="0.2">
      <c r="A1" s="21" t="s">
        <v>1411</v>
      </c>
      <c r="B1" s="21" t="s">
        <v>1412</v>
      </c>
      <c r="C1" s="21" t="s">
        <v>6</v>
      </c>
      <c r="D1" s="21">
        <v>1960</v>
      </c>
      <c r="E1" s="21">
        <v>1961</v>
      </c>
      <c r="F1" s="21">
        <v>1962</v>
      </c>
      <c r="G1" s="21">
        <v>1963</v>
      </c>
      <c r="H1" s="21">
        <v>1964</v>
      </c>
      <c r="I1" s="21">
        <v>1965</v>
      </c>
      <c r="J1" s="21">
        <v>1966</v>
      </c>
      <c r="K1" s="21">
        <v>1967</v>
      </c>
      <c r="L1" s="21">
        <v>1968</v>
      </c>
      <c r="M1" s="21">
        <v>1969</v>
      </c>
      <c r="N1" s="21">
        <v>1970</v>
      </c>
      <c r="O1" s="21">
        <v>1971</v>
      </c>
      <c r="P1" s="21">
        <v>1972</v>
      </c>
      <c r="Q1" s="21">
        <v>1973</v>
      </c>
      <c r="R1" s="21">
        <v>1974</v>
      </c>
      <c r="S1" s="21">
        <v>1975</v>
      </c>
      <c r="T1" s="21">
        <v>1976</v>
      </c>
      <c r="U1" s="21">
        <v>1977</v>
      </c>
      <c r="V1" s="21">
        <v>1978</v>
      </c>
      <c r="W1" s="21">
        <v>1979</v>
      </c>
      <c r="X1" s="21">
        <v>1980</v>
      </c>
      <c r="Y1" s="21">
        <v>1981</v>
      </c>
      <c r="Z1" s="21">
        <v>1982</v>
      </c>
      <c r="AA1" s="21">
        <v>1983</v>
      </c>
      <c r="AB1" s="21">
        <v>1984</v>
      </c>
      <c r="AC1" s="21">
        <v>1985</v>
      </c>
      <c r="AD1" s="21">
        <v>1986</v>
      </c>
      <c r="AE1" s="21">
        <v>1987</v>
      </c>
      <c r="AF1" s="21">
        <v>1988</v>
      </c>
      <c r="AG1" s="21">
        <v>1989</v>
      </c>
      <c r="AH1" s="21">
        <v>1990</v>
      </c>
      <c r="AI1" s="21">
        <v>1991</v>
      </c>
      <c r="AJ1" s="21">
        <v>1992</v>
      </c>
      <c r="AK1" s="21">
        <v>1993</v>
      </c>
      <c r="AL1" s="21">
        <v>1994</v>
      </c>
      <c r="AM1" s="21">
        <v>1995</v>
      </c>
      <c r="AN1" s="21">
        <v>1996</v>
      </c>
      <c r="AO1" s="21">
        <v>1997</v>
      </c>
      <c r="AP1" s="21">
        <v>1998</v>
      </c>
      <c r="AQ1" s="21">
        <v>1999</v>
      </c>
      <c r="AR1" s="21">
        <v>2000</v>
      </c>
      <c r="AS1" s="21">
        <v>2001</v>
      </c>
      <c r="AT1" s="21">
        <v>2002</v>
      </c>
      <c r="AU1" s="21">
        <v>2003</v>
      </c>
      <c r="AV1" s="21">
        <v>2004</v>
      </c>
      <c r="AW1" s="21">
        <v>2005</v>
      </c>
      <c r="AX1" s="21">
        <v>2006</v>
      </c>
      <c r="AY1" s="21">
        <v>2007</v>
      </c>
      <c r="AZ1" s="21">
        <v>2008</v>
      </c>
      <c r="BA1" s="21">
        <v>2009</v>
      </c>
      <c r="BB1" s="21">
        <v>2010</v>
      </c>
      <c r="BC1" s="21">
        <v>2011</v>
      </c>
      <c r="BD1" s="21">
        <v>2012</v>
      </c>
      <c r="BE1" s="21">
        <v>2013</v>
      </c>
      <c r="BF1" s="21">
        <v>2014</v>
      </c>
      <c r="BG1" s="21">
        <v>2015</v>
      </c>
      <c r="BH1" s="21">
        <v>2016</v>
      </c>
      <c r="BI1" s="21">
        <v>2017</v>
      </c>
      <c r="BJ1" s="21">
        <v>2018</v>
      </c>
      <c r="BK1" s="21">
        <v>2019</v>
      </c>
      <c r="BL1" s="21">
        <v>2020</v>
      </c>
      <c r="BM1" s="21">
        <v>2021</v>
      </c>
    </row>
    <row r="2" spans="1:65" x14ac:dyDescent="0.2">
      <c r="A2" s="21" t="s">
        <v>1413</v>
      </c>
      <c r="B2" s="21" t="s">
        <v>1414</v>
      </c>
      <c r="C2" s="21" t="s">
        <v>9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5169</v>
      </c>
      <c r="Z2" s="21">
        <v>4937</v>
      </c>
      <c r="AA2" s="21">
        <v>712</v>
      </c>
      <c r="AB2" s="21">
        <v>86</v>
      </c>
      <c r="AC2" s="21">
        <v>3867</v>
      </c>
      <c r="AD2" s="21">
        <v>545</v>
      </c>
      <c r="AE2" s="21">
        <v>45</v>
      </c>
      <c r="AF2" s="21">
        <v>-1070</v>
      </c>
      <c r="AG2" s="21">
        <v>106</v>
      </c>
      <c r="AH2" s="21">
        <v>237</v>
      </c>
      <c r="AI2" s="21">
        <v>-81</v>
      </c>
      <c r="AJ2" s="21">
        <v>156</v>
      </c>
      <c r="AK2" s="21">
        <v>146</v>
      </c>
      <c r="AL2" s="21">
        <v>6098</v>
      </c>
      <c r="AM2" s="21">
        <v>5290</v>
      </c>
      <c r="AN2" s="21">
        <v>6951</v>
      </c>
      <c r="AO2" s="21">
        <v>9056</v>
      </c>
      <c r="AP2" s="21">
        <v>4003</v>
      </c>
      <c r="AQ2" s="21">
        <v>6396</v>
      </c>
      <c r="AR2" s="21">
        <v>3816</v>
      </c>
      <c r="AS2" s="21">
        <v>6073</v>
      </c>
      <c r="AT2" s="21">
        <v>7516</v>
      </c>
      <c r="AU2" s="21">
        <v>7471</v>
      </c>
      <c r="AV2" s="21">
        <v>10616</v>
      </c>
      <c r="AW2" s="21">
        <v>8324</v>
      </c>
      <c r="AX2" s="21">
        <v>641</v>
      </c>
      <c r="AY2" s="21">
        <v>1782</v>
      </c>
      <c r="AZ2" s="21">
        <v>96</v>
      </c>
      <c r="BA2" s="21">
        <v>-793</v>
      </c>
      <c r="BB2" s="21">
        <v>-242</v>
      </c>
      <c r="BC2" s="21">
        <v>10</v>
      </c>
      <c r="BD2" s="21">
        <v>-5</v>
      </c>
      <c r="BE2" s="21">
        <v>-379</v>
      </c>
      <c r="BF2" s="21">
        <v>-141</v>
      </c>
      <c r="BG2" s="21">
        <v>-348</v>
      </c>
      <c r="BH2" s="21">
        <v>-293</v>
      </c>
      <c r="BI2" s="21">
        <v>-192</v>
      </c>
      <c r="BJ2" s="21">
        <v>-1555</v>
      </c>
      <c r="BK2" s="21">
        <v>-1191</v>
      </c>
      <c r="BL2" s="21">
        <v>-787</v>
      </c>
      <c r="BM2" s="21">
        <v>-833</v>
      </c>
    </row>
    <row r="3" spans="1:65" x14ac:dyDescent="0.2">
      <c r="A3" s="21" t="s">
        <v>1413</v>
      </c>
      <c r="B3" s="21" t="s">
        <v>1414</v>
      </c>
      <c r="C3" s="21" t="s">
        <v>12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1024</v>
      </c>
      <c r="Z3" s="21">
        <v>978</v>
      </c>
      <c r="AA3" s="21">
        <v>141</v>
      </c>
      <c r="AB3" s="21">
        <v>17</v>
      </c>
      <c r="AC3" s="21">
        <v>766</v>
      </c>
      <c r="AD3" s="21">
        <v>108</v>
      </c>
      <c r="AE3" s="21">
        <v>9</v>
      </c>
      <c r="AF3" s="21">
        <v>-212</v>
      </c>
      <c r="AG3" s="21">
        <v>21</v>
      </c>
      <c r="AH3" s="21">
        <v>47</v>
      </c>
      <c r="AI3" s="21">
        <v>-16</v>
      </c>
      <c r="AJ3" s="21">
        <v>31</v>
      </c>
      <c r="AK3" s="21">
        <v>29</v>
      </c>
      <c r="AL3" s="21">
        <v>1208</v>
      </c>
      <c r="AM3" s="21">
        <v>1048</v>
      </c>
      <c r="AN3" s="21">
        <v>1377</v>
      </c>
      <c r="AO3" s="21">
        <v>1794</v>
      </c>
      <c r="AP3" s="21">
        <v>793</v>
      </c>
      <c r="AQ3" s="21">
        <v>1267</v>
      </c>
      <c r="AR3" s="21">
        <v>756</v>
      </c>
      <c r="AS3" s="21">
        <v>1203</v>
      </c>
      <c r="AT3" s="21">
        <v>1489</v>
      </c>
      <c r="AU3" s="21">
        <v>1480</v>
      </c>
      <c r="AV3" s="21">
        <v>2103</v>
      </c>
      <c r="AW3" s="21">
        <v>1649</v>
      </c>
      <c r="AX3" s="21">
        <v>127</v>
      </c>
      <c r="AY3" s="21">
        <v>353</v>
      </c>
      <c r="AZ3" s="21">
        <v>19</v>
      </c>
      <c r="BA3" s="21">
        <v>-157</v>
      </c>
      <c r="BB3" s="21">
        <v>-48</v>
      </c>
      <c r="BC3" s="21">
        <v>2</v>
      </c>
      <c r="BD3" s="21">
        <v>-1</v>
      </c>
      <c r="BE3" s="21">
        <v>-75</v>
      </c>
      <c r="BF3" s="21">
        <v>-28</v>
      </c>
      <c r="BG3" s="21">
        <v>-69</v>
      </c>
      <c r="BH3" s="21">
        <v>-58</v>
      </c>
      <c r="BI3" s="21">
        <v>-38</v>
      </c>
      <c r="BJ3" s="21">
        <v>-308</v>
      </c>
      <c r="BK3" s="21">
        <v>-236</v>
      </c>
      <c r="BL3" s="21">
        <v>-156</v>
      </c>
      <c r="BM3" s="21">
        <v>-165</v>
      </c>
    </row>
    <row r="4" spans="1:65" x14ac:dyDescent="0.2">
      <c r="A4" s="21" t="s">
        <v>1413</v>
      </c>
      <c r="B4" s="21" t="s">
        <v>1414</v>
      </c>
      <c r="C4" s="21" t="s">
        <v>14</v>
      </c>
      <c r="D4" s="21">
        <v>733782</v>
      </c>
      <c r="E4" s="21">
        <v>753551</v>
      </c>
      <c r="F4" s="21">
        <v>803533</v>
      </c>
      <c r="G4" s="21">
        <v>824642</v>
      </c>
      <c r="H4" s="21">
        <v>840781</v>
      </c>
      <c r="I4" s="21">
        <v>890266</v>
      </c>
      <c r="J4" s="21">
        <v>935557</v>
      </c>
      <c r="K4" s="21">
        <v>917215</v>
      </c>
      <c r="L4" s="21">
        <v>983661</v>
      </c>
      <c r="M4" s="21">
        <v>1008977</v>
      </c>
      <c r="N4" s="21">
        <v>1082451</v>
      </c>
      <c r="O4" s="21">
        <v>1108298</v>
      </c>
      <c r="P4" s="21">
        <v>1136919</v>
      </c>
      <c r="Q4" s="21">
        <v>1263720</v>
      </c>
      <c r="R4" s="21">
        <v>1165375</v>
      </c>
      <c r="S4" s="21">
        <v>1014226</v>
      </c>
      <c r="T4" s="21">
        <v>998121</v>
      </c>
      <c r="U4" s="21">
        <v>1056365</v>
      </c>
      <c r="V4" s="21">
        <v>1159621</v>
      </c>
      <c r="W4" s="21">
        <v>1153032</v>
      </c>
      <c r="X4" s="21">
        <v>962207</v>
      </c>
      <c r="Y4" s="21">
        <v>827788</v>
      </c>
      <c r="Z4" s="21">
        <v>829407</v>
      </c>
      <c r="AA4" s="21">
        <v>904095</v>
      </c>
      <c r="AB4" s="21">
        <v>992095</v>
      </c>
      <c r="AC4" s="21">
        <v>1029482</v>
      </c>
      <c r="AD4" s="21">
        <v>1085736</v>
      </c>
      <c r="AE4" s="21">
        <v>1130011</v>
      </c>
      <c r="AF4" s="21">
        <v>1136322</v>
      </c>
      <c r="AG4" s="21">
        <v>1096028</v>
      </c>
      <c r="AH4" s="21">
        <v>1170192</v>
      </c>
      <c r="AI4" s="21">
        <v>1076538</v>
      </c>
      <c r="AJ4" s="21">
        <v>1102220</v>
      </c>
      <c r="AK4" s="21">
        <v>1149017</v>
      </c>
      <c r="AL4" s="21">
        <v>1172920</v>
      </c>
      <c r="AM4" s="21">
        <v>1178175</v>
      </c>
      <c r="AN4" s="21">
        <v>1175932</v>
      </c>
      <c r="AO4" s="21">
        <v>1223566</v>
      </c>
      <c r="AP4" s="21">
        <v>1262552</v>
      </c>
      <c r="AQ4" s="21">
        <v>1324413</v>
      </c>
      <c r="AR4" s="21">
        <v>1275678</v>
      </c>
      <c r="AS4" s="21">
        <v>1256865</v>
      </c>
      <c r="AT4" s="21">
        <v>1239950</v>
      </c>
      <c r="AU4" s="21">
        <v>1219538</v>
      </c>
      <c r="AV4" s="21">
        <v>1303848</v>
      </c>
      <c r="AW4" s="21">
        <v>1323238</v>
      </c>
      <c r="AX4" s="21">
        <v>1261165</v>
      </c>
      <c r="AY4" s="21">
        <v>1197041</v>
      </c>
      <c r="AZ4" s="21">
        <v>1011970</v>
      </c>
      <c r="BA4" s="21">
        <v>873085</v>
      </c>
      <c r="BB4" s="21">
        <v>877770</v>
      </c>
      <c r="BC4" s="21">
        <v>859488</v>
      </c>
      <c r="BD4" s="21">
        <v>826700</v>
      </c>
      <c r="BE4" s="21">
        <v>783347</v>
      </c>
      <c r="BF4" s="21">
        <v>792637</v>
      </c>
      <c r="BG4" s="21">
        <v>831663</v>
      </c>
      <c r="BH4" s="21">
        <v>853363</v>
      </c>
      <c r="BI4" s="21">
        <v>849182</v>
      </c>
      <c r="BJ4" s="21">
        <v>792763</v>
      </c>
      <c r="BK4" s="21">
        <v>843880</v>
      </c>
      <c r="BL4" s="21">
        <v>832274</v>
      </c>
      <c r="BM4" s="21">
        <v>898083</v>
      </c>
    </row>
    <row r="5" spans="1:65" x14ac:dyDescent="0.2">
      <c r="A5" s="21" t="s">
        <v>1413</v>
      </c>
      <c r="B5" s="21" t="s">
        <v>1414</v>
      </c>
      <c r="C5" s="21" t="s">
        <v>19</v>
      </c>
      <c r="D5" s="21">
        <v>110576</v>
      </c>
      <c r="E5" s="21">
        <v>113555</v>
      </c>
      <c r="F5" s="21">
        <v>121087</v>
      </c>
      <c r="G5" s="21">
        <v>124268</v>
      </c>
      <c r="H5" s="21">
        <v>126700</v>
      </c>
      <c r="I5" s="21">
        <v>134157</v>
      </c>
      <c r="J5" s="21">
        <v>140982</v>
      </c>
      <c r="K5" s="21">
        <v>138218</v>
      </c>
      <c r="L5" s="21">
        <v>148231</v>
      </c>
      <c r="M5" s="21">
        <v>152046</v>
      </c>
      <c r="N5" s="21">
        <v>163118</v>
      </c>
      <c r="O5" s="21">
        <v>167013</v>
      </c>
      <c r="P5" s="21">
        <v>171326</v>
      </c>
      <c r="Q5" s="21">
        <v>190434</v>
      </c>
      <c r="R5" s="21">
        <v>175614</v>
      </c>
      <c r="S5" s="21">
        <v>152837</v>
      </c>
      <c r="T5" s="21">
        <v>150410</v>
      </c>
      <c r="U5" s="21">
        <v>159187</v>
      </c>
      <c r="V5" s="21">
        <v>174747</v>
      </c>
      <c r="W5" s="21">
        <v>173754</v>
      </c>
      <c r="X5" s="21">
        <v>144998</v>
      </c>
      <c r="Y5" s="21">
        <v>124742</v>
      </c>
      <c r="Z5" s="21">
        <v>124986</v>
      </c>
      <c r="AA5" s="21">
        <v>136241</v>
      </c>
      <c r="AB5" s="21">
        <v>149502</v>
      </c>
      <c r="AC5" s="21">
        <v>155136</v>
      </c>
      <c r="AD5" s="21">
        <v>163613</v>
      </c>
      <c r="AE5" s="21">
        <v>170285</v>
      </c>
      <c r="AF5" s="21">
        <v>171236</v>
      </c>
      <c r="AG5" s="21">
        <v>165164</v>
      </c>
      <c r="AH5" s="21">
        <v>176340</v>
      </c>
      <c r="AI5" s="21">
        <v>162227</v>
      </c>
      <c r="AJ5" s="21">
        <v>166097</v>
      </c>
      <c r="AK5" s="21">
        <v>173149</v>
      </c>
      <c r="AL5" s="21">
        <v>176751</v>
      </c>
      <c r="AM5" s="21">
        <v>177543</v>
      </c>
      <c r="AN5" s="21">
        <v>177205</v>
      </c>
      <c r="AO5" s="21">
        <v>184383</v>
      </c>
      <c r="AP5" s="21">
        <v>190258</v>
      </c>
      <c r="AQ5" s="21">
        <v>199580</v>
      </c>
      <c r="AR5" s="21">
        <v>192236</v>
      </c>
      <c r="AS5" s="21">
        <v>189401</v>
      </c>
      <c r="AT5" s="21">
        <v>186852</v>
      </c>
      <c r="AU5" s="21">
        <v>183776</v>
      </c>
      <c r="AV5" s="21">
        <v>196481</v>
      </c>
      <c r="AW5" s="21">
        <v>199403</v>
      </c>
      <c r="AX5" s="21">
        <v>190049</v>
      </c>
      <c r="AY5" s="21">
        <v>180386</v>
      </c>
      <c r="AZ5" s="21">
        <v>152497</v>
      </c>
      <c r="BA5" s="21">
        <v>131568</v>
      </c>
      <c r="BB5" s="21">
        <v>132274</v>
      </c>
      <c r="BC5" s="21">
        <v>129519</v>
      </c>
      <c r="BD5" s="21">
        <v>124578</v>
      </c>
      <c r="BE5" s="21">
        <v>118045</v>
      </c>
      <c r="BF5" s="21">
        <v>119445</v>
      </c>
      <c r="BG5" s="21">
        <v>125326</v>
      </c>
      <c r="BH5" s="21">
        <v>128596</v>
      </c>
      <c r="BI5" s="21">
        <v>127966</v>
      </c>
      <c r="BJ5" s="21">
        <v>119464</v>
      </c>
      <c r="BK5" s="21">
        <v>127167</v>
      </c>
      <c r="BL5" s="21">
        <v>125418</v>
      </c>
      <c r="BM5" s="21">
        <v>135335</v>
      </c>
    </row>
    <row r="6" spans="1:65" x14ac:dyDescent="0.2">
      <c r="A6" s="21" t="s">
        <v>1413</v>
      </c>
      <c r="B6" s="21" t="s">
        <v>1414</v>
      </c>
      <c r="C6" s="21" t="s">
        <v>23</v>
      </c>
      <c r="D6" s="21">
        <v>733782</v>
      </c>
      <c r="E6" s="21">
        <v>753551</v>
      </c>
      <c r="F6" s="21">
        <v>803533</v>
      </c>
      <c r="G6" s="21">
        <v>824642</v>
      </c>
      <c r="H6" s="21">
        <v>840781</v>
      </c>
      <c r="I6" s="21">
        <v>890266</v>
      </c>
      <c r="J6" s="21">
        <v>935557</v>
      </c>
      <c r="K6" s="21">
        <v>917215</v>
      </c>
      <c r="L6" s="21">
        <v>983661</v>
      </c>
      <c r="M6" s="21">
        <v>1008977</v>
      </c>
      <c r="N6" s="21">
        <v>1082451</v>
      </c>
      <c r="O6" s="21">
        <v>1108298</v>
      </c>
      <c r="P6" s="21">
        <v>1136919</v>
      </c>
      <c r="Q6" s="21">
        <v>1263720</v>
      </c>
      <c r="R6" s="21">
        <v>1165375</v>
      </c>
      <c r="S6" s="21">
        <v>1014226</v>
      </c>
      <c r="T6" s="21">
        <v>998121</v>
      </c>
      <c r="U6" s="21">
        <v>1056365</v>
      </c>
      <c r="V6" s="21">
        <v>1159621</v>
      </c>
      <c r="W6" s="21">
        <v>1153032</v>
      </c>
      <c r="X6" s="21">
        <v>962207</v>
      </c>
      <c r="Y6" s="21">
        <v>827788</v>
      </c>
      <c r="Z6" s="21">
        <v>829407</v>
      </c>
      <c r="AA6" s="21">
        <v>904095</v>
      </c>
      <c r="AB6" s="21">
        <v>992095</v>
      </c>
      <c r="AC6" s="21">
        <v>1029482</v>
      </c>
      <c r="AD6" s="21">
        <v>1085736</v>
      </c>
      <c r="AE6" s="21">
        <v>1130011</v>
      </c>
      <c r="AF6" s="21">
        <v>1136322</v>
      </c>
      <c r="AG6" s="21">
        <v>1096028</v>
      </c>
      <c r="AH6" s="21">
        <v>1170192</v>
      </c>
      <c r="AI6" s="21">
        <v>1076538</v>
      </c>
      <c r="AJ6" s="21">
        <v>1102220</v>
      </c>
      <c r="AK6" s="21">
        <v>1149017</v>
      </c>
      <c r="AL6" s="21">
        <v>1172920</v>
      </c>
      <c r="AM6" s="21">
        <v>1178175</v>
      </c>
      <c r="AN6" s="21">
        <v>1175932</v>
      </c>
      <c r="AO6" s="21">
        <v>1223566</v>
      </c>
      <c r="AP6" s="21">
        <v>1262552</v>
      </c>
      <c r="AQ6" s="21">
        <v>1324413</v>
      </c>
      <c r="AR6" s="21">
        <v>1275678</v>
      </c>
      <c r="AS6" s="21">
        <v>1256865</v>
      </c>
      <c r="AT6" s="21">
        <v>1239950</v>
      </c>
      <c r="AU6" s="21">
        <v>1219538</v>
      </c>
      <c r="AV6" s="21">
        <v>1303848</v>
      </c>
      <c r="AW6" s="21">
        <v>1323238</v>
      </c>
      <c r="AX6" s="21">
        <v>1261165</v>
      </c>
      <c r="AY6" s="21">
        <v>1197041</v>
      </c>
      <c r="AZ6" s="21">
        <v>1011970</v>
      </c>
      <c r="BA6" s="21">
        <v>873085</v>
      </c>
      <c r="BB6" s="21">
        <v>877770</v>
      </c>
      <c r="BC6" s="21">
        <v>859488</v>
      </c>
      <c r="BD6" s="21">
        <v>826700</v>
      </c>
      <c r="BE6" s="21">
        <v>783347</v>
      </c>
      <c r="BF6" s="21">
        <v>792637</v>
      </c>
      <c r="BG6" s="21">
        <v>831663</v>
      </c>
      <c r="BH6" s="21">
        <v>853363</v>
      </c>
      <c r="BI6" s="21">
        <v>849182</v>
      </c>
      <c r="BJ6" s="21">
        <v>792763</v>
      </c>
      <c r="BK6" s="21">
        <v>843880</v>
      </c>
      <c r="BL6" s="21">
        <v>832274</v>
      </c>
      <c r="BM6" s="21">
        <v>898083</v>
      </c>
    </row>
    <row r="7" spans="1:65" x14ac:dyDescent="0.2">
      <c r="A7" s="21" t="s">
        <v>1413</v>
      </c>
      <c r="B7" s="21" t="s">
        <v>1414</v>
      </c>
      <c r="C7" s="21" t="s">
        <v>27</v>
      </c>
      <c r="D7" s="21">
        <v>110576</v>
      </c>
      <c r="E7" s="21">
        <v>113555</v>
      </c>
      <c r="F7" s="21">
        <v>121087</v>
      </c>
      <c r="G7" s="21">
        <v>124268</v>
      </c>
      <c r="H7" s="21">
        <v>126700</v>
      </c>
      <c r="I7" s="21">
        <v>134157</v>
      </c>
      <c r="J7" s="21">
        <v>140982</v>
      </c>
      <c r="K7" s="21">
        <v>138218</v>
      </c>
      <c r="L7" s="21">
        <v>148231</v>
      </c>
      <c r="M7" s="21">
        <v>152046</v>
      </c>
      <c r="N7" s="21">
        <v>163118</v>
      </c>
      <c r="O7" s="21">
        <v>167013</v>
      </c>
      <c r="P7" s="21">
        <v>171326</v>
      </c>
      <c r="Q7" s="21">
        <v>190434</v>
      </c>
      <c r="R7" s="21">
        <v>175614</v>
      </c>
      <c r="S7" s="21">
        <v>152837</v>
      </c>
      <c r="T7" s="21">
        <v>150410</v>
      </c>
      <c r="U7" s="21">
        <v>159187</v>
      </c>
      <c r="V7" s="21">
        <v>174747</v>
      </c>
      <c r="W7" s="21">
        <v>173754</v>
      </c>
      <c r="X7" s="21">
        <v>144998</v>
      </c>
      <c r="Y7" s="21">
        <v>124742</v>
      </c>
      <c r="Z7" s="21">
        <v>124986</v>
      </c>
      <c r="AA7" s="21">
        <v>136241</v>
      </c>
      <c r="AB7" s="21">
        <v>149502</v>
      </c>
      <c r="AC7" s="21">
        <v>155136</v>
      </c>
      <c r="AD7" s="21">
        <v>163613</v>
      </c>
      <c r="AE7" s="21">
        <v>170285</v>
      </c>
      <c r="AF7" s="21">
        <v>171236</v>
      </c>
      <c r="AG7" s="21">
        <v>165164</v>
      </c>
      <c r="AH7" s="21">
        <v>176340</v>
      </c>
      <c r="AI7" s="21">
        <v>162227</v>
      </c>
      <c r="AJ7" s="21">
        <v>166097</v>
      </c>
      <c r="AK7" s="21">
        <v>173149</v>
      </c>
      <c r="AL7" s="21">
        <v>176751</v>
      </c>
      <c r="AM7" s="21">
        <v>177543</v>
      </c>
      <c r="AN7" s="21">
        <v>177205</v>
      </c>
      <c r="AO7" s="21">
        <v>184383</v>
      </c>
      <c r="AP7" s="21">
        <v>190258</v>
      </c>
      <c r="AQ7" s="21">
        <v>199580</v>
      </c>
      <c r="AR7" s="21">
        <v>192236</v>
      </c>
      <c r="AS7" s="21">
        <v>189401</v>
      </c>
      <c r="AT7" s="21">
        <v>186852</v>
      </c>
      <c r="AU7" s="21">
        <v>183776</v>
      </c>
      <c r="AV7" s="21">
        <v>196481</v>
      </c>
      <c r="AW7" s="21">
        <v>199403</v>
      </c>
      <c r="AX7" s="21">
        <v>190049</v>
      </c>
      <c r="AY7" s="21">
        <v>180386</v>
      </c>
      <c r="AZ7" s="21">
        <v>152497</v>
      </c>
      <c r="BA7" s="21">
        <v>131568</v>
      </c>
      <c r="BB7" s="21">
        <v>132274</v>
      </c>
      <c r="BC7" s="21">
        <v>129519</v>
      </c>
      <c r="BD7" s="21">
        <v>124578</v>
      </c>
      <c r="BE7" s="21">
        <v>118045</v>
      </c>
      <c r="BF7" s="21">
        <v>119445</v>
      </c>
      <c r="BG7" s="21">
        <v>125326</v>
      </c>
      <c r="BH7" s="21">
        <v>128596</v>
      </c>
      <c r="BI7" s="21">
        <v>127966</v>
      </c>
      <c r="BJ7" s="21">
        <v>119464</v>
      </c>
      <c r="BK7" s="21">
        <v>127167</v>
      </c>
      <c r="BL7" s="21">
        <v>125418</v>
      </c>
      <c r="BM7" s="21">
        <v>135335</v>
      </c>
    </row>
    <row r="8" spans="1:65" x14ac:dyDescent="0.2">
      <c r="A8" s="21" t="s">
        <v>1413</v>
      </c>
      <c r="B8" s="21" t="s">
        <v>1414</v>
      </c>
      <c r="C8" s="21" t="s">
        <v>30</v>
      </c>
      <c r="D8" s="21">
        <v>733782</v>
      </c>
      <c r="E8" s="21">
        <v>753551</v>
      </c>
      <c r="F8" s="21">
        <v>803533</v>
      </c>
      <c r="G8" s="21">
        <v>824642</v>
      </c>
      <c r="H8" s="21">
        <v>840781</v>
      </c>
      <c r="I8" s="21">
        <v>890266</v>
      </c>
      <c r="J8" s="21">
        <v>935557</v>
      </c>
      <c r="K8" s="21">
        <v>917215</v>
      </c>
      <c r="L8" s="21">
        <v>983661</v>
      </c>
      <c r="M8" s="21">
        <v>1008977</v>
      </c>
      <c r="N8" s="21">
        <v>1082451</v>
      </c>
      <c r="O8" s="21">
        <v>1108298</v>
      </c>
      <c r="P8" s="21">
        <v>1136919</v>
      </c>
      <c r="Q8" s="21">
        <v>1263720</v>
      </c>
      <c r="R8" s="21">
        <v>1165375</v>
      </c>
      <c r="S8" s="21">
        <v>1014226</v>
      </c>
      <c r="T8" s="21">
        <v>998121</v>
      </c>
      <c r="U8" s="21">
        <v>1056365</v>
      </c>
      <c r="V8" s="21">
        <v>1159621</v>
      </c>
      <c r="W8" s="21">
        <v>1153032</v>
      </c>
      <c r="X8" s="21">
        <v>962207</v>
      </c>
      <c r="Y8" s="21">
        <v>827788</v>
      </c>
      <c r="Z8" s="21">
        <v>829407</v>
      </c>
      <c r="AA8" s="21">
        <v>904095</v>
      </c>
      <c r="AB8" s="21">
        <v>992095</v>
      </c>
      <c r="AC8" s="21">
        <v>1029482</v>
      </c>
      <c r="AD8" s="21">
        <v>1085736</v>
      </c>
      <c r="AE8" s="21">
        <v>1130011</v>
      </c>
      <c r="AF8" s="21">
        <v>1136322</v>
      </c>
      <c r="AG8" s="21">
        <v>1096028</v>
      </c>
      <c r="AH8" s="21">
        <v>1170192</v>
      </c>
      <c r="AI8" s="21">
        <v>1076538</v>
      </c>
      <c r="AJ8" s="21">
        <v>1102220</v>
      </c>
      <c r="AK8" s="21">
        <v>1149017</v>
      </c>
      <c r="AL8" s="21">
        <v>1172920</v>
      </c>
      <c r="AM8" s="21">
        <v>1178175</v>
      </c>
      <c r="AN8" s="21">
        <v>1175932</v>
      </c>
      <c r="AO8" s="21">
        <v>1223566</v>
      </c>
      <c r="AP8" s="21">
        <v>1262552</v>
      </c>
      <c r="AQ8" s="21">
        <v>1324413</v>
      </c>
      <c r="AR8" s="21">
        <v>1275678</v>
      </c>
      <c r="AS8" s="21">
        <v>1256865</v>
      </c>
      <c r="AT8" s="21">
        <v>1239950</v>
      </c>
      <c r="AU8" s="21">
        <v>1219538</v>
      </c>
      <c r="AV8" s="21">
        <v>1303848</v>
      </c>
      <c r="AW8" s="21">
        <v>1323238</v>
      </c>
      <c r="AX8" s="21">
        <v>1261165</v>
      </c>
      <c r="AY8" s="21">
        <v>1197041</v>
      </c>
      <c r="AZ8" s="21">
        <v>1011970</v>
      </c>
      <c r="BA8" s="21">
        <v>873085</v>
      </c>
      <c r="BB8" s="21">
        <v>877770</v>
      </c>
      <c r="BC8" s="21">
        <v>859488</v>
      </c>
      <c r="BD8" s="21">
        <v>826700</v>
      </c>
      <c r="BE8" s="21">
        <v>783347</v>
      </c>
      <c r="BF8" s="21">
        <v>792637</v>
      </c>
      <c r="BG8" s="21">
        <v>831663</v>
      </c>
      <c r="BH8" s="21">
        <v>853363</v>
      </c>
      <c r="BI8" s="21">
        <v>849182</v>
      </c>
      <c r="BJ8" s="21">
        <v>792763</v>
      </c>
      <c r="BK8" s="21">
        <v>843880</v>
      </c>
      <c r="BL8" s="21">
        <v>832274</v>
      </c>
      <c r="BM8" s="21">
        <v>898083</v>
      </c>
    </row>
    <row r="9" spans="1:65" x14ac:dyDescent="0.2">
      <c r="A9" s="21" t="s">
        <v>1413</v>
      </c>
      <c r="B9" s="21" t="s">
        <v>1414</v>
      </c>
      <c r="C9" s="21" t="s">
        <v>34</v>
      </c>
      <c r="D9" s="21">
        <v>110576</v>
      </c>
      <c r="E9" s="21">
        <v>113555</v>
      </c>
      <c r="F9" s="21">
        <v>121087</v>
      </c>
      <c r="G9" s="21">
        <v>124268</v>
      </c>
      <c r="H9" s="21">
        <v>126700</v>
      </c>
      <c r="I9" s="21">
        <v>134157</v>
      </c>
      <c r="J9" s="21">
        <v>140982</v>
      </c>
      <c r="K9" s="21">
        <v>138218</v>
      </c>
      <c r="L9" s="21">
        <v>148231</v>
      </c>
      <c r="M9" s="21">
        <v>152046</v>
      </c>
      <c r="N9" s="21">
        <v>163118</v>
      </c>
      <c r="O9" s="21">
        <v>167013</v>
      </c>
      <c r="P9" s="21">
        <v>171326</v>
      </c>
      <c r="Q9" s="21">
        <v>190434</v>
      </c>
      <c r="R9" s="21">
        <v>175614</v>
      </c>
      <c r="S9" s="21">
        <v>152837</v>
      </c>
      <c r="T9" s="21">
        <v>150410</v>
      </c>
      <c r="U9" s="21">
        <v>159187</v>
      </c>
      <c r="V9" s="21">
        <v>174747</v>
      </c>
      <c r="W9" s="21">
        <v>173754</v>
      </c>
      <c r="X9" s="21">
        <v>144998</v>
      </c>
      <c r="Y9" s="21">
        <v>124742</v>
      </c>
      <c r="Z9" s="21">
        <v>124986</v>
      </c>
      <c r="AA9" s="21">
        <v>136241</v>
      </c>
      <c r="AB9" s="21">
        <v>149502</v>
      </c>
      <c r="AC9" s="21">
        <v>155136</v>
      </c>
      <c r="AD9" s="21">
        <v>163613</v>
      </c>
      <c r="AE9" s="21">
        <v>170285</v>
      </c>
      <c r="AF9" s="21">
        <v>171236</v>
      </c>
      <c r="AG9" s="21">
        <v>165164</v>
      </c>
      <c r="AH9" s="21">
        <v>176340</v>
      </c>
      <c r="AI9" s="21">
        <v>162227</v>
      </c>
      <c r="AJ9" s="21">
        <v>166097</v>
      </c>
      <c r="AK9" s="21">
        <v>173149</v>
      </c>
      <c r="AL9" s="21">
        <v>176751</v>
      </c>
      <c r="AM9" s="21">
        <v>177543</v>
      </c>
      <c r="AN9" s="21">
        <v>177205</v>
      </c>
      <c r="AO9" s="21">
        <v>184383</v>
      </c>
      <c r="AP9" s="21">
        <v>190258</v>
      </c>
      <c r="AQ9" s="21">
        <v>199580</v>
      </c>
      <c r="AR9" s="21">
        <v>192236</v>
      </c>
      <c r="AS9" s="21">
        <v>189401</v>
      </c>
      <c r="AT9" s="21">
        <v>186852</v>
      </c>
      <c r="AU9" s="21">
        <v>183776</v>
      </c>
      <c r="AV9" s="21">
        <v>196481</v>
      </c>
      <c r="AW9" s="21">
        <v>199403</v>
      </c>
      <c r="AX9" s="21">
        <v>190049</v>
      </c>
      <c r="AY9" s="21">
        <v>180386</v>
      </c>
      <c r="AZ9" s="21">
        <v>152497</v>
      </c>
      <c r="BA9" s="21">
        <v>131568</v>
      </c>
      <c r="BB9" s="21">
        <v>132274</v>
      </c>
      <c r="BC9" s="21">
        <v>129519</v>
      </c>
      <c r="BD9" s="21">
        <v>124578</v>
      </c>
      <c r="BE9" s="21">
        <v>118045</v>
      </c>
      <c r="BF9" s="21">
        <v>119445</v>
      </c>
      <c r="BG9" s="21">
        <v>125326</v>
      </c>
      <c r="BH9" s="21">
        <v>128596</v>
      </c>
      <c r="BI9" s="21">
        <v>127966</v>
      </c>
      <c r="BJ9" s="21">
        <v>119464</v>
      </c>
      <c r="BK9" s="21">
        <v>127167</v>
      </c>
      <c r="BL9" s="21">
        <v>125418</v>
      </c>
      <c r="BM9" s="21">
        <v>135335</v>
      </c>
    </row>
    <row r="10" spans="1:65" x14ac:dyDescent="0.2">
      <c r="A10" s="21" t="s">
        <v>1413</v>
      </c>
      <c r="B10" s="21" t="s">
        <v>1414</v>
      </c>
      <c r="C10" s="21" t="s">
        <v>37</v>
      </c>
      <c r="D10" s="21">
        <v>297903</v>
      </c>
      <c r="E10" s="21">
        <v>290396</v>
      </c>
      <c r="F10" s="21">
        <v>262915</v>
      </c>
      <c r="G10" s="21">
        <v>253193</v>
      </c>
      <c r="H10" s="21">
        <v>235025</v>
      </c>
      <c r="I10" s="21">
        <v>221592</v>
      </c>
      <c r="J10" s="21">
        <v>194091</v>
      </c>
      <c r="K10" s="21">
        <v>166099</v>
      </c>
      <c r="L10" s="21">
        <v>154590</v>
      </c>
      <c r="M10" s="21">
        <v>128981</v>
      </c>
      <c r="N10" s="21">
        <v>100470</v>
      </c>
      <c r="O10" s="21">
        <v>90319</v>
      </c>
      <c r="P10" s="21">
        <v>85437</v>
      </c>
      <c r="Q10" s="21">
        <v>83448</v>
      </c>
      <c r="R10" s="21">
        <v>81853</v>
      </c>
      <c r="S10" s="21">
        <v>71010</v>
      </c>
      <c r="T10" s="21">
        <v>67451</v>
      </c>
      <c r="U10" s="21">
        <v>70329</v>
      </c>
      <c r="V10" s="21">
        <v>71454</v>
      </c>
      <c r="W10" s="21">
        <v>70314</v>
      </c>
      <c r="X10" s="21">
        <v>64347</v>
      </c>
      <c r="Y10" s="21">
        <v>56270</v>
      </c>
      <c r="Z10" s="21">
        <v>46977</v>
      </c>
      <c r="AA10" s="21">
        <v>47673</v>
      </c>
      <c r="AB10" s="21">
        <v>43877</v>
      </c>
      <c r="AC10" s="21">
        <v>50324</v>
      </c>
      <c r="AD10" s="21">
        <v>58925</v>
      </c>
      <c r="AE10" s="21">
        <v>45639</v>
      </c>
      <c r="AF10" s="21">
        <v>48991</v>
      </c>
      <c r="AG10" s="21">
        <v>47587</v>
      </c>
      <c r="AH10" s="21">
        <v>44978</v>
      </c>
      <c r="AI10" s="21">
        <v>41722</v>
      </c>
      <c r="AJ10" s="21">
        <v>41055</v>
      </c>
      <c r="AK10" s="21">
        <v>38395</v>
      </c>
      <c r="AL10" s="21">
        <v>38138</v>
      </c>
      <c r="AM10" s="21">
        <v>39581</v>
      </c>
      <c r="AN10" s="21">
        <v>37355</v>
      </c>
      <c r="AO10" s="21">
        <v>39697</v>
      </c>
      <c r="AP10" s="21">
        <v>35498</v>
      </c>
      <c r="AQ10" s="21">
        <v>39172</v>
      </c>
      <c r="AR10" s="21">
        <v>36285</v>
      </c>
      <c r="AS10" s="21">
        <v>34937</v>
      </c>
      <c r="AT10" s="21">
        <v>33731</v>
      </c>
      <c r="AU10" s="21">
        <v>30222</v>
      </c>
      <c r="AV10" s="21">
        <v>31242</v>
      </c>
      <c r="AW10" s="21">
        <v>35366</v>
      </c>
      <c r="AX10" s="21">
        <v>33448</v>
      </c>
      <c r="AY10" s="21">
        <v>31590</v>
      </c>
      <c r="AZ10" s="21">
        <v>28284</v>
      </c>
      <c r="BA10" s="21">
        <v>26558</v>
      </c>
      <c r="BB10" s="21">
        <v>27047</v>
      </c>
      <c r="BC10" s="21">
        <v>27057</v>
      </c>
      <c r="BD10" s="21">
        <v>25114</v>
      </c>
      <c r="BE10" s="21">
        <v>22358</v>
      </c>
      <c r="BF10" s="21">
        <v>21696</v>
      </c>
      <c r="BG10" s="21">
        <v>21141</v>
      </c>
      <c r="BH10" s="21">
        <v>20465</v>
      </c>
      <c r="BI10" s="21">
        <v>20949</v>
      </c>
      <c r="BJ10" s="21">
        <v>22393</v>
      </c>
      <c r="BK10" s="21">
        <v>23387</v>
      </c>
      <c r="BL10" s="21">
        <v>20202</v>
      </c>
      <c r="BM10" s="21">
        <v>21550</v>
      </c>
    </row>
    <row r="11" spans="1:65" x14ac:dyDescent="0.2">
      <c r="A11" s="21" t="s">
        <v>1413</v>
      </c>
      <c r="B11" s="21" t="s">
        <v>1414</v>
      </c>
      <c r="C11" s="21" t="s">
        <v>41</v>
      </c>
      <c r="D11" s="21">
        <v>59014</v>
      </c>
      <c r="E11" s="21">
        <v>57527</v>
      </c>
      <c r="F11" s="21">
        <v>52083</v>
      </c>
      <c r="G11" s="21">
        <v>50157</v>
      </c>
      <c r="H11" s="21">
        <v>46558</v>
      </c>
      <c r="I11" s="21">
        <v>43897</v>
      </c>
      <c r="J11" s="21">
        <v>38449</v>
      </c>
      <c r="K11" s="21">
        <v>32904</v>
      </c>
      <c r="L11" s="21">
        <v>30624</v>
      </c>
      <c r="M11" s="21">
        <v>25551</v>
      </c>
      <c r="N11" s="21">
        <v>19903</v>
      </c>
      <c r="O11" s="21">
        <v>17892</v>
      </c>
      <c r="P11" s="21">
        <v>16925</v>
      </c>
      <c r="Q11" s="21">
        <v>16531</v>
      </c>
      <c r="R11" s="21">
        <v>16215</v>
      </c>
      <c r="S11" s="21">
        <v>14067</v>
      </c>
      <c r="T11" s="21">
        <v>13362</v>
      </c>
      <c r="U11" s="21">
        <v>13932</v>
      </c>
      <c r="V11" s="21">
        <v>14155</v>
      </c>
      <c r="W11" s="21">
        <v>13929</v>
      </c>
      <c r="X11" s="21">
        <v>12747</v>
      </c>
      <c r="Y11" s="21">
        <v>11147</v>
      </c>
      <c r="Z11" s="21">
        <v>9306</v>
      </c>
      <c r="AA11" s="21">
        <v>9444</v>
      </c>
      <c r="AB11" s="21">
        <v>8692</v>
      </c>
      <c r="AC11" s="21">
        <v>9969</v>
      </c>
      <c r="AD11" s="21">
        <v>11673</v>
      </c>
      <c r="AE11" s="21">
        <v>9041</v>
      </c>
      <c r="AF11" s="21">
        <v>9705</v>
      </c>
      <c r="AG11" s="21">
        <v>9427</v>
      </c>
      <c r="AH11" s="21">
        <v>8910</v>
      </c>
      <c r="AI11" s="21">
        <v>8265</v>
      </c>
      <c r="AJ11" s="21">
        <v>8133</v>
      </c>
      <c r="AK11" s="21">
        <v>7606</v>
      </c>
      <c r="AL11" s="21">
        <v>7555</v>
      </c>
      <c r="AM11" s="21">
        <v>7841</v>
      </c>
      <c r="AN11" s="21">
        <v>7400</v>
      </c>
      <c r="AO11" s="21">
        <v>7864</v>
      </c>
      <c r="AP11" s="21">
        <v>7032</v>
      </c>
      <c r="AQ11" s="21">
        <v>7760</v>
      </c>
      <c r="AR11" s="21">
        <v>7188</v>
      </c>
      <c r="AS11" s="21">
        <v>6921</v>
      </c>
      <c r="AT11" s="21">
        <v>6682</v>
      </c>
      <c r="AU11" s="21">
        <v>5987</v>
      </c>
      <c r="AV11" s="21">
        <v>6189</v>
      </c>
      <c r="AW11" s="21">
        <v>7006</v>
      </c>
      <c r="AX11" s="21">
        <v>6626</v>
      </c>
      <c r="AY11" s="21">
        <v>6258</v>
      </c>
      <c r="AZ11" s="21">
        <v>5603</v>
      </c>
      <c r="BA11" s="21">
        <v>5261</v>
      </c>
      <c r="BB11" s="21">
        <v>5358</v>
      </c>
      <c r="BC11" s="21">
        <v>5360</v>
      </c>
      <c r="BD11" s="21">
        <v>4975</v>
      </c>
      <c r="BE11" s="21">
        <v>4429</v>
      </c>
      <c r="BF11" s="21">
        <v>4298</v>
      </c>
      <c r="BG11" s="21">
        <v>4188</v>
      </c>
      <c r="BH11" s="21">
        <v>4054</v>
      </c>
      <c r="BI11" s="21">
        <v>4150</v>
      </c>
      <c r="BJ11" s="21">
        <v>4436</v>
      </c>
      <c r="BK11" s="21">
        <v>4633</v>
      </c>
      <c r="BL11" s="21">
        <v>4002</v>
      </c>
      <c r="BM11" s="21">
        <v>4269</v>
      </c>
    </row>
    <row r="12" spans="1:65" x14ac:dyDescent="0.2">
      <c r="A12" s="21" t="s">
        <v>1413</v>
      </c>
      <c r="B12" s="21" t="s">
        <v>1414</v>
      </c>
      <c r="C12" s="21" t="s">
        <v>44</v>
      </c>
      <c r="D12" s="21">
        <v>297903</v>
      </c>
      <c r="E12" s="21">
        <v>290396</v>
      </c>
      <c r="F12" s="21">
        <v>262915</v>
      </c>
      <c r="G12" s="21">
        <v>253193</v>
      </c>
      <c r="H12" s="21">
        <v>235025</v>
      </c>
      <c r="I12" s="21">
        <v>221592</v>
      </c>
      <c r="J12" s="21">
        <v>194091</v>
      </c>
      <c r="K12" s="21">
        <v>166099</v>
      </c>
      <c r="L12" s="21">
        <v>154590</v>
      </c>
      <c r="M12" s="21">
        <v>128981</v>
      </c>
      <c r="N12" s="21">
        <v>100470</v>
      </c>
      <c r="O12" s="21">
        <v>90319</v>
      </c>
      <c r="P12" s="21">
        <v>85437</v>
      </c>
      <c r="Q12" s="21">
        <v>83448</v>
      </c>
      <c r="R12" s="21">
        <v>81853</v>
      </c>
      <c r="S12" s="21">
        <v>71010</v>
      </c>
      <c r="T12" s="21">
        <v>67451</v>
      </c>
      <c r="U12" s="21">
        <v>70329</v>
      </c>
      <c r="V12" s="21">
        <v>71454</v>
      </c>
      <c r="W12" s="21">
        <v>70314</v>
      </c>
      <c r="X12" s="21">
        <v>64347</v>
      </c>
      <c r="Y12" s="21">
        <v>56270</v>
      </c>
      <c r="Z12" s="21">
        <v>46977</v>
      </c>
      <c r="AA12" s="21">
        <v>47673</v>
      </c>
      <c r="AB12" s="21">
        <v>43877</v>
      </c>
      <c r="AC12" s="21">
        <v>50324</v>
      </c>
      <c r="AD12" s="21">
        <v>58925</v>
      </c>
      <c r="AE12" s="21">
        <v>45639</v>
      </c>
      <c r="AF12" s="21">
        <v>48991</v>
      </c>
      <c r="AG12" s="21">
        <v>47587</v>
      </c>
      <c r="AH12" s="21">
        <v>44978</v>
      </c>
      <c r="AI12" s="21">
        <v>41722</v>
      </c>
      <c r="AJ12" s="21">
        <v>41055</v>
      </c>
      <c r="AK12" s="21">
        <v>38395</v>
      </c>
      <c r="AL12" s="21">
        <v>38138</v>
      </c>
      <c r="AM12" s="21">
        <v>39581</v>
      </c>
      <c r="AN12" s="21">
        <v>37355</v>
      </c>
      <c r="AO12" s="21">
        <v>39697</v>
      </c>
      <c r="AP12" s="21">
        <v>35498</v>
      </c>
      <c r="AQ12" s="21">
        <v>39172</v>
      </c>
      <c r="AR12" s="21">
        <v>36285</v>
      </c>
      <c r="AS12" s="21">
        <v>34937</v>
      </c>
      <c r="AT12" s="21">
        <v>33731</v>
      </c>
      <c r="AU12" s="21">
        <v>30222</v>
      </c>
      <c r="AV12" s="21">
        <v>31242</v>
      </c>
      <c r="AW12" s="21">
        <v>35366</v>
      </c>
      <c r="AX12" s="21">
        <v>33448</v>
      </c>
      <c r="AY12" s="21">
        <v>31590</v>
      </c>
      <c r="AZ12" s="21">
        <v>28284</v>
      </c>
      <c r="BA12" s="21">
        <v>26558</v>
      </c>
      <c r="BB12" s="21">
        <v>27047</v>
      </c>
      <c r="BC12" s="21">
        <v>27057</v>
      </c>
      <c r="BD12" s="21">
        <v>25114</v>
      </c>
      <c r="BE12" s="21">
        <v>22358</v>
      </c>
      <c r="BF12" s="21">
        <v>21696</v>
      </c>
      <c r="BG12" s="21">
        <v>21141</v>
      </c>
      <c r="BH12" s="21">
        <v>20465</v>
      </c>
      <c r="BI12" s="21">
        <v>20949</v>
      </c>
      <c r="BJ12" s="21">
        <v>22393</v>
      </c>
      <c r="BK12" s="21">
        <v>23387</v>
      </c>
      <c r="BL12" s="21">
        <v>20202</v>
      </c>
      <c r="BM12" s="21">
        <v>21550</v>
      </c>
    </row>
    <row r="13" spans="1:65" x14ac:dyDescent="0.2">
      <c r="A13" s="21" t="s">
        <v>1413</v>
      </c>
      <c r="B13" s="21" t="s">
        <v>1414</v>
      </c>
      <c r="C13" s="21" t="s">
        <v>48</v>
      </c>
      <c r="D13" s="21">
        <v>59014</v>
      </c>
      <c r="E13" s="21">
        <v>57527</v>
      </c>
      <c r="F13" s="21">
        <v>52083</v>
      </c>
      <c r="G13" s="21">
        <v>50157</v>
      </c>
      <c r="H13" s="21">
        <v>46558</v>
      </c>
      <c r="I13" s="21">
        <v>43897</v>
      </c>
      <c r="J13" s="21">
        <v>38449</v>
      </c>
      <c r="K13" s="21">
        <v>32904</v>
      </c>
      <c r="L13" s="21">
        <v>30624</v>
      </c>
      <c r="M13" s="21">
        <v>25551</v>
      </c>
      <c r="N13" s="21">
        <v>19903</v>
      </c>
      <c r="O13" s="21">
        <v>17892</v>
      </c>
      <c r="P13" s="21">
        <v>16925</v>
      </c>
      <c r="Q13" s="21">
        <v>16531</v>
      </c>
      <c r="R13" s="21">
        <v>16215</v>
      </c>
      <c r="S13" s="21">
        <v>14067</v>
      </c>
      <c r="T13" s="21">
        <v>13362</v>
      </c>
      <c r="U13" s="21">
        <v>13932</v>
      </c>
      <c r="V13" s="21">
        <v>14155</v>
      </c>
      <c r="W13" s="21">
        <v>13929</v>
      </c>
      <c r="X13" s="21">
        <v>12747</v>
      </c>
      <c r="Y13" s="21">
        <v>11147</v>
      </c>
      <c r="Z13" s="21">
        <v>9306</v>
      </c>
      <c r="AA13" s="21">
        <v>9444</v>
      </c>
      <c r="AB13" s="21">
        <v>8692</v>
      </c>
      <c r="AC13" s="21">
        <v>9969</v>
      </c>
      <c r="AD13" s="21">
        <v>11673</v>
      </c>
      <c r="AE13" s="21">
        <v>9041</v>
      </c>
      <c r="AF13" s="21">
        <v>9705</v>
      </c>
      <c r="AG13" s="21">
        <v>9427</v>
      </c>
      <c r="AH13" s="21">
        <v>8910</v>
      </c>
      <c r="AI13" s="21">
        <v>8265</v>
      </c>
      <c r="AJ13" s="21">
        <v>8133</v>
      </c>
      <c r="AK13" s="21">
        <v>7606</v>
      </c>
      <c r="AL13" s="21">
        <v>7555</v>
      </c>
      <c r="AM13" s="21">
        <v>7841</v>
      </c>
      <c r="AN13" s="21">
        <v>7400</v>
      </c>
      <c r="AO13" s="21">
        <v>7864</v>
      </c>
      <c r="AP13" s="21">
        <v>7032</v>
      </c>
      <c r="AQ13" s="21">
        <v>7760</v>
      </c>
      <c r="AR13" s="21">
        <v>7188</v>
      </c>
      <c r="AS13" s="21">
        <v>6921</v>
      </c>
      <c r="AT13" s="21">
        <v>6682</v>
      </c>
      <c r="AU13" s="21">
        <v>5987</v>
      </c>
      <c r="AV13" s="21">
        <v>6189</v>
      </c>
      <c r="AW13" s="21">
        <v>7006</v>
      </c>
      <c r="AX13" s="21">
        <v>6626</v>
      </c>
      <c r="AY13" s="21">
        <v>6258</v>
      </c>
      <c r="AZ13" s="21">
        <v>5603</v>
      </c>
      <c r="BA13" s="21">
        <v>5261</v>
      </c>
      <c r="BB13" s="21">
        <v>5358</v>
      </c>
      <c r="BC13" s="21">
        <v>5360</v>
      </c>
      <c r="BD13" s="21">
        <v>4975</v>
      </c>
      <c r="BE13" s="21">
        <v>4429</v>
      </c>
      <c r="BF13" s="21">
        <v>4298</v>
      </c>
      <c r="BG13" s="21">
        <v>4188</v>
      </c>
      <c r="BH13" s="21">
        <v>4054</v>
      </c>
      <c r="BI13" s="21">
        <v>4150</v>
      </c>
      <c r="BJ13" s="21">
        <v>4436</v>
      </c>
      <c r="BK13" s="21">
        <v>4633</v>
      </c>
      <c r="BL13" s="21">
        <v>4002</v>
      </c>
      <c r="BM13" s="21">
        <v>4269</v>
      </c>
    </row>
    <row r="14" spans="1:65" x14ac:dyDescent="0.2">
      <c r="A14" s="21" t="s">
        <v>1413</v>
      </c>
      <c r="B14" s="21" t="s">
        <v>1414</v>
      </c>
      <c r="C14" s="21" t="s">
        <v>51</v>
      </c>
      <c r="D14" s="21">
        <v>297903</v>
      </c>
      <c r="E14" s="21">
        <v>290396</v>
      </c>
      <c r="F14" s="21">
        <v>262915</v>
      </c>
      <c r="G14" s="21">
        <v>253193</v>
      </c>
      <c r="H14" s="21">
        <v>235025</v>
      </c>
      <c r="I14" s="21">
        <v>221592</v>
      </c>
      <c r="J14" s="21">
        <v>194091</v>
      </c>
      <c r="K14" s="21">
        <v>166099</v>
      </c>
      <c r="L14" s="21">
        <v>154590</v>
      </c>
      <c r="M14" s="21">
        <v>128981</v>
      </c>
      <c r="N14" s="21">
        <v>100470</v>
      </c>
      <c r="O14" s="21">
        <v>90319</v>
      </c>
      <c r="P14" s="21">
        <v>85437</v>
      </c>
      <c r="Q14" s="21">
        <v>83448</v>
      </c>
      <c r="R14" s="21">
        <v>81853</v>
      </c>
      <c r="S14" s="21">
        <v>71010</v>
      </c>
      <c r="T14" s="21">
        <v>67451</v>
      </c>
      <c r="U14" s="21">
        <v>70329</v>
      </c>
      <c r="V14" s="21">
        <v>71454</v>
      </c>
      <c r="W14" s="21">
        <v>70314</v>
      </c>
      <c r="X14" s="21">
        <v>64347</v>
      </c>
      <c r="Y14" s="21">
        <v>56270</v>
      </c>
      <c r="Z14" s="21">
        <v>46977</v>
      </c>
      <c r="AA14" s="21">
        <v>47673</v>
      </c>
      <c r="AB14" s="21">
        <v>43877</v>
      </c>
      <c r="AC14" s="21">
        <v>50324</v>
      </c>
      <c r="AD14" s="21">
        <v>58925</v>
      </c>
      <c r="AE14" s="21">
        <v>45639</v>
      </c>
      <c r="AF14" s="21">
        <v>48991</v>
      </c>
      <c r="AG14" s="21">
        <v>47587</v>
      </c>
      <c r="AH14" s="21">
        <v>44978</v>
      </c>
      <c r="AI14" s="21">
        <v>41722</v>
      </c>
      <c r="AJ14" s="21">
        <v>41055</v>
      </c>
      <c r="AK14" s="21">
        <v>38395</v>
      </c>
      <c r="AL14" s="21">
        <v>38138</v>
      </c>
      <c r="AM14" s="21">
        <v>39581</v>
      </c>
      <c r="AN14" s="21">
        <v>37355</v>
      </c>
      <c r="AO14" s="21">
        <v>39697</v>
      </c>
      <c r="AP14" s="21">
        <v>35498</v>
      </c>
      <c r="AQ14" s="21">
        <v>39172</v>
      </c>
      <c r="AR14" s="21">
        <v>36285</v>
      </c>
      <c r="AS14" s="21">
        <v>34937</v>
      </c>
      <c r="AT14" s="21">
        <v>33731</v>
      </c>
      <c r="AU14" s="21">
        <v>30222</v>
      </c>
      <c r="AV14" s="21">
        <v>31242</v>
      </c>
      <c r="AW14" s="21">
        <v>35366</v>
      </c>
      <c r="AX14" s="21">
        <v>33448</v>
      </c>
      <c r="AY14" s="21">
        <v>31590</v>
      </c>
      <c r="AZ14" s="21">
        <v>28284</v>
      </c>
      <c r="BA14" s="21">
        <v>26558</v>
      </c>
      <c r="BB14" s="21">
        <v>27047</v>
      </c>
      <c r="BC14" s="21">
        <v>27057</v>
      </c>
      <c r="BD14" s="21">
        <v>25114</v>
      </c>
      <c r="BE14" s="21">
        <v>22358</v>
      </c>
      <c r="BF14" s="21">
        <v>21696</v>
      </c>
      <c r="BG14" s="21">
        <v>21141</v>
      </c>
      <c r="BH14" s="21">
        <v>20465</v>
      </c>
      <c r="BI14" s="21">
        <v>20949</v>
      </c>
      <c r="BJ14" s="21">
        <v>22393</v>
      </c>
      <c r="BK14" s="21">
        <v>23387</v>
      </c>
      <c r="BL14" s="21">
        <v>20202</v>
      </c>
      <c r="BM14" s="21">
        <v>21550</v>
      </c>
    </row>
    <row r="15" spans="1:65" x14ac:dyDescent="0.2">
      <c r="A15" s="21" t="s">
        <v>1413</v>
      </c>
      <c r="B15" s="21" t="s">
        <v>1414</v>
      </c>
      <c r="C15" s="21" t="s">
        <v>55</v>
      </c>
      <c r="D15" s="21">
        <v>59014</v>
      </c>
      <c r="E15" s="21">
        <v>57527</v>
      </c>
      <c r="F15" s="21">
        <v>52083</v>
      </c>
      <c r="G15" s="21">
        <v>50157</v>
      </c>
      <c r="H15" s="21">
        <v>46558</v>
      </c>
      <c r="I15" s="21">
        <v>43897</v>
      </c>
      <c r="J15" s="21">
        <v>38449</v>
      </c>
      <c r="K15" s="21">
        <v>32904</v>
      </c>
      <c r="L15" s="21">
        <v>30624</v>
      </c>
      <c r="M15" s="21">
        <v>25551</v>
      </c>
      <c r="N15" s="21">
        <v>19903</v>
      </c>
      <c r="O15" s="21">
        <v>17892</v>
      </c>
      <c r="P15" s="21">
        <v>16925</v>
      </c>
      <c r="Q15" s="21">
        <v>16531</v>
      </c>
      <c r="R15" s="21">
        <v>16215</v>
      </c>
      <c r="S15" s="21">
        <v>14067</v>
      </c>
      <c r="T15" s="21">
        <v>13362</v>
      </c>
      <c r="U15" s="21">
        <v>13932</v>
      </c>
      <c r="V15" s="21">
        <v>14155</v>
      </c>
      <c r="W15" s="21">
        <v>13929</v>
      </c>
      <c r="X15" s="21">
        <v>12747</v>
      </c>
      <c r="Y15" s="21">
        <v>11147</v>
      </c>
      <c r="Z15" s="21">
        <v>9306</v>
      </c>
      <c r="AA15" s="21">
        <v>9444</v>
      </c>
      <c r="AB15" s="21">
        <v>8692</v>
      </c>
      <c r="AC15" s="21">
        <v>9969</v>
      </c>
      <c r="AD15" s="21">
        <v>11673</v>
      </c>
      <c r="AE15" s="21">
        <v>9041</v>
      </c>
      <c r="AF15" s="21">
        <v>9705</v>
      </c>
      <c r="AG15" s="21">
        <v>9427</v>
      </c>
      <c r="AH15" s="21">
        <v>8910</v>
      </c>
      <c r="AI15" s="21">
        <v>8265</v>
      </c>
      <c r="AJ15" s="21">
        <v>8133</v>
      </c>
      <c r="AK15" s="21">
        <v>7606</v>
      </c>
      <c r="AL15" s="21">
        <v>7555</v>
      </c>
      <c r="AM15" s="21">
        <v>7841</v>
      </c>
      <c r="AN15" s="21">
        <v>7400</v>
      </c>
      <c r="AO15" s="21">
        <v>7864</v>
      </c>
      <c r="AP15" s="21">
        <v>7032</v>
      </c>
      <c r="AQ15" s="21">
        <v>7760</v>
      </c>
      <c r="AR15" s="21">
        <v>7188</v>
      </c>
      <c r="AS15" s="21">
        <v>6921</v>
      </c>
      <c r="AT15" s="21">
        <v>6682</v>
      </c>
      <c r="AU15" s="21">
        <v>5987</v>
      </c>
      <c r="AV15" s="21">
        <v>6189</v>
      </c>
      <c r="AW15" s="21">
        <v>7006</v>
      </c>
      <c r="AX15" s="21">
        <v>6626</v>
      </c>
      <c r="AY15" s="21">
        <v>6258</v>
      </c>
      <c r="AZ15" s="21">
        <v>5603</v>
      </c>
      <c r="BA15" s="21">
        <v>5261</v>
      </c>
      <c r="BB15" s="21">
        <v>5358</v>
      </c>
      <c r="BC15" s="21">
        <v>5360</v>
      </c>
      <c r="BD15" s="21">
        <v>4975</v>
      </c>
      <c r="BE15" s="21">
        <v>4429</v>
      </c>
      <c r="BF15" s="21">
        <v>4298</v>
      </c>
      <c r="BG15" s="21">
        <v>4188</v>
      </c>
      <c r="BH15" s="21">
        <v>4054</v>
      </c>
      <c r="BI15" s="21">
        <v>4150</v>
      </c>
      <c r="BJ15" s="21">
        <v>4436</v>
      </c>
      <c r="BK15" s="21">
        <v>4633</v>
      </c>
      <c r="BL15" s="21">
        <v>4002</v>
      </c>
      <c r="BM15" s="21">
        <v>4269</v>
      </c>
    </row>
    <row r="16" spans="1:65" x14ac:dyDescent="0.2">
      <c r="A16" s="21" t="s">
        <v>1413</v>
      </c>
      <c r="B16" s="21" t="s">
        <v>1414</v>
      </c>
      <c r="C16" s="21" t="s">
        <v>58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8077</v>
      </c>
      <c r="BD16" s="21">
        <v>9700</v>
      </c>
      <c r="BE16" s="21">
        <v>38575</v>
      </c>
      <c r="BF16" s="21">
        <v>38475</v>
      </c>
      <c r="BG16" s="21">
        <v>48351</v>
      </c>
      <c r="BH16" s="21">
        <v>56988</v>
      </c>
      <c r="BI16" s="21">
        <v>61654</v>
      </c>
      <c r="BJ16" s="21">
        <v>57266</v>
      </c>
      <c r="BK16" s="21">
        <v>99406</v>
      </c>
      <c r="BL16" s="21">
        <v>107486</v>
      </c>
      <c r="BM16" s="21">
        <v>158102</v>
      </c>
    </row>
    <row r="17" spans="1:65" x14ac:dyDescent="0.2">
      <c r="A17" s="21" t="s">
        <v>1413</v>
      </c>
      <c r="B17" s="21" t="s">
        <v>1414</v>
      </c>
      <c r="C17" s="21" t="s">
        <v>60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1470</v>
      </c>
      <c r="BD17" s="21">
        <v>1766</v>
      </c>
      <c r="BE17" s="21">
        <v>7021</v>
      </c>
      <c r="BF17" s="21">
        <v>7003</v>
      </c>
      <c r="BG17" s="21">
        <v>8801</v>
      </c>
      <c r="BH17" s="21">
        <v>10373</v>
      </c>
      <c r="BI17" s="21">
        <v>11222</v>
      </c>
      <c r="BJ17" s="21">
        <v>10423</v>
      </c>
      <c r="BK17" s="21">
        <v>18094</v>
      </c>
      <c r="BL17" s="21">
        <v>19564</v>
      </c>
      <c r="BM17" s="21">
        <v>28777</v>
      </c>
    </row>
    <row r="18" spans="1:65" x14ac:dyDescent="0.2">
      <c r="A18" s="21" t="s">
        <v>1413</v>
      </c>
      <c r="B18" s="21" t="s">
        <v>1414</v>
      </c>
      <c r="C18" s="21" t="s">
        <v>64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8077</v>
      </c>
      <c r="BD18" s="21">
        <v>9700</v>
      </c>
      <c r="BE18" s="21">
        <v>38575</v>
      </c>
      <c r="BF18" s="21">
        <v>38475</v>
      </c>
      <c r="BG18" s="21">
        <v>48351</v>
      </c>
      <c r="BH18" s="21">
        <v>56988</v>
      </c>
      <c r="BI18" s="21">
        <v>61654</v>
      </c>
      <c r="BJ18" s="21">
        <v>57266</v>
      </c>
      <c r="BK18" s="21">
        <v>99406</v>
      </c>
      <c r="BL18" s="21">
        <v>107486</v>
      </c>
      <c r="BM18" s="21">
        <v>158102</v>
      </c>
    </row>
    <row r="19" spans="1:65" x14ac:dyDescent="0.2">
      <c r="A19" s="21" t="s">
        <v>1413</v>
      </c>
      <c r="B19" s="21" t="s">
        <v>1414</v>
      </c>
      <c r="C19" s="21" t="s">
        <v>66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1470</v>
      </c>
      <c r="BD19" s="21">
        <v>1766</v>
      </c>
      <c r="BE19" s="21">
        <v>7021</v>
      </c>
      <c r="BF19" s="21">
        <v>7003</v>
      </c>
      <c r="BG19" s="21">
        <v>8801</v>
      </c>
      <c r="BH19" s="21">
        <v>10373</v>
      </c>
      <c r="BI19" s="21">
        <v>11222</v>
      </c>
      <c r="BJ19" s="21">
        <v>10423</v>
      </c>
      <c r="BK19" s="21">
        <v>18094</v>
      </c>
      <c r="BL19" s="21">
        <v>19564</v>
      </c>
      <c r="BM19" s="21">
        <v>28777</v>
      </c>
    </row>
    <row r="20" spans="1:65" x14ac:dyDescent="0.2">
      <c r="A20" s="21" t="s">
        <v>1413</v>
      </c>
      <c r="B20" s="21" t="s">
        <v>1414</v>
      </c>
      <c r="C20" s="21" t="s">
        <v>67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1310</v>
      </c>
      <c r="AT20" s="21">
        <v>2088</v>
      </c>
      <c r="AU20" s="21">
        <v>1724</v>
      </c>
      <c r="AV20" s="21">
        <v>3425</v>
      </c>
      <c r="AW20" s="21">
        <v>11589</v>
      </c>
      <c r="AX20" s="21">
        <v>33293</v>
      </c>
      <c r="AY20" s="21">
        <v>45131</v>
      </c>
      <c r="AZ20" s="21">
        <v>38732</v>
      </c>
      <c r="BA20" s="21">
        <v>41064</v>
      </c>
      <c r="BB20" s="21">
        <v>33184</v>
      </c>
      <c r="BC20" s="21">
        <v>113071</v>
      </c>
      <c r="BD20" s="21">
        <v>114714</v>
      </c>
      <c r="BE20" s="21">
        <v>182313</v>
      </c>
      <c r="BF20" s="21">
        <v>180784</v>
      </c>
      <c r="BG20" s="21">
        <v>190648</v>
      </c>
      <c r="BH20" s="21">
        <v>266092</v>
      </c>
      <c r="BI20" s="21">
        <v>253312</v>
      </c>
      <c r="BJ20" s="21">
        <v>242904</v>
      </c>
      <c r="BK20" s="21">
        <v>231310</v>
      </c>
      <c r="BL20" s="21">
        <v>239412</v>
      </c>
      <c r="BM20" s="21">
        <v>218201</v>
      </c>
    </row>
    <row r="21" spans="1:65" x14ac:dyDescent="0.2">
      <c r="A21" s="21" t="s">
        <v>1413</v>
      </c>
      <c r="B21" s="21" t="s">
        <v>1414</v>
      </c>
      <c r="C21" s="21" t="s">
        <v>69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244</v>
      </c>
      <c r="AT21" s="21">
        <v>390</v>
      </c>
      <c r="AU21" s="21">
        <v>322</v>
      </c>
      <c r="AV21" s="21">
        <v>639</v>
      </c>
      <c r="AW21" s="21">
        <v>2163</v>
      </c>
      <c r="AX21" s="21">
        <v>6213</v>
      </c>
      <c r="AY21" s="21">
        <v>8422</v>
      </c>
      <c r="AZ21" s="21">
        <v>7228</v>
      </c>
      <c r="BA21" s="21">
        <v>7663</v>
      </c>
      <c r="BB21" s="21">
        <v>6192</v>
      </c>
      <c r="BC21" s="21">
        <v>21099</v>
      </c>
      <c r="BD21" s="21">
        <v>21406</v>
      </c>
      <c r="BE21" s="21">
        <v>34020</v>
      </c>
      <c r="BF21" s="21">
        <v>33735</v>
      </c>
      <c r="BG21" s="21">
        <v>35575</v>
      </c>
      <c r="BH21" s="21">
        <v>49653</v>
      </c>
      <c r="BI21" s="21">
        <v>47269</v>
      </c>
      <c r="BJ21" s="21">
        <v>45326</v>
      </c>
      <c r="BK21" s="21">
        <v>43163</v>
      </c>
      <c r="BL21" s="21">
        <v>44675</v>
      </c>
      <c r="BM21" s="21">
        <v>40717</v>
      </c>
    </row>
    <row r="22" spans="1:65" x14ac:dyDescent="0.2">
      <c r="A22" s="21" t="s">
        <v>1413</v>
      </c>
      <c r="B22" s="21" t="s">
        <v>1414</v>
      </c>
      <c r="C22" s="21" t="s">
        <v>72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15</v>
      </c>
      <c r="AT22" s="21">
        <v>18</v>
      </c>
      <c r="AU22" s="21">
        <v>25</v>
      </c>
      <c r="AV22" s="21">
        <v>49</v>
      </c>
      <c r="AW22" s="21">
        <v>160</v>
      </c>
      <c r="AX22" s="21">
        <v>441</v>
      </c>
      <c r="AY22" s="21">
        <v>863</v>
      </c>
      <c r="AZ22" s="21">
        <v>1195</v>
      </c>
      <c r="BA22" s="21">
        <v>909</v>
      </c>
      <c r="BB22" s="21">
        <v>605</v>
      </c>
      <c r="BC22" s="21">
        <v>1705</v>
      </c>
      <c r="BD22" s="21">
        <v>1746</v>
      </c>
      <c r="BE22" s="21">
        <v>2395</v>
      </c>
      <c r="BF22" s="21">
        <v>2253</v>
      </c>
      <c r="BG22" s="21">
        <v>2226</v>
      </c>
      <c r="BH22" s="21">
        <v>2762</v>
      </c>
      <c r="BI22" s="21">
        <v>2811</v>
      </c>
      <c r="BJ22" s="21">
        <v>3272</v>
      </c>
      <c r="BK22" s="21">
        <v>3038</v>
      </c>
      <c r="BL22" s="21">
        <v>3197</v>
      </c>
      <c r="BM22" s="21">
        <v>3011</v>
      </c>
    </row>
    <row r="23" spans="1:65" x14ac:dyDescent="0.2">
      <c r="A23" s="21" t="s">
        <v>1413</v>
      </c>
      <c r="B23" s="21" t="s">
        <v>1414</v>
      </c>
      <c r="C23" s="21" t="s">
        <v>76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1310</v>
      </c>
      <c r="AT23" s="21">
        <v>2088</v>
      </c>
      <c r="AU23" s="21">
        <v>1724</v>
      </c>
      <c r="AV23" s="21">
        <v>3425</v>
      </c>
      <c r="AW23" s="21">
        <v>11589</v>
      </c>
      <c r="AX23" s="21">
        <v>33293</v>
      </c>
      <c r="AY23" s="21">
        <v>45131</v>
      </c>
      <c r="AZ23" s="21">
        <v>38732</v>
      </c>
      <c r="BA23" s="21">
        <v>41064</v>
      </c>
      <c r="BB23" s="21">
        <v>33184</v>
      </c>
      <c r="BC23" s="21">
        <v>113071</v>
      </c>
      <c r="BD23" s="21">
        <v>114714</v>
      </c>
      <c r="BE23" s="21">
        <v>182313</v>
      </c>
      <c r="BF23" s="21">
        <v>180784</v>
      </c>
      <c r="BG23" s="21">
        <v>190648</v>
      </c>
      <c r="BH23" s="21">
        <v>266092</v>
      </c>
      <c r="BI23" s="21">
        <v>253312</v>
      </c>
      <c r="BJ23" s="21">
        <v>242904</v>
      </c>
      <c r="BK23" s="21">
        <v>231310</v>
      </c>
      <c r="BL23" s="21">
        <v>239412</v>
      </c>
      <c r="BM23" s="21">
        <v>218201</v>
      </c>
    </row>
    <row r="24" spans="1:65" x14ac:dyDescent="0.2">
      <c r="A24" s="21" t="s">
        <v>1413</v>
      </c>
      <c r="B24" s="21" t="s">
        <v>1414</v>
      </c>
      <c r="C24" s="21" t="s">
        <v>78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244</v>
      </c>
      <c r="AT24" s="21">
        <v>390</v>
      </c>
      <c r="AU24" s="21">
        <v>322</v>
      </c>
      <c r="AV24" s="21">
        <v>639</v>
      </c>
      <c r="AW24" s="21">
        <v>2163</v>
      </c>
      <c r="AX24" s="21">
        <v>6213</v>
      </c>
      <c r="AY24" s="21">
        <v>8422</v>
      </c>
      <c r="AZ24" s="21">
        <v>7228</v>
      </c>
      <c r="BA24" s="21">
        <v>7663</v>
      </c>
      <c r="BB24" s="21">
        <v>6192</v>
      </c>
      <c r="BC24" s="21">
        <v>21099</v>
      </c>
      <c r="BD24" s="21">
        <v>21406</v>
      </c>
      <c r="BE24" s="21">
        <v>34020</v>
      </c>
      <c r="BF24" s="21">
        <v>33735</v>
      </c>
      <c r="BG24" s="21">
        <v>35575</v>
      </c>
      <c r="BH24" s="21">
        <v>49653</v>
      </c>
      <c r="BI24" s="21">
        <v>47269</v>
      </c>
      <c r="BJ24" s="21">
        <v>45326</v>
      </c>
      <c r="BK24" s="21">
        <v>43163</v>
      </c>
      <c r="BL24" s="21">
        <v>44675</v>
      </c>
      <c r="BM24" s="21">
        <v>40717</v>
      </c>
    </row>
    <row r="25" spans="1:65" x14ac:dyDescent="0.2">
      <c r="A25" s="21" t="s">
        <v>1413</v>
      </c>
      <c r="B25" s="21" t="s">
        <v>1414</v>
      </c>
      <c r="C25" s="21" t="s">
        <v>79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5860</v>
      </c>
      <c r="Z25" s="21">
        <v>15784</v>
      </c>
      <c r="AA25" s="21">
        <v>28843</v>
      </c>
      <c r="AB25" s="21">
        <v>35162</v>
      </c>
      <c r="AC25" s="21">
        <v>42191</v>
      </c>
      <c r="AD25" s="21">
        <v>48299</v>
      </c>
      <c r="AE25" s="21">
        <v>55105</v>
      </c>
      <c r="AF25" s="21">
        <v>55458</v>
      </c>
      <c r="AG25" s="21">
        <v>55798</v>
      </c>
      <c r="AH25" s="21">
        <v>49127</v>
      </c>
      <c r="AI25" s="21">
        <v>56460</v>
      </c>
      <c r="AJ25" s="21">
        <v>63665</v>
      </c>
      <c r="AK25" s="21">
        <v>74016</v>
      </c>
      <c r="AL25" s="21">
        <v>81955</v>
      </c>
      <c r="AM25" s="21">
        <v>85627</v>
      </c>
      <c r="AN25" s="21">
        <v>60897</v>
      </c>
      <c r="AO25" s="21">
        <v>79931</v>
      </c>
      <c r="AP25" s="21">
        <v>86451</v>
      </c>
      <c r="AQ25" s="21">
        <v>89834</v>
      </c>
      <c r="AR25" s="21">
        <v>99179</v>
      </c>
      <c r="AS25" s="21">
        <v>107597</v>
      </c>
      <c r="AT25" s="21">
        <v>130054</v>
      </c>
      <c r="AU25" s="21">
        <v>168001</v>
      </c>
      <c r="AV25" s="21">
        <v>201025</v>
      </c>
      <c r="AW25" s="21">
        <v>227277</v>
      </c>
      <c r="AX25" s="21">
        <v>280347</v>
      </c>
      <c r="AY25" s="21">
        <v>369085</v>
      </c>
      <c r="AZ25" s="21">
        <v>518793</v>
      </c>
      <c r="BA25" s="21">
        <v>602595</v>
      </c>
      <c r="BB25" s="21">
        <v>726575</v>
      </c>
      <c r="BC25" s="21">
        <v>755698</v>
      </c>
      <c r="BD25" s="21">
        <v>710872</v>
      </c>
      <c r="BE25" s="21">
        <v>713630</v>
      </c>
      <c r="BF25" s="21">
        <v>766475</v>
      </c>
      <c r="BG25" s="21">
        <v>790571</v>
      </c>
      <c r="BH25" s="21">
        <v>820821</v>
      </c>
      <c r="BI25" s="21">
        <v>847154</v>
      </c>
      <c r="BJ25" s="21">
        <v>855234</v>
      </c>
      <c r="BK25" s="21">
        <v>834983</v>
      </c>
      <c r="BL25" s="21">
        <v>735148</v>
      </c>
      <c r="BM25" s="21">
        <v>789495</v>
      </c>
    </row>
    <row r="26" spans="1:65" x14ac:dyDescent="0.2">
      <c r="A26" s="21" t="s">
        <v>1413</v>
      </c>
      <c r="B26" s="21" t="s">
        <v>1414</v>
      </c>
      <c r="C26" s="21" t="s">
        <v>86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12720</v>
      </c>
      <c r="Z26" s="21">
        <v>34404</v>
      </c>
      <c r="AA26" s="21">
        <v>63143</v>
      </c>
      <c r="AB26" s="21">
        <v>77302</v>
      </c>
      <c r="AC26" s="21">
        <v>93151</v>
      </c>
      <c r="AD26" s="21">
        <v>107099</v>
      </c>
      <c r="AE26" s="21">
        <v>122725</v>
      </c>
      <c r="AF26" s="21">
        <v>124058</v>
      </c>
      <c r="AG26" s="21">
        <v>125378</v>
      </c>
      <c r="AH26" s="21">
        <v>110867</v>
      </c>
      <c r="AI26" s="21">
        <v>128000</v>
      </c>
      <c r="AJ26" s="21">
        <v>145005</v>
      </c>
      <c r="AK26" s="21">
        <v>169062</v>
      </c>
      <c r="AL26" s="21">
        <v>188391</v>
      </c>
      <c r="AM26" s="21">
        <v>199797</v>
      </c>
      <c r="AN26" s="21">
        <v>142789</v>
      </c>
      <c r="AO26" s="21">
        <v>183627</v>
      </c>
      <c r="AP26" s="21">
        <v>201034</v>
      </c>
      <c r="AQ26" s="21">
        <v>208967</v>
      </c>
      <c r="AR26" s="21">
        <v>235712</v>
      </c>
      <c r="AS26" s="21">
        <v>252647</v>
      </c>
      <c r="AT26" s="21">
        <v>303333</v>
      </c>
      <c r="AU26" s="21">
        <v>403087</v>
      </c>
      <c r="AV26" s="21">
        <v>497777</v>
      </c>
      <c r="AW26" s="21">
        <v>574014</v>
      </c>
      <c r="AX26" s="21">
        <v>766260</v>
      </c>
      <c r="AY26" s="21">
        <v>982814</v>
      </c>
      <c r="AZ26" s="21">
        <v>1357144</v>
      </c>
      <c r="BA26" s="21">
        <v>1553312</v>
      </c>
      <c r="BB26" s="21">
        <v>1820977</v>
      </c>
      <c r="BC26" s="21">
        <v>1941480</v>
      </c>
      <c r="BD26" s="21">
        <v>1899134</v>
      </c>
      <c r="BE26" s="21">
        <v>2026344</v>
      </c>
      <c r="BF26" s="21">
        <v>2098567</v>
      </c>
      <c r="BG26" s="21">
        <v>2184748</v>
      </c>
      <c r="BH26" s="21">
        <v>2333270</v>
      </c>
      <c r="BI26" s="21">
        <v>2364382</v>
      </c>
      <c r="BJ26" s="21">
        <v>2355170</v>
      </c>
      <c r="BK26" s="21">
        <v>2376238</v>
      </c>
      <c r="BL26" s="21">
        <v>2135793</v>
      </c>
      <c r="BM26" s="21">
        <v>2330855</v>
      </c>
    </row>
    <row r="27" spans="1:65" x14ac:dyDescent="0.2">
      <c r="A27" s="21" t="s">
        <v>1413</v>
      </c>
      <c r="B27" s="21" t="s">
        <v>1414</v>
      </c>
      <c r="C27" s="21" t="s">
        <v>88</v>
      </c>
      <c r="D27" s="21">
        <v>1319871</v>
      </c>
      <c r="E27" s="21">
        <v>1294762</v>
      </c>
      <c r="F27" s="21">
        <v>1300242</v>
      </c>
      <c r="G27" s="21">
        <v>1323316</v>
      </c>
      <c r="H27" s="21">
        <v>1336802</v>
      </c>
      <c r="I27" s="21">
        <v>1334761</v>
      </c>
      <c r="J27" s="21">
        <v>1368986</v>
      </c>
      <c r="K27" s="21">
        <v>1340249</v>
      </c>
      <c r="L27" s="21">
        <v>1419494</v>
      </c>
      <c r="M27" s="21">
        <v>1440488</v>
      </c>
      <c r="N27" s="21">
        <v>1430962</v>
      </c>
      <c r="O27" s="21">
        <v>1432323</v>
      </c>
      <c r="P27" s="21">
        <v>1503065</v>
      </c>
      <c r="Q27" s="21">
        <v>1529068</v>
      </c>
      <c r="R27" s="21">
        <v>1539661</v>
      </c>
      <c r="S27" s="21">
        <v>1498733</v>
      </c>
      <c r="T27" s="21">
        <v>1713373</v>
      </c>
      <c r="U27" s="21">
        <v>1838332</v>
      </c>
      <c r="V27" s="21">
        <v>2037605</v>
      </c>
      <c r="W27" s="21">
        <v>2151906</v>
      </c>
      <c r="X27" s="21">
        <v>2471691</v>
      </c>
      <c r="Y27" s="21">
        <v>2599746</v>
      </c>
      <c r="Z27" s="21">
        <v>2664743</v>
      </c>
      <c r="AA27" s="21">
        <v>2904414</v>
      </c>
      <c r="AB27" s="21">
        <v>2971603</v>
      </c>
      <c r="AC27" s="21">
        <v>3016233</v>
      </c>
      <c r="AD27" s="21">
        <v>2932095</v>
      </c>
      <c r="AE27" s="21">
        <v>2877576</v>
      </c>
      <c r="AF27" s="21">
        <v>3016049</v>
      </c>
      <c r="AG27" s="21">
        <v>3159354</v>
      </c>
      <c r="AH27" s="21">
        <v>2736982</v>
      </c>
      <c r="AI27" s="21">
        <v>2781799</v>
      </c>
      <c r="AJ27" s="21">
        <v>2931673</v>
      </c>
      <c r="AK27" s="21">
        <v>2906004</v>
      </c>
      <c r="AL27" s="21">
        <v>3027532</v>
      </c>
      <c r="AM27" s="21">
        <v>3101141</v>
      </c>
      <c r="AN27" s="21">
        <v>3156805</v>
      </c>
      <c r="AO27" s="21">
        <v>3102838</v>
      </c>
      <c r="AP27" s="21">
        <v>2927489</v>
      </c>
      <c r="AQ27" s="21">
        <v>2963292</v>
      </c>
      <c r="AR27" s="21">
        <v>3008229</v>
      </c>
      <c r="AS27" s="21">
        <v>2626720</v>
      </c>
      <c r="AT27" s="21">
        <v>2700621</v>
      </c>
      <c r="AU27" s="21">
        <v>2806475</v>
      </c>
      <c r="AV27" s="21">
        <v>3008074</v>
      </c>
      <c r="AW27" s="21">
        <v>3112387</v>
      </c>
      <c r="AX27" s="21">
        <v>3262140</v>
      </c>
      <c r="AY27" s="21">
        <v>3484824</v>
      </c>
      <c r="AZ27" s="21">
        <v>3851392</v>
      </c>
      <c r="BA27" s="21">
        <v>3939989</v>
      </c>
      <c r="BB27" s="21">
        <v>4505629</v>
      </c>
      <c r="BC27" s="21">
        <v>4616493</v>
      </c>
      <c r="BD27" s="21">
        <v>4516952</v>
      </c>
      <c r="BE27" s="21">
        <v>4861035</v>
      </c>
      <c r="BF27" s="21">
        <v>5015522</v>
      </c>
      <c r="BG27" s="21">
        <v>5014887</v>
      </c>
      <c r="BH27" s="21">
        <v>5063053</v>
      </c>
      <c r="BI27" s="21">
        <v>5044599</v>
      </c>
      <c r="BJ27" s="21">
        <v>5104513</v>
      </c>
      <c r="BK27" s="21">
        <v>5056000</v>
      </c>
      <c r="BL27" s="21">
        <v>4640247</v>
      </c>
      <c r="BM27" s="21">
        <v>4845399</v>
      </c>
    </row>
    <row r="28" spans="1:65" x14ac:dyDescent="0.2">
      <c r="A28" s="21" t="s">
        <v>1413</v>
      </c>
      <c r="B28" s="21" t="s">
        <v>1414</v>
      </c>
      <c r="C28" s="21" t="s">
        <v>90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1546</v>
      </c>
      <c r="BG28" s="21">
        <v>2124</v>
      </c>
      <c r="BH28" s="21">
        <v>2489</v>
      </c>
      <c r="BI28" s="21">
        <v>3137</v>
      </c>
      <c r="BJ28" s="21">
        <v>3135</v>
      </c>
      <c r="BK28" s="21">
        <v>4261</v>
      </c>
      <c r="BL28" s="21">
        <v>4202</v>
      </c>
      <c r="BM28" s="21">
        <v>10104</v>
      </c>
    </row>
    <row r="29" spans="1:65" x14ac:dyDescent="0.2">
      <c r="A29" s="21" t="s">
        <v>1413</v>
      </c>
      <c r="B29" s="21" t="s">
        <v>1414</v>
      </c>
      <c r="C29" s="21" t="s">
        <v>92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288</v>
      </c>
      <c r="BG29" s="21">
        <v>396</v>
      </c>
      <c r="BH29" s="21">
        <v>464</v>
      </c>
      <c r="BI29" s="21">
        <v>585</v>
      </c>
      <c r="BJ29" s="21">
        <v>585</v>
      </c>
      <c r="BK29" s="21">
        <v>795</v>
      </c>
      <c r="BL29" s="21">
        <v>784</v>
      </c>
      <c r="BM29" s="21">
        <v>1885</v>
      </c>
    </row>
    <row r="30" spans="1:65" x14ac:dyDescent="0.2">
      <c r="A30" s="21" t="s">
        <v>1413</v>
      </c>
      <c r="B30" s="21" t="s">
        <v>1414</v>
      </c>
      <c r="C30" s="21" t="s">
        <v>96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1546</v>
      </c>
      <c r="BG30" s="21">
        <v>2124</v>
      </c>
      <c r="BH30" s="21">
        <v>2489</v>
      </c>
      <c r="BI30" s="21">
        <v>3137</v>
      </c>
      <c r="BJ30" s="21">
        <v>3135</v>
      </c>
      <c r="BK30" s="21">
        <v>4261</v>
      </c>
      <c r="BL30" s="21">
        <v>4202</v>
      </c>
      <c r="BM30" s="21">
        <v>10104</v>
      </c>
    </row>
    <row r="31" spans="1:65" x14ac:dyDescent="0.2">
      <c r="A31" s="21" t="s">
        <v>1413</v>
      </c>
      <c r="B31" s="21" t="s">
        <v>1414</v>
      </c>
      <c r="C31" s="21" t="s">
        <v>98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288</v>
      </c>
      <c r="BG31" s="21">
        <v>396</v>
      </c>
      <c r="BH31" s="21">
        <v>464</v>
      </c>
      <c r="BI31" s="21">
        <v>585</v>
      </c>
      <c r="BJ31" s="21">
        <v>585</v>
      </c>
      <c r="BK31" s="21">
        <v>795</v>
      </c>
      <c r="BL31" s="21">
        <v>784</v>
      </c>
      <c r="BM31" s="21">
        <v>1885</v>
      </c>
    </row>
    <row r="32" spans="1:65" x14ac:dyDescent="0.2">
      <c r="A32" s="21" t="s">
        <v>1413</v>
      </c>
      <c r="B32" s="21" t="s">
        <v>1414</v>
      </c>
      <c r="C32" s="21" t="s">
        <v>99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>
        <v>164731</v>
      </c>
      <c r="BC32" s="21">
        <v>107136</v>
      </c>
      <c r="BD32" s="21">
        <v>122276</v>
      </c>
      <c r="BE32" s="21">
        <v>187558</v>
      </c>
      <c r="BF32" s="21">
        <v>186108</v>
      </c>
      <c r="BG32" s="21">
        <v>203877</v>
      </c>
      <c r="BH32" s="21">
        <v>133089</v>
      </c>
      <c r="BI32" s="21">
        <v>61003</v>
      </c>
      <c r="BJ32" s="21">
        <v>55331</v>
      </c>
      <c r="BK32" s="21">
        <v>80243</v>
      </c>
      <c r="BL32" s="21">
        <v>-17072</v>
      </c>
      <c r="BM32" s="21">
        <v>36160</v>
      </c>
    </row>
    <row r="33" spans="1:65" x14ac:dyDescent="0.2">
      <c r="A33" s="21" t="s">
        <v>1413</v>
      </c>
      <c r="B33" s="21" t="s">
        <v>1414</v>
      </c>
      <c r="C33" s="21" t="s">
        <v>101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>
        <v>37843</v>
      </c>
      <c r="BC33" s="21">
        <v>24612</v>
      </c>
      <c r="BD33" s="21">
        <v>28090</v>
      </c>
      <c r="BE33" s="21">
        <v>43087</v>
      </c>
      <c r="BF33" s="21">
        <v>42754</v>
      </c>
      <c r="BG33" s="21">
        <v>46836</v>
      </c>
      <c r="BH33" s="21">
        <v>30574</v>
      </c>
      <c r="BI33" s="21">
        <v>14014</v>
      </c>
      <c r="BJ33" s="21">
        <v>12711</v>
      </c>
      <c r="BK33" s="21">
        <v>18434</v>
      </c>
      <c r="BL33" s="21">
        <v>-3922</v>
      </c>
      <c r="BM33" s="21">
        <v>8307</v>
      </c>
    </row>
    <row r="34" spans="1:65" x14ac:dyDescent="0.2">
      <c r="A34" s="21" t="s">
        <v>1413</v>
      </c>
      <c r="B34" s="21" t="s">
        <v>1414</v>
      </c>
      <c r="C34" s="21" t="s">
        <v>102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>
        <v>164731</v>
      </c>
      <c r="BC34" s="21">
        <v>107136</v>
      </c>
      <c r="BD34" s="21">
        <v>122276</v>
      </c>
      <c r="BE34" s="21">
        <v>187558</v>
      </c>
      <c r="BF34" s="21">
        <v>186108</v>
      </c>
      <c r="BG34" s="21">
        <v>203877</v>
      </c>
      <c r="BH34" s="21">
        <v>133089</v>
      </c>
      <c r="BI34" s="21">
        <v>61003</v>
      </c>
      <c r="BJ34" s="21">
        <v>55331</v>
      </c>
      <c r="BK34" s="21">
        <v>80243</v>
      </c>
      <c r="BL34" s="21">
        <v>-17072</v>
      </c>
      <c r="BM34" s="21">
        <v>36160</v>
      </c>
    </row>
    <row r="35" spans="1:65" x14ac:dyDescent="0.2">
      <c r="A35" s="21" t="s">
        <v>1413</v>
      </c>
      <c r="B35" s="21" t="s">
        <v>1414</v>
      </c>
      <c r="C35" s="21" t="s">
        <v>104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>
        <v>37843</v>
      </c>
      <c r="BC35" s="21">
        <v>24612</v>
      </c>
      <c r="BD35" s="21">
        <v>28090</v>
      </c>
      <c r="BE35" s="21">
        <v>43087</v>
      </c>
      <c r="BF35" s="21">
        <v>42754</v>
      </c>
      <c r="BG35" s="21">
        <v>46836</v>
      </c>
      <c r="BH35" s="21">
        <v>30574</v>
      </c>
      <c r="BI35" s="21">
        <v>14014</v>
      </c>
      <c r="BJ35" s="21">
        <v>12711</v>
      </c>
      <c r="BK35" s="21">
        <v>18434</v>
      </c>
      <c r="BL35" s="21">
        <v>-3922</v>
      </c>
      <c r="BM35" s="21">
        <v>8307</v>
      </c>
    </row>
    <row r="36" spans="1:65" x14ac:dyDescent="0.2">
      <c r="A36" s="21" t="s">
        <v>1413</v>
      </c>
      <c r="B36" s="21" t="s">
        <v>1414</v>
      </c>
      <c r="C36" s="21" t="s">
        <v>105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>
        <v>0</v>
      </c>
      <c r="BA36" s="21">
        <v>0</v>
      </c>
      <c r="BB36" s="21">
        <v>28</v>
      </c>
      <c r="BC36" s="21">
        <v>68</v>
      </c>
      <c r="BD36" s="21">
        <v>142</v>
      </c>
      <c r="BE36" s="21">
        <v>146</v>
      </c>
      <c r="BF36" s="21">
        <v>156</v>
      </c>
      <c r="BG36" s="21">
        <v>292</v>
      </c>
      <c r="BH36" s="21">
        <v>559</v>
      </c>
      <c r="BI36" s="21">
        <v>665</v>
      </c>
      <c r="BJ36" s="21">
        <v>852</v>
      </c>
      <c r="BK36" s="21">
        <v>1015</v>
      </c>
      <c r="BL36" s="21">
        <v>1508</v>
      </c>
      <c r="BM36" s="21">
        <v>4747</v>
      </c>
    </row>
    <row r="37" spans="1:65" x14ac:dyDescent="0.2">
      <c r="A37" s="21" t="s">
        <v>1413</v>
      </c>
      <c r="B37" s="21" t="s">
        <v>1414</v>
      </c>
      <c r="C37" s="21" t="s">
        <v>108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>
        <v>6636</v>
      </c>
      <c r="BC37" s="21">
        <v>889</v>
      </c>
      <c r="BD37" s="21">
        <v>626</v>
      </c>
      <c r="BE37" s="21">
        <v>-5563</v>
      </c>
      <c r="BF37" s="21">
        <v>2486</v>
      </c>
      <c r="BG37" s="21">
        <v>-8610</v>
      </c>
      <c r="BH37" s="21">
        <v>-3847</v>
      </c>
      <c r="BI37" s="21">
        <v>5257</v>
      </c>
      <c r="BJ37" s="21">
        <v>13547</v>
      </c>
      <c r="BK37" s="21">
        <v>26</v>
      </c>
      <c r="BL37" s="21">
        <v>-5694</v>
      </c>
      <c r="BM37" s="21">
        <v>-4460</v>
      </c>
    </row>
    <row r="38" spans="1:65" x14ac:dyDescent="0.2">
      <c r="A38" s="21" t="s">
        <v>1413</v>
      </c>
      <c r="B38" s="21" t="s">
        <v>1414</v>
      </c>
      <c r="C38" s="21" t="s">
        <v>110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>
        <v>1516</v>
      </c>
      <c r="BC38" s="21">
        <v>203</v>
      </c>
      <c r="BD38" s="21">
        <v>143</v>
      </c>
      <c r="BE38" s="21">
        <v>-1271</v>
      </c>
      <c r="BF38" s="21">
        <v>568</v>
      </c>
      <c r="BG38" s="21">
        <v>-1967</v>
      </c>
      <c r="BH38" s="21">
        <v>-879</v>
      </c>
      <c r="BI38" s="21">
        <v>1201</v>
      </c>
      <c r="BJ38" s="21">
        <v>3095</v>
      </c>
      <c r="BK38" s="21">
        <v>6</v>
      </c>
      <c r="BL38" s="21">
        <v>-1301</v>
      </c>
      <c r="BM38" s="21">
        <v>-1019</v>
      </c>
    </row>
    <row r="39" spans="1:65" x14ac:dyDescent="0.2">
      <c r="A39" s="21" t="s">
        <v>1413</v>
      </c>
      <c r="B39" s="21" t="s">
        <v>1414</v>
      </c>
      <c r="C39" s="21" t="s">
        <v>111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>
        <v>6636</v>
      </c>
      <c r="BC39" s="21">
        <v>889</v>
      </c>
      <c r="BD39" s="21">
        <v>626</v>
      </c>
      <c r="BE39" s="21">
        <v>-5563</v>
      </c>
      <c r="BF39" s="21">
        <v>2486</v>
      </c>
      <c r="BG39" s="21">
        <v>-8610</v>
      </c>
      <c r="BH39" s="21">
        <v>-3847</v>
      </c>
      <c r="BI39" s="21">
        <v>5257</v>
      </c>
      <c r="BJ39" s="21">
        <v>13547</v>
      </c>
      <c r="BK39" s="21">
        <v>26</v>
      </c>
      <c r="BL39" s="21">
        <v>-5694</v>
      </c>
      <c r="BM39" s="21">
        <v>-4460</v>
      </c>
    </row>
    <row r="40" spans="1:65" x14ac:dyDescent="0.2">
      <c r="A40" s="21" t="s">
        <v>1413</v>
      </c>
      <c r="B40" s="21" t="s">
        <v>1414</v>
      </c>
      <c r="C40" s="21" t="s">
        <v>113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>
        <v>1516</v>
      </c>
      <c r="BC40" s="21">
        <v>203</v>
      </c>
      <c r="BD40" s="21">
        <v>143</v>
      </c>
      <c r="BE40" s="21">
        <v>-1271</v>
      </c>
      <c r="BF40" s="21">
        <v>568</v>
      </c>
      <c r="BG40" s="21">
        <v>-1967</v>
      </c>
      <c r="BH40" s="21">
        <v>-879</v>
      </c>
      <c r="BI40" s="21">
        <v>1201</v>
      </c>
      <c r="BJ40" s="21">
        <v>3095</v>
      </c>
      <c r="BK40" s="21">
        <v>6</v>
      </c>
      <c r="BL40" s="21">
        <v>-1301</v>
      </c>
      <c r="BM40" s="21">
        <v>-1019</v>
      </c>
    </row>
    <row r="41" spans="1:65" x14ac:dyDescent="0.2">
      <c r="A41" s="21" t="s">
        <v>1413</v>
      </c>
      <c r="B41" s="21" t="s">
        <v>1414</v>
      </c>
      <c r="C41" s="21" t="s">
        <v>114</v>
      </c>
      <c r="D41" s="21">
        <v>8754</v>
      </c>
      <c r="E41" s="21">
        <v>11036</v>
      </c>
      <c r="F41" s="21">
        <v>9027</v>
      </c>
      <c r="G41" s="21">
        <v>11185</v>
      </c>
      <c r="H41" s="21">
        <v>12995</v>
      </c>
      <c r="I41" s="21">
        <v>20683</v>
      </c>
      <c r="J41" s="21">
        <v>27330</v>
      </c>
      <c r="K41" s="21">
        <v>17608</v>
      </c>
      <c r="L41" s="21">
        <v>19642</v>
      </c>
      <c r="M41" s="21">
        <v>40399</v>
      </c>
      <c r="N41" s="21">
        <v>61454</v>
      </c>
      <c r="O41" s="21">
        <v>37423</v>
      </c>
      <c r="P41" s="21">
        <v>30554</v>
      </c>
      <c r="Q41" s="21">
        <v>34596</v>
      </c>
      <c r="R41" s="21">
        <v>31694</v>
      </c>
      <c r="S41" s="21">
        <v>31570</v>
      </c>
      <c r="T41" s="21">
        <v>32612</v>
      </c>
      <c r="U41" s="21">
        <v>30777</v>
      </c>
      <c r="V41" s="21">
        <v>17186</v>
      </c>
      <c r="W41" s="21">
        <v>35712</v>
      </c>
      <c r="X41" s="21">
        <v>51362</v>
      </c>
      <c r="Y41" s="21">
        <v>29020</v>
      </c>
      <c r="Z41" s="21">
        <v>24632</v>
      </c>
      <c r="AA41" s="21">
        <v>16504</v>
      </c>
      <c r="AB41" s="21">
        <v>25911</v>
      </c>
      <c r="AC41" s="21">
        <v>27833</v>
      </c>
      <c r="AD41" s="21">
        <v>24909</v>
      </c>
      <c r="AE41" s="21">
        <v>14243</v>
      </c>
      <c r="AF41" s="21">
        <v>27112</v>
      </c>
      <c r="AG41" s="21">
        <v>26918</v>
      </c>
      <c r="AH41" s="21">
        <v>14189</v>
      </c>
      <c r="AI41" s="21">
        <v>19645</v>
      </c>
      <c r="AJ41" s="21">
        <v>17402</v>
      </c>
      <c r="AK41" s="21">
        <v>26333</v>
      </c>
      <c r="AL41" s="21">
        <v>24456</v>
      </c>
      <c r="AM41" s="21">
        <v>33678</v>
      </c>
      <c r="AN41" s="21">
        <v>40233</v>
      </c>
      <c r="AO41" s="21">
        <v>31405</v>
      </c>
      <c r="AP41" s="21">
        <v>27999</v>
      </c>
      <c r="AQ41" s="21">
        <v>22261</v>
      </c>
      <c r="AR41" s="21">
        <v>28414</v>
      </c>
      <c r="AS41" s="21">
        <v>33373</v>
      </c>
      <c r="AT41" s="21">
        <v>19637</v>
      </c>
      <c r="AU41" s="21">
        <v>17900</v>
      </c>
      <c r="AV41" s="21">
        <v>32701</v>
      </c>
      <c r="AW41" s="21">
        <v>43335</v>
      </c>
      <c r="AX41" s="21">
        <v>40089</v>
      </c>
      <c r="AY41" s="21">
        <v>35807</v>
      </c>
      <c r="AZ41" s="21">
        <v>48582</v>
      </c>
      <c r="BA41" s="21">
        <v>32409</v>
      </c>
      <c r="BB41" s="21">
        <v>36278</v>
      </c>
      <c r="BC41" s="21">
        <v>24058</v>
      </c>
      <c r="BD41" s="21">
        <v>24162</v>
      </c>
      <c r="BE41" s="21">
        <v>20833</v>
      </c>
      <c r="BF41" s="21">
        <v>23461</v>
      </c>
      <c r="BG41" s="21">
        <v>21251</v>
      </c>
      <c r="BH41" s="21">
        <v>24808</v>
      </c>
      <c r="BI41" s="21">
        <v>30048</v>
      </c>
      <c r="BJ41" s="21">
        <v>28549</v>
      </c>
      <c r="BK41" s="21">
        <v>23990</v>
      </c>
      <c r="BL41" s="21">
        <v>16949</v>
      </c>
      <c r="BM41" s="21">
        <v>51618</v>
      </c>
    </row>
    <row r="42" spans="1:65" x14ac:dyDescent="0.2">
      <c r="A42" s="21" t="s">
        <v>1413</v>
      </c>
      <c r="B42" s="21" t="s">
        <v>1414</v>
      </c>
      <c r="C42" s="21" t="s">
        <v>118</v>
      </c>
      <c r="D42" s="21">
        <v>353</v>
      </c>
      <c r="E42" s="21">
        <v>445</v>
      </c>
      <c r="F42" s="21">
        <v>364</v>
      </c>
      <c r="G42" s="21">
        <v>451</v>
      </c>
      <c r="H42" s="21">
        <v>524</v>
      </c>
      <c r="I42" s="21">
        <v>834</v>
      </c>
      <c r="J42" s="21">
        <v>1102</v>
      </c>
      <c r="K42" s="21">
        <v>710</v>
      </c>
      <c r="L42" s="21">
        <v>792</v>
      </c>
      <c r="M42" s="21">
        <v>1629</v>
      </c>
      <c r="N42" s="21">
        <v>2478</v>
      </c>
      <c r="O42" s="21">
        <v>1509</v>
      </c>
      <c r="P42" s="21">
        <v>1232</v>
      </c>
      <c r="Q42" s="21">
        <v>1395</v>
      </c>
      <c r="R42" s="21">
        <v>1278</v>
      </c>
      <c r="S42" s="21">
        <v>1273</v>
      </c>
      <c r="T42" s="21">
        <v>1315</v>
      </c>
      <c r="U42" s="21">
        <v>1241</v>
      </c>
      <c r="V42" s="21">
        <v>693</v>
      </c>
      <c r="W42" s="21">
        <v>1440</v>
      </c>
      <c r="X42" s="21">
        <v>2071</v>
      </c>
      <c r="Y42" s="21">
        <v>1170</v>
      </c>
      <c r="Z42" s="21">
        <v>993</v>
      </c>
      <c r="AA42" s="21">
        <v>665</v>
      </c>
      <c r="AB42" s="21">
        <v>1045</v>
      </c>
      <c r="AC42" s="21">
        <v>1122</v>
      </c>
      <c r="AD42" s="21">
        <v>1004</v>
      </c>
      <c r="AE42" s="21">
        <v>574</v>
      </c>
      <c r="AF42" s="21">
        <v>1093</v>
      </c>
      <c r="AG42" s="21">
        <v>1085</v>
      </c>
      <c r="AH42" s="21">
        <v>572</v>
      </c>
      <c r="AI42" s="21">
        <v>792</v>
      </c>
      <c r="AJ42" s="21">
        <v>702</v>
      </c>
      <c r="AK42" s="21">
        <v>1062</v>
      </c>
      <c r="AL42" s="21">
        <v>986</v>
      </c>
      <c r="AM42" s="21">
        <v>1358</v>
      </c>
      <c r="AN42" s="21">
        <v>1622</v>
      </c>
      <c r="AO42" s="21">
        <v>1266</v>
      </c>
      <c r="AP42" s="21">
        <v>1129</v>
      </c>
      <c r="AQ42" s="21">
        <v>898</v>
      </c>
      <c r="AR42" s="21">
        <v>1146</v>
      </c>
      <c r="AS42" s="21">
        <v>1346</v>
      </c>
      <c r="AT42" s="21">
        <v>792</v>
      </c>
      <c r="AU42" s="21">
        <v>722</v>
      </c>
      <c r="AV42" s="21">
        <v>1319</v>
      </c>
      <c r="AW42" s="21">
        <v>1747</v>
      </c>
      <c r="AX42" s="21">
        <v>1616</v>
      </c>
      <c r="AY42" s="21">
        <v>1444</v>
      </c>
      <c r="AZ42" s="21">
        <v>1959</v>
      </c>
      <c r="BA42" s="21">
        <v>1307</v>
      </c>
      <c r="BB42" s="21">
        <v>1463</v>
      </c>
      <c r="BC42" s="21">
        <v>970</v>
      </c>
      <c r="BD42" s="21">
        <v>974</v>
      </c>
      <c r="BE42" s="21">
        <v>840</v>
      </c>
      <c r="BF42" s="21">
        <v>946</v>
      </c>
      <c r="BG42" s="21">
        <v>857</v>
      </c>
      <c r="BH42" s="21">
        <v>1000</v>
      </c>
      <c r="BI42" s="21">
        <v>1212</v>
      </c>
      <c r="BJ42" s="21">
        <v>1151</v>
      </c>
      <c r="BK42" s="21">
        <v>967</v>
      </c>
      <c r="BL42" s="21">
        <v>683</v>
      </c>
      <c r="BM42" s="21">
        <v>2081</v>
      </c>
    </row>
    <row r="43" spans="1:65" x14ac:dyDescent="0.2">
      <c r="A43" s="21" t="s">
        <v>1413</v>
      </c>
      <c r="B43" s="21" t="s">
        <v>1414</v>
      </c>
      <c r="C43" s="21" t="s">
        <v>122</v>
      </c>
      <c r="D43" s="21">
        <v>3125</v>
      </c>
      <c r="E43" s="21">
        <v>3150</v>
      </c>
      <c r="F43" s="21">
        <v>3522</v>
      </c>
      <c r="G43" s="21">
        <v>3794</v>
      </c>
      <c r="H43" s="21">
        <v>2554</v>
      </c>
      <c r="I43" s="21">
        <v>2232</v>
      </c>
      <c r="J43" s="21">
        <v>2381</v>
      </c>
      <c r="K43" s="21">
        <v>2282</v>
      </c>
      <c r="L43" s="21">
        <v>2331</v>
      </c>
      <c r="M43" s="21">
        <v>4290</v>
      </c>
      <c r="N43" s="21">
        <v>3794</v>
      </c>
      <c r="O43" s="21">
        <v>4315</v>
      </c>
      <c r="P43" s="21">
        <v>4588</v>
      </c>
      <c r="Q43" s="21">
        <v>27131</v>
      </c>
      <c r="R43" s="21">
        <v>87792</v>
      </c>
      <c r="S43" s="21">
        <v>45111</v>
      </c>
      <c r="T43" s="21">
        <v>32513</v>
      </c>
      <c r="U43" s="21">
        <v>45359</v>
      </c>
      <c r="V43" s="21">
        <v>141906</v>
      </c>
      <c r="W43" s="21">
        <v>98555</v>
      </c>
      <c r="X43" s="21">
        <v>16332</v>
      </c>
      <c r="Y43" s="21">
        <v>13071</v>
      </c>
      <c r="Z43" s="21">
        <v>2976</v>
      </c>
      <c r="AA43" s="21">
        <v>868</v>
      </c>
      <c r="AB43" s="21">
        <v>14423</v>
      </c>
      <c r="AC43" s="21">
        <v>14341</v>
      </c>
      <c r="AD43" s="21">
        <v>8155</v>
      </c>
      <c r="AE43" s="21">
        <v>22873</v>
      </c>
      <c r="AF43" s="21">
        <v>66663</v>
      </c>
      <c r="AG43" s="21">
        <v>57322</v>
      </c>
      <c r="AH43" s="21">
        <v>18966</v>
      </c>
      <c r="AI43" s="21">
        <v>29334</v>
      </c>
      <c r="AJ43" s="21">
        <v>52027</v>
      </c>
      <c r="AK43" s="21">
        <v>53442</v>
      </c>
      <c r="AL43" s="21">
        <v>82785</v>
      </c>
      <c r="AM43" s="21">
        <v>94739</v>
      </c>
      <c r="AN43" s="21">
        <v>63044</v>
      </c>
      <c r="AO43" s="21">
        <v>77844</v>
      </c>
      <c r="AP43" s="21">
        <v>95094</v>
      </c>
      <c r="AQ43" s="21">
        <v>79953</v>
      </c>
      <c r="AR43" s="21">
        <v>93777</v>
      </c>
      <c r="AS43" s="21">
        <v>62633</v>
      </c>
      <c r="AT43" s="21">
        <v>80395</v>
      </c>
      <c r="AU43" s="21">
        <v>68415</v>
      </c>
      <c r="AV43" s="21">
        <v>170463</v>
      </c>
      <c r="AW43" s="21">
        <v>87526</v>
      </c>
      <c r="AX43" s="21">
        <v>100876</v>
      </c>
      <c r="AY43" s="21">
        <v>60998</v>
      </c>
      <c r="AZ43" s="21">
        <v>89354</v>
      </c>
      <c r="BA43" s="21">
        <v>8598</v>
      </c>
      <c r="BB43" s="21">
        <v>30107</v>
      </c>
      <c r="BC43" s="21">
        <v>35162</v>
      </c>
      <c r="BD43" s="21">
        <v>28146</v>
      </c>
      <c r="BE43" s="21">
        <v>3411</v>
      </c>
      <c r="BF43" s="21">
        <v>1901</v>
      </c>
      <c r="BG43" s="21">
        <v>3470</v>
      </c>
      <c r="BH43" s="21">
        <v>5669</v>
      </c>
      <c r="BI43" s="21">
        <v>1450</v>
      </c>
      <c r="BJ43" s="21">
        <v>2895</v>
      </c>
      <c r="BK43" s="21">
        <v>2868</v>
      </c>
      <c r="BL43" s="21">
        <v>4010</v>
      </c>
      <c r="BM43" s="21">
        <v>2904</v>
      </c>
    </row>
    <row r="44" spans="1:65" x14ac:dyDescent="0.2">
      <c r="A44" s="21" t="s">
        <v>1413</v>
      </c>
      <c r="B44" s="21" t="s">
        <v>1414</v>
      </c>
      <c r="C44" s="21" t="s">
        <v>126</v>
      </c>
      <c r="D44" s="21">
        <v>126</v>
      </c>
      <c r="E44" s="21">
        <v>127</v>
      </c>
      <c r="F44" s="21">
        <v>142</v>
      </c>
      <c r="G44" s="21">
        <v>153</v>
      </c>
      <c r="H44" s="21">
        <v>103</v>
      </c>
      <c r="I44" s="21">
        <v>90</v>
      </c>
      <c r="J44" s="21">
        <v>96</v>
      </c>
      <c r="K44" s="21">
        <v>92</v>
      </c>
      <c r="L44" s="21">
        <v>94</v>
      </c>
      <c r="M44" s="21">
        <v>173</v>
      </c>
      <c r="N44" s="21">
        <v>153</v>
      </c>
      <c r="O44" s="21">
        <v>174</v>
      </c>
      <c r="P44" s="21">
        <v>185</v>
      </c>
      <c r="Q44" s="21">
        <v>1094</v>
      </c>
      <c r="R44" s="21">
        <v>3540</v>
      </c>
      <c r="S44" s="21">
        <v>1819</v>
      </c>
      <c r="T44" s="21">
        <v>1311</v>
      </c>
      <c r="U44" s="21">
        <v>1829</v>
      </c>
      <c r="V44" s="21">
        <v>5722</v>
      </c>
      <c r="W44" s="21">
        <v>3974</v>
      </c>
      <c r="X44" s="21">
        <v>659</v>
      </c>
      <c r="Y44" s="21">
        <v>527</v>
      </c>
      <c r="Z44" s="21">
        <v>120</v>
      </c>
      <c r="AA44" s="21">
        <v>35</v>
      </c>
      <c r="AB44" s="21">
        <v>582</v>
      </c>
      <c r="AC44" s="21">
        <v>578</v>
      </c>
      <c r="AD44" s="21">
        <v>329</v>
      </c>
      <c r="AE44" s="21">
        <v>922</v>
      </c>
      <c r="AF44" s="21">
        <v>2688</v>
      </c>
      <c r="AG44" s="21">
        <v>2311</v>
      </c>
      <c r="AH44" s="21">
        <v>765</v>
      </c>
      <c r="AI44" s="21">
        <v>1183</v>
      </c>
      <c r="AJ44" s="21">
        <v>2098</v>
      </c>
      <c r="AK44" s="21">
        <v>2155</v>
      </c>
      <c r="AL44" s="21">
        <v>3338</v>
      </c>
      <c r="AM44" s="21">
        <v>3820</v>
      </c>
      <c r="AN44" s="21">
        <v>2542</v>
      </c>
      <c r="AO44" s="21">
        <v>3139</v>
      </c>
      <c r="AP44" s="21">
        <v>3834</v>
      </c>
      <c r="AQ44" s="21">
        <v>3224</v>
      </c>
      <c r="AR44" s="21">
        <v>3781</v>
      </c>
      <c r="AS44" s="21">
        <v>2526</v>
      </c>
      <c r="AT44" s="21">
        <v>3242</v>
      </c>
      <c r="AU44" s="21">
        <v>2759</v>
      </c>
      <c r="AV44" s="21">
        <v>6873</v>
      </c>
      <c r="AW44" s="21">
        <v>3529</v>
      </c>
      <c r="AX44" s="21">
        <v>4068</v>
      </c>
      <c r="AY44" s="21">
        <v>2460</v>
      </c>
      <c r="AZ44" s="21">
        <v>3603</v>
      </c>
      <c r="BA44" s="21">
        <v>347</v>
      </c>
      <c r="BB44" s="21">
        <v>1214</v>
      </c>
      <c r="BC44" s="21">
        <v>1418</v>
      </c>
      <c r="BD44" s="21">
        <v>1135</v>
      </c>
      <c r="BE44" s="21">
        <v>138</v>
      </c>
      <c r="BF44" s="21">
        <v>77</v>
      </c>
      <c r="BG44" s="21">
        <v>140</v>
      </c>
      <c r="BH44" s="21">
        <v>229</v>
      </c>
      <c r="BI44" s="21">
        <v>58</v>
      </c>
      <c r="BJ44" s="21">
        <v>117</v>
      </c>
      <c r="BK44" s="21">
        <v>116</v>
      </c>
      <c r="BL44" s="21">
        <v>162</v>
      </c>
      <c r="BM44" s="21">
        <v>117</v>
      </c>
    </row>
    <row r="45" spans="1:65" x14ac:dyDescent="0.2">
      <c r="A45" s="21" t="s">
        <v>1413</v>
      </c>
      <c r="B45" s="21" t="s">
        <v>1414</v>
      </c>
      <c r="C45" s="21" t="s">
        <v>129</v>
      </c>
      <c r="D45" s="21">
        <v>-5630</v>
      </c>
      <c r="E45" s="21">
        <v>-7886</v>
      </c>
      <c r="F45" s="21">
        <v>-5506</v>
      </c>
      <c r="G45" s="21">
        <v>-7390</v>
      </c>
      <c r="H45" s="21">
        <v>-10441</v>
      </c>
      <c r="I45" s="21">
        <v>-18451</v>
      </c>
      <c r="J45" s="21">
        <v>-24949</v>
      </c>
      <c r="K45" s="21">
        <v>-15326</v>
      </c>
      <c r="L45" s="21">
        <v>-17310</v>
      </c>
      <c r="M45" s="21">
        <v>-36109</v>
      </c>
      <c r="N45" s="21">
        <v>-57660</v>
      </c>
      <c r="O45" s="21">
        <v>-33108</v>
      </c>
      <c r="P45" s="21">
        <v>-25966</v>
      </c>
      <c r="Q45" s="21">
        <v>-7465</v>
      </c>
      <c r="R45" s="21">
        <v>56098</v>
      </c>
      <c r="S45" s="21">
        <v>13541</v>
      </c>
      <c r="T45" s="21">
        <v>-99</v>
      </c>
      <c r="U45" s="21">
        <v>14582</v>
      </c>
      <c r="V45" s="21">
        <v>124719</v>
      </c>
      <c r="W45" s="21">
        <v>62843</v>
      </c>
      <c r="X45" s="21">
        <v>-35030</v>
      </c>
      <c r="Y45" s="21">
        <v>-15949</v>
      </c>
      <c r="Z45" s="21">
        <v>-21656</v>
      </c>
      <c r="AA45" s="21">
        <v>-15636</v>
      </c>
      <c r="AB45" s="21">
        <v>-11488</v>
      </c>
      <c r="AC45" s="21">
        <v>-13492</v>
      </c>
      <c r="AD45" s="21">
        <v>-16754</v>
      </c>
      <c r="AE45" s="21">
        <v>8630</v>
      </c>
      <c r="AF45" s="21">
        <v>39551</v>
      </c>
      <c r="AG45" s="21">
        <v>30404</v>
      </c>
      <c r="AH45" s="21">
        <v>4778</v>
      </c>
      <c r="AI45" s="21">
        <v>9688</v>
      </c>
      <c r="AJ45" s="21">
        <v>34625</v>
      </c>
      <c r="AK45" s="21">
        <v>27110</v>
      </c>
      <c r="AL45" s="21">
        <v>58329</v>
      </c>
      <c r="AM45" s="21">
        <v>61061</v>
      </c>
      <c r="AN45" s="21">
        <v>22811</v>
      </c>
      <c r="AO45" s="21">
        <v>46440</v>
      </c>
      <c r="AP45" s="21">
        <v>67095</v>
      </c>
      <c r="AQ45" s="21">
        <v>57692</v>
      </c>
      <c r="AR45" s="21">
        <v>65363</v>
      </c>
      <c r="AS45" s="21">
        <v>29260</v>
      </c>
      <c r="AT45" s="21">
        <v>60758</v>
      </c>
      <c r="AU45" s="21">
        <v>50515</v>
      </c>
      <c r="AV45" s="21">
        <v>137762</v>
      </c>
      <c r="AW45" s="21">
        <v>44191</v>
      </c>
      <c r="AX45" s="21">
        <v>60787</v>
      </c>
      <c r="AY45" s="21">
        <v>25191</v>
      </c>
      <c r="AZ45" s="21">
        <v>40772</v>
      </c>
      <c r="BA45" s="21">
        <v>-23811</v>
      </c>
      <c r="BB45" s="21">
        <v>-6171</v>
      </c>
      <c r="BC45" s="21">
        <v>11104</v>
      </c>
      <c r="BD45" s="21">
        <v>3983</v>
      </c>
      <c r="BE45" s="21">
        <v>-17422</v>
      </c>
      <c r="BF45" s="21">
        <v>-21560</v>
      </c>
      <c r="BG45" s="21">
        <v>-17781</v>
      </c>
      <c r="BH45" s="21">
        <v>-19139</v>
      </c>
      <c r="BI45" s="21">
        <v>-28598</v>
      </c>
      <c r="BJ45" s="21">
        <v>-25654</v>
      </c>
      <c r="BK45" s="21">
        <v>-21122</v>
      </c>
      <c r="BL45" s="21">
        <v>-12939</v>
      </c>
      <c r="BM45" s="21">
        <v>-48713</v>
      </c>
    </row>
    <row r="46" spans="1:65" x14ac:dyDescent="0.2">
      <c r="A46" s="21" t="s">
        <v>1413</v>
      </c>
      <c r="B46" s="21" t="s">
        <v>1414</v>
      </c>
      <c r="C46" s="21" t="s">
        <v>131</v>
      </c>
      <c r="D46" s="21">
        <v>-227</v>
      </c>
      <c r="E46" s="21">
        <v>-318</v>
      </c>
      <c r="F46" s="21">
        <v>-222</v>
      </c>
      <c r="G46" s="21">
        <v>-298</v>
      </c>
      <c r="H46" s="21">
        <v>-421</v>
      </c>
      <c r="I46" s="21">
        <v>-744</v>
      </c>
      <c r="J46" s="21">
        <v>-1006</v>
      </c>
      <c r="K46" s="21">
        <v>-618</v>
      </c>
      <c r="L46" s="21">
        <v>-698</v>
      </c>
      <c r="M46" s="21">
        <v>-1456</v>
      </c>
      <c r="N46" s="21">
        <v>-2325</v>
      </c>
      <c r="O46" s="21">
        <v>-1335</v>
      </c>
      <c r="P46" s="21">
        <v>-1047</v>
      </c>
      <c r="Q46" s="21">
        <v>-301</v>
      </c>
      <c r="R46" s="21">
        <v>2262</v>
      </c>
      <c r="S46" s="21">
        <v>546</v>
      </c>
      <c r="T46" s="21">
        <v>-4</v>
      </c>
      <c r="U46" s="21">
        <v>588</v>
      </c>
      <c r="V46" s="21">
        <v>5029</v>
      </c>
      <c r="W46" s="21">
        <v>2534</v>
      </c>
      <c r="X46" s="21">
        <v>-1413</v>
      </c>
      <c r="Y46" s="21">
        <v>-643</v>
      </c>
      <c r="Z46" s="21">
        <v>-873</v>
      </c>
      <c r="AA46" s="21">
        <v>-630</v>
      </c>
      <c r="AB46" s="21">
        <v>-463</v>
      </c>
      <c r="AC46" s="21">
        <v>-544</v>
      </c>
      <c r="AD46" s="21">
        <v>-676</v>
      </c>
      <c r="AE46" s="21">
        <v>348</v>
      </c>
      <c r="AF46" s="21">
        <v>1595</v>
      </c>
      <c r="AG46" s="21">
        <v>1226</v>
      </c>
      <c r="AH46" s="21">
        <v>193</v>
      </c>
      <c r="AI46" s="21">
        <v>391</v>
      </c>
      <c r="AJ46" s="21">
        <v>1396</v>
      </c>
      <c r="AK46" s="21">
        <v>1093</v>
      </c>
      <c r="AL46" s="21">
        <v>2352</v>
      </c>
      <c r="AM46" s="21">
        <v>2462</v>
      </c>
      <c r="AN46" s="21">
        <v>920</v>
      </c>
      <c r="AO46" s="21">
        <v>1873</v>
      </c>
      <c r="AP46" s="21">
        <v>2705</v>
      </c>
      <c r="AQ46" s="21">
        <v>2326</v>
      </c>
      <c r="AR46" s="21">
        <v>2636</v>
      </c>
      <c r="AS46" s="21">
        <v>1180</v>
      </c>
      <c r="AT46" s="21">
        <v>2450</v>
      </c>
      <c r="AU46" s="21">
        <v>2037</v>
      </c>
      <c r="AV46" s="21">
        <v>5555</v>
      </c>
      <c r="AW46" s="21">
        <v>1782</v>
      </c>
      <c r="AX46" s="21">
        <v>2451</v>
      </c>
      <c r="AY46" s="21">
        <v>1016</v>
      </c>
      <c r="AZ46" s="21">
        <v>1644</v>
      </c>
      <c r="BA46" s="21">
        <v>-960</v>
      </c>
      <c r="BB46" s="21">
        <v>-249</v>
      </c>
      <c r="BC46" s="21">
        <v>448</v>
      </c>
      <c r="BD46" s="21">
        <v>161</v>
      </c>
      <c r="BE46" s="21">
        <v>-703</v>
      </c>
      <c r="BF46" s="21">
        <v>-869</v>
      </c>
      <c r="BG46" s="21">
        <v>-717</v>
      </c>
      <c r="BH46" s="21">
        <v>-772</v>
      </c>
      <c r="BI46" s="21">
        <v>-1153</v>
      </c>
      <c r="BJ46" s="21">
        <v>-1034</v>
      </c>
      <c r="BK46" s="21">
        <v>-852</v>
      </c>
      <c r="BL46" s="21">
        <v>-522</v>
      </c>
      <c r="BM46" s="21">
        <v>-1964</v>
      </c>
    </row>
    <row r="47" spans="1:65" x14ac:dyDescent="0.2">
      <c r="A47" s="21" t="s">
        <v>1413</v>
      </c>
      <c r="B47" s="21" t="s">
        <v>1414</v>
      </c>
      <c r="C47" s="21" t="s">
        <v>134</v>
      </c>
      <c r="D47" s="21">
        <v>75624</v>
      </c>
      <c r="E47" s="21">
        <v>19096</v>
      </c>
      <c r="F47" s="21">
        <v>17032</v>
      </c>
      <c r="G47" s="21">
        <v>16593</v>
      </c>
      <c r="H47" s="21">
        <v>17586</v>
      </c>
      <c r="I47" s="21">
        <v>16135</v>
      </c>
      <c r="J47" s="21">
        <v>14898</v>
      </c>
      <c r="K47" s="21">
        <v>11351</v>
      </c>
      <c r="L47" s="21">
        <v>10139</v>
      </c>
      <c r="M47" s="21">
        <v>7502</v>
      </c>
      <c r="N47" s="21">
        <v>6917</v>
      </c>
      <c r="O47" s="21">
        <v>4738</v>
      </c>
      <c r="P47" s="21">
        <v>3705</v>
      </c>
      <c r="Q47" s="21">
        <v>2633</v>
      </c>
      <c r="R47" s="21">
        <v>1801</v>
      </c>
      <c r="S47" s="21">
        <v>542</v>
      </c>
      <c r="T47" s="21">
        <v>273</v>
      </c>
      <c r="U47" s="21">
        <v>204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</row>
    <row r="48" spans="1:65" x14ac:dyDescent="0.2">
      <c r="A48" s="21" t="s">
        <v>1413</v>
      </c>
      <c r="B48" s="21" t="s">
        <v>1414</v>
      </c>
      <c r="C48" s="21" t="s">
        <v>138</v>
      </c>
      <c r="D48" s="21">
        <v>24.603999999999999</v>
      </c>
      <c r="E48" s="21">
        <v>24.568999999999999</v>
      </c>
      <c r="F48" s="21">
        <v>24.558</v>
      </c>
      <c r="G48" s="21">
        <v>24.524000000000001</v>
      </c>
      <c r="H48" s="21">
        <v>24.49</v>
      </c>
      <c r="I48" s="21">
        <v>24.387</v>
      </c>
      <c r="J48" s="21">
        <v>24.227</v>
      </c>
      <c r="K48" s="21">
        <v>24.056000000000001</v>
      </c>
      <c r="L48" s="21">
        <v>24.033999999999999</v>
      </c>
      <c r="M48" s="21">
        <v>23.736999999999998</v>
      </c>
      <c r="N48" s="21">
        <v>22.972999999999999</v>
      </c>
      <c r="O48" s="21">
        <v>22.652999999999999</v>
      </c>
      <c r="P48" s="21">
        <v>22.539000000000001</v>
      </c>
      <c r="Q48" s="21">
        <v>22.585000000000001</v>
      </c>
      <c r="R48" s="21">
        <v>22.42</v>
      </c>
      <c r="S48" s="21">
        <v>22.439</v>
      </c>
      <c r="T48" s="21">
        <v>22.527999999999999</v>
      </c>
      <c r="U48" s="21">
        <v>22.29</v>
      </c>
      <c r="V48" s="21">
        <v>22.175000000000001</v>
      </c>
      <c r="W48" s="21">
        <v>22.436</v>
      </c>
      <c r="X48" s="21">
        <v>22.69</v>
      </c>
      <c r="Y48" s="21">
        <v>22.571999999999999</v>
      </c>
      <c r="Z48" s="21">
        <v>22.695</v>
      </c>
      <c r="AA48" s="21">
        <v>22.68</v>
      </c>
      <c r="AB48" s="21">
        <v>22.524999999999999</v>
      </c>
      <c r="AC48" s="21">
        <v>22.013000000000002</v>
      </c>
      <c r="AD48" s="21">
        <v>22.184999999999999</v>
      </c>
      <c r="AE48" s="21">
        <v>22.36</v>
      </c>
      <c r="AF48" s="21">
        <v>22.341000000000001</v>
      </c>
      <c r="AG48" s="21">
        <v>22.324000000000002</v>
      </c>
      <c r="AH48" s="21">
        <v>22.443999999999999</v>
      </c>
      <c r="AI48" s="21">
        <v>22.448</v>
      </c>
      <c r="AJ48" s="21">
        <v>22.242000000000001</v>
      </c>
      <c r="AK48" s="21">
        <v>22.111000000000001</v>
      </c>
      <c r="AL48" s="21">
        <v>22.045999999999999</v>
      </c>
      <c r="AM48" s="21">
        <v>21.931000000000001</v>
      </c>
      <c r="AN48" s="21">
        <v>22.087</v>
      </c>
      <c r="AO48" s="21">
        <v>22.157</v>
      </c>
      <c r="AP48" s="21">
        <v>22.093</v>
      </c>
      <c r="AQ48" s="21">
        <v>22.093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</row>
    <row r="49" spans="1:65" x14ac:dyDescent="0.2">
      <c r="A49" s="21" t="s">
        <v>1413</v>
      </c>
      <c r="B49" s="21" t="s">
        <v>1414</v>
      </c>
      <c r="C49" s="21" t="s">
        <v>141</v>
      </c>
      <c r="D49" s="21">
        <v>3046</v>
      </c>
      <c r="E49" s="21">
        <v>770</v>
      </c>
      <c r="F49" s="21">
        <v>687</v>
      </c>
      <c r="G49" s="21">
        <v>670</v>
      </c>
      <c r="H49" s="21">
        <v>711</v>
      </c>
      <c r="I49" s="21">
        <v>655</v>
      </c>
      <c r="J49" s="21">
        <v>609</v>
      </c>
      <c r="K49" s="21">
        <v>467</v>
      </c>
      <c r="L49" s="21">
        <v>417</v>
      </c>
      <c r="M49" s="21">
        <v>313</v>
      </c>
      <c r="N49" s="21">
        <v>298</v>
      </c>
      <c r="O49" s="21">
        <v>207</v>
      </c>
      <c r="P49" s="21">
        <v>163</v>
      </c>
      <c r="Q49" s="21">
        <v>116</v>
      </c>
      <c r="R49" s="21">
        <v>80</v>
      </c>
      <c r="S49" s="21">
        <v>24</v>
      </c>
      <c r="T49" s="21">
        <v>12</v>
      </c>
      <c r="U49" s="21">
        <v>9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</row>
    <row r="50" spans="1:65" x14ac:dyDescent="0.2">
      <c r="A50" s="21" t="s">
        <v>1413</v>
      </c>
      <c r="B50" s="21" t="s">
        <v>1414</v>
      </c>
      <c r="C50" s="21" t="s">
        <v>144</v>
      </c>
      <c r="D50" s="21">
        <v>401969</v>
      </c>
      <c r="E50" s="21">
        <v>366139</v>
      </c>
      <c r="F50" s="21">
        <v>357649</v>
      </c>
      <c r="G50" s="21">
        <v>314331</v>
      </c>
      <c r="H50" s="21">
        <v>271710</v>
      </c>
      <c r="I50" s="21">
        <v>262503</v>
      </c>
      <c r="J50" s="21">
        <v>260256</v>
      </c>
      <c r="K50" s="21">
        <v>223054</v>
      </c>
      <c r="L50" s="21">
        <v>205459</v>
      </c>
      <c r="M50" s="21">
        <v>192705</v>
      </c>
      <c r="N50" s="21">
        <v>163002</v>
      </c>
      <c r="O50" s="21">
        <v>177549</v>
      </c>
      <c r="P50" s="21">
        <v>152546</v>
      </c>
      <c r="Q50" s="21">
        <v>159585</v>
      </c>
      <c r="R50" s="21">
        <v>173737</v>
      </c>
      <c r="S50" s="21">
        <v>145705</v>
      </c>
      <c r="T50" s="21">
        <v>144001</v>
      </c>
      <c r="U50" s="21">
        <v>147778</v>
      </c>
      <c r="V50" s="21">
        <v>164620</v>
      </c>
      <c r="W50" s="21">
        <v>150807</v>
      </c>
      <c r="X50" s="21">
        <v>116684</v>
      </c>
      <c r="Y50" s="21">
        <v>137034</v>
      </c>
      <c r="Z50" s="21">
        <v>155495</v>
      </c>
      <c r="AA50" s="21">
        <v>161912</v>
      </c>
      <c r="AB50" s="21">
        <v>169172</v>
      </c>
      <c r="AC50" s="21">
        <v>137630</v>
      </c>
      <c r="AD50" s="21">
        <v>135642</v>
      </c>
      <c r="AE50" s="21">
        <v>127108</v>
      </c>
      <c r="AF50" s="21">
        <v>131184</v>
      </c>
      <c r="AG50" s="21">
        <v>115299</v>
      </c>
      <c r="AH50" s="21">
        <v>123829</v>
      </c>
      <c r="AI50" s="21">
        <v>115432</v>
      </c>
      <c r="AJ50" s="21">
        <v>116757</v>
      </c>
      <c r="AK50" s="21">
        <v>116507</v>
      </c>
      <c r="AL50" s="21">
        <v>117116</v>
      </c>
      <c r="AM50" s="21">
        <v>116329</v>
      </c>
      <c r="AN50" s="21">
        <v>120065</v>
      </c>
      <c r="AO50" s="21">
        <v>128728</v>
      </c>
      <c r="AP50" s="21">
        <v>100594</v>
      </c>
      <c r="AQ50" s="21">
        <v>101615</v>
      </c>
      <c r="AR50" s="21">
        <v>85811</v>
      </c>
      <c r="AS50" s="21">
        <v>88293</v>
      </c>
      <c r="AT50" s="21">
        <v>87814</v>
      </c>
      <c r="AU50" s="21">
        <v>82868</v>
      </c>
      <c r="AV50" s="21">
        <v>102859</v>
      </c>
      <c r="AW50" s="21">
        <v>95743</v>
      </c>
      <c r="AX50" s="21">
        <v>64346</v>
      </c>
      <c r="AY50" s="21">
        <v>70384</v>
      </c>
      <c r="AZ50" s="21">
        <v>80427</v>
      </c>
      <c r="BA50" s="21">
        <v>73249</v>
      </c>
      <c r="BB50" s="21">
        <v>69590</v>
      </c>
      <c r="BC50" s="21">
        <v>61732</v>
      </c>
      <c r="BD50" s="21">
        <v>43654</v>
      </c>
      <c r="BE50" s="21">
        <v>41479</v>
      </c>
      <c r="BF50" s="21">
        <v>40461</v>
      </c>
      <c r="BG50" s="21">
        <v>31071</v>
      </c>
      <c r="BH50" s="21">
        <v>24027</v>
      </c>
      <c r="BI50" s="21">
        <v>20807</v>
      </c>
      <c r="BJ50" s="21">
        <v>18772</v>
      </c>
      <c r="BK50" s="21">
        <v>16714</v>
      </c>
      <c r="BL50" s="21">
        <v>14481</v>
      </c>
      <c r="BM50" s="21">
        <v>14645</v>
      </c>
    </row>
    <row r="51" spans="1:65" x14ac:dyDescent="0.2">
      <c r="A51" s="21" t="s">
        <v>1413</v>
      </c>
      <c r="B51" s="21" t="s">
        <v>1414</v>
      </c>
      <c r="C51" s="21" t="s">
        <v>148</v>
      </c>
      <c r="D51" s="21">
        <v>16789</v>
      </c>
      <c r="E51" s="21">
        <v>15293</v>
      </c>
      <c r="F51" s="21">
        <v>14972</v>
      </c>
      <c r="G51" s="21">
        <v>13211</v>
      </c>
      <c r="H51" s="21">
        <v>11409</v>
      </c>
      <c r="I51" s="21">
        <v>11041</v>
      </c>
      <c r="J51" s="21">
        <v>11002</v>
      </c>
      <c r="K51" s="21">
        <v>9518</v>
      </c>
      <c r="L51" s="21">
        <v>8793</v>
      </c>
      <c r="M51" s="21">
        <v>8305</v>
      </c>
      <c r="N51" s="21">
        <v>7090</v>
      </c>
      <c r="O51" s="21">
        <v>7753</v>
      </c>
      <c r="P51" s="21">
        <v>6674</v>
      </c>
      <c r="Q51" s="21">
        <v>7004</v>
      </c>
      <c r="R51" s="21">
        <v>7764</v>
      </c>
      <c r="S51" s="21">
        <v>6587</v>
      </c>
      <c r="T51" s="21">
        <v>6330</v>
      </c>
      <c r="U51" s="21">
        <v>6447</v>
      </c>
      <c r="V51" s="21">
        <v>7323</v>
      </c>
      <c r="W51" s="21">
        <v>6710</v>
      </c>
      <c r="X51" s="21">
        <v>5097</v>
      </c>
      <c r="Y51" s="21">
        <v>6085</v>
      </c>
      <c r="Z51" s="21">
        <v>6839</v>
      </c>
      <c r="AA51" s="21">
        <v>7096</v>
      </c>
      <c r="AB51" s="21">
        <v>7395</v>
      </c>
      <c r="AC51" s="21">
        <v>6068</v>
      </c>
      <c r="AD51" s="21">
        <v>5904</v>
      </c>
      <c r="AE51" s="21">
        <v>5324</v>
      </c>
      <c r="AF51" s="21">
        <v>5561</v>
      </c>
      <c r="AG51" s="21">
        <v>4872</v>
      </c>
      <c r="AH51" s="21">
        <v>5379</v>
      </c>
      <c r="AI51" s="21">
        <v>4997</v>
      </c>
      <c r="AJ51" s="21">
        <v>5045</v>
      </c>
      <c r="AK51" s="21">
        <v>5101</v>
      </c>
      <c r="AL51" s="21">
        <v>5111</v>
      </c>
      <c r="AM51" s="21">
        <v>5052</v>
      </c>
      <c r="AN51" s="21">
        <v>5285</v>
      </c>
      <c r="AO51" s="21">
        <v>5752</v>
      </c>
      <c r="AP51" s="21">
        <v>4322</v>
      </c>
      <c r="AQ51" s="21">
        <v>4293</v>
      </c>
      <c r="AR51" s="21">
        <v>3673</v>
      </c>
      <c r="AS51" s="21">
        <v>3888</v>
      </c>
      <c r="AT51" s="21">
        <v>3912</v>
      </c>
      <c r="AU51" s="21">
        <v>3685</v>
      </c>
      <c r="AV51" s="21">
        <v>4610</v>
      </c>
      <c r="AW51" s="21">
        <v>4342</v>
      </c>
      <c r="AX51" s="21">
        <v>2936</v>
      </c>
      <c r="AY51" s="21">
        <v>3173</v>
      </c>
      <c r="AZ51" s="21">
        <v>3506</v>
      </c>
      <c r="BA51" s="21">
        <v>3210</v>
      </c>
      <c r="BB51" s="21">
        <v>3081</v>
      </c>
      <c r="BC51" s="21">
        <v>2793</v>
      </c>
      <c r="BD51" s="21">
        <v>2045</v>
      </c>
      <c r="BE51" s="21">
        <v>1951</v>
      </c>
      <c r="BF51" s="21">
        <v>1887</v>
      </c>
      <c r="BG51" s="21">
        <v>1503</v>
      </c>
      <c r="BH51" s="21">
        <v>1183</v>
      </c>
      <c r="BI51" s="21">
        <v>1061</v>
      </c>
      <c r="BJ51" s="21">
        <v>972</v>
      </c>
      <c r="BK51" s="21">
        <v>876</v>
      </c>
      <c r="BL51" s="21">
        <v>793</v>
      </c>
      <c r="BM51" s="21">
        <v>811</v>
      </c>
    </row>
    <row r="52" spans="1:65" x14ac:dyDescent="0.2">
      <c r="A52" s="21" t="s">
        <v>1413</v>
      </c>
      <c r="B52" s="21" t="s">
        <v>1414</v>
      </c>
      <c r="C52" s="21" t="s">
        <v>151</v>
      </c>
      <c r="D52" s="21">
        <v>4226595</v>
      </c>
      <c r="E52" s="21">
        <v>4355064</v>
      </c>
      <c r="F52" s="21">
        <v>4622438</v>
      </c>
      <c r="G52" s="21">
        <v>5050061</v>
      </c>
      <c r="H52" s="21">
        <v>5379761</v>
      </c>
      <c r="I52" s="21">
        <v>5821355</v>
      </c>
      <c r="J52" s="21">
        <v>6301552</v>
      </c>
      <c r="K52" s="21">
        <v>6444876</v>
      </c>
      <c r="L52" s="21">
        <v>6993577</v>
      </c>
      <c r="M52" s="21">
        <v>7219168</v>
      </c>
      <c r="N52" s="21">
        <v>7228006</v>
      </c>
      <c r="O52" s="21">
        <v>7299249</v>
      </c>
      <c r="P52" s="21">
        <v>7842523</v>
      </c>
      <c r="Q52" s="21">
        <v>8659920</v>
      </c>
      <c r="R52" s="21">
        <v>8538706</v>
      </c>
      <c r="S52" s="21">
        <v>8789280</v>
      </c>
      <c r="T52" s="21">
        <v>9730659</v>
      </c>
      <c r="U52" s="21">
        <v>10258749</v>
      </c>
      <c r="V52" s="21">
        <v>10253442</v>
      </c>
      <c r="W52" s="21">
        <v>11270255</v>
      </c>
      <c r="X52" s="21">
        <v>12157926</v>
      </c>
      <c r="Y52" s="21">
        <v>12622872</v>
      </c>
      <c r="Z52" s="21">
        <v>12537754</v>
      </c>
      <c r="AA52" s="21">
        <v>13184982</v>
      </c>
      <c r="AB52" s="21">
        <v>13961625</v>
      </c>
      <c r="AC52" s="21">
        <v>14586431</v>
      </c>
      <c r="AD52" s="21">
        <v>14418435</v>
      </c>
      <c r="AE52" s="21">
        <v>15114830</v>
      </c>
      <c r="AF52" s="21">
        <v>15886154</v>
      </c>
      <c r="AG52" s="21">
        <v>16135278</v>
      </c>
      <c r="AH52" s="21">
        <v>16258995</v>
      </c>
      <c r="AI52" s="21">
        <v>16247935</v>
      </c>
      <c r="AJ52" s="21">
        <v>16463621</v>
      </c>
      <c r="AK52" s="21">
        <v>17194422</v>
      </c>
      <c r="AL52" s="21">
        <v>17259079</v>
      </c>
      <c r="AM52" s="21">
        <v>17465065</v>
      </c>
      <c r="AN52" s="21">
        <v>18427577</v>
      </c>
      <c r="AO52" s="21">
        <v>18902863</v>
      </c>
      <c r="AP52" s="21">
        <v>19215808</v>
      </c>
      <c r="AQ52" s="21">
        <v>19279063</v>
      </c>
      <c r="AR52" s="21">
        <v>20219797</v>
      </c>
      <c r="AS52" s="21">
        <v>19613575</v>
      </c>
      <c r="AT52" s="21">
        <v>19782944</v>
      </c>
      <c r="AU52" s="21">
        <v>20183337</v>
      </c>
      <c r="AV52" s="21">
        <v>20303713</v>
      </c>
      <c r="AW52" s="21">
        <v>20735427</v>
      </c>
      <c r="AX52" s="21">
        <v>20459989</v>
      </c>
      <c r="AY52" s="21">
        <v>20805249</v>
      </c>
      <c r="AZ52" s="21">
        <v>20510599</v>
      </c>
      <c r="BA52" s="21">
        <v>18223766</v>
      </c>
      <c r="BB52" s="21">
        <v>19133366</v>
      </c>
      <c r="BC52" s="21">
        <v>18035415</v>
      </c>
      <c r="BD52" s="21">
        <v>15821257</v>
      </c>
      <c r="BE52" s="21">
        <v>16450431</v>
      </c>
      <c r="BF52" s="21">
        <v>16427232</v>
      </c>
      <c r="BG52" s="21">
        <v>14138235</v>
      </c>
      <c r="BH52" s="21">
        <v>12996648</v>
      </c>
      <c r="BI52" s="21">
        <v>12622220</v>
      </c>
      <c r="BJ52" s="21">
        <v>12053020</v>
      </c>
      <c r="BK52" s="21">
        <v>10181470</v>
      </c>
      <c r="BL52" s="21">
        <v>8229142</v>
      </c>
      <c r="BM52" s="21">
        <v>9496416</v>
      </c>
    </row>
    <row r="53" spans="1:65" x14ac:dyDescent="0.2">
      <c r="A53" s="21" t="s">
        <v>1413</v>
      </c>
      <c r="B53" s="21" t="s">
        <v>1414</v>
      </c>
      <c r="C53" s="21" t="s">
        <v>155</v>
      </c>
      <c r="D53" s="21">
        <v>23.922000000000001</v>
      </c>
      <c r="E53" s="21">
        <v>23.905000000000001</v>
      </c>
      <c r="F53" s="21">
        <v>23.911000000000001</v>
      </c>
      <c r="G53" s="21">
        <v>23.896000000000001</v>
      </c>
      <c r="H53" s="21">
        <v>23.864999999999998</v>
      </c>
      <c r="I53" s="21">
        <v>23.780999999999999</v>
      </c>
      <c r="J53" s="21">
        <v>23.648</v>
      </c>
      <c r="K53" s="21">
        <v>23.506</v>
      </c>
      <c r="L53" s="21">
        <v>23.486000000000001</v>
      </c>
      <c r="M53" s="21">
        <v>23.24</v>
      </c>
      <c r="N53" s="21">
        <v>22.574999999999999</v>
      </c>
      <c r="O53" s="21">
        <v>22.300999999999998</v>
      </c>
      <c r="P53" s="21">
        <v>22.295000000000002</v>
      </c>
      <c r="Q53" s="21">
        <v>22.25</v>
      </c>
      <c r="R53" s="21">
        <v>21.792999999999999</v>
      </c>
      <c r="S53" s="21">
        <v>21.65</v>
      </c>
      <c r="T53" s="21">
        <v>21.702000000000002</v>
      </c>
      <c r="U53" s="21">
        <v>21.501000000000001</v>
      </c>
      <c r="V53" s="21">
        <v>21.306999999999999</v>
      </c>
      <c r="W53" s="21">
        <v>21.384</v>
      </c>
      <c r="X53" s="21">
        <v>21.356999999999999</v>
      </c>
      <c r="Y53" s="21">
        <v>21.151</v>
      </c>
      <c r="Z53" s="21">
        <v>21.119</v>
      </c>
      <c r="AA53" s="21">
        <v>21.088999999999999</v>
      </c>
      <c r="AB53" s="21">
        <v>21.013999999999999</v>
      </c>
      <c r="AC53" s="21">
        <v>21.023</v>
      </c>
      <c r="AD53" s="21">
        <v>21.047000000000001</v>
      </c>
      <c r="AE53" s="21">
        <v>21.053999999999998</v>
      </c>
      <c r="AF53" s="21">
        <v>20.948</v>
      </c>
      <c r="AG53" s="21">
        <v>20.895</v>
      </c>
      <c r="AH53" s="21">
        <v>20.777000000000001</v>
      </c>
      <c r="AI53" s="21">
        <v>20.728000000000002</v>
      </c>
      <c r="AJ53" s="21">
        <v>20.707000000000001</v>
      </c>
      <c r="AK53" s="21">
        <v>20.675000000000001</v>
      </c>
      <c r="AL53" s="21">
        <v>20.587</v>
      </c>
      <c r="AM53" s="21">
        <v>20.542000000000002</v>
      </c>
      <c r="AN53" s="21">
        <v>20.545000000000002</v>
      </c>
      <c r="AO53" s="21">
        <v>20.515999999999998</v>
      </c>
      <c r="AP53" s="21">
        <v>20.515999999999998</v>
      </c>
      <c r="AQ53" s="21">
        <v>20.49</v>
      </c>
      <c r="AR53" s="21">
        <v>20.510999999999999</v>
      </c>
      <c r="AS53" s="21">
        <v>20.337</v>
      </c>
      <c r="AT53" s="21">
        <v>20.238</v>
      </c>
      <c r="AU53" s="21">
        <v>20.082000000000001</v>
      </c>
      <c r="AV53" s="21">
        <v>19.98</v>
      </c>
      <c r="AW53" s="21">
        <v>19.988</v>
      </c>
      <c r="AX53" s="21">
        <v>19.93</v>
      </c>
      <c r="AY53" s="21">
        <v>19.908000000000001</v>
      </c>
      <c r="AZ53" s="21">
        <v>19.713000000000001</v>
      </c>
      <c r="BA53" s="21">
        <v>19.521000000000001</v>
      </c>
      <c r="BB53" s="21">
        <v>19.623000000000001</v>
      </c>
      <c r="BC53" s="21">
        <v>19.341000000000001</v>
      </c>
      <c r="BD53" s="21">
        <v>19.210999999999999</v>
      </c>
      <c r="BE53" s="21">
        <v>19.173999999999999</v>
      </c>
      <c r="BF53" s="21">
        <v>19.29</v>
      </c>
      <c r="BG53" s="21">
        <v>19.146000000000001</v>
      </c>
      <c r="BH53" s="21">
        <v>19.152999999999999</v>
      </c>
      <c r="BI53" s="21">
        <v>18.981000000000002</v>
      </c>
      <c r="BJ53" s="21">
        <v>18.914999999999999</v>
      </c>
      <c r="BK53" s="21">
        <v>18.902999999999999</v>
      </c>
      <c r="BL53" s="21">
        <v>18.882000000000001</v>
      </c>
      <c r="BM53" s="21">
        <v>18.940999999999999</v>
      </c>
    </row>
    <row r="54" spans="1:65" x14ac:dyDescent="0.2">
      <c r="A54" s="21" t="s">
        <v>1413</v>
      </c>
      <c r="B54" s="21" t="s">
        <v>1414</v>
      </c>
      <c r="C54" s="21" t="s">
        <v>157</v>
      </c>
      <c r="D54" s="21">
        <v>176685</v>
      </c>
      <c r="E54" s="21">
        <v>182185</v>
      </c>
      <c r="F54" s="21">
        <v>193316</v>
      </c>
      <c r="G54" s="21">
        <v>211332</v>
      </c>
      <c r="H54" s="21">
        <v>225425</v>
      </c>
      <c r="I54" s="21">
        <v>244788</v>
      </c>
      <c r="J54" s="21">
        <v>266477</v>
      </c>
      <c r="K54" s="21">
        <v>274185</v>
      </c>
      <c r="L54" s="21">
        <v>297779</v>
      </c>
      <c r="M54" s="21">
        <v>310641</v>
      </c>
      <c r="N54" s="21">
        <v>320182</v>
      </c>
      <c r="O54" s="21">
        <v>327301</v>
      </c>
      <c r="P54" s="21">
        <v>351768</v>
      </c>
      <c r="Q54" s="21">
        <v>389212</v>
      </c>
      <c r="R54" s="21">
        <v>391811</v>
      </c>
      <c r="S54" s="21">
        <v>405962</v>
      </c>
      <c r="T54" s="21">
        <v>448371</v>
      </c>
      <c r="U54" s="21">
        <v>477126</v>
      </c>
      <c r="V54" s="21">
        <v>481235</v>
      </c>
      <c r="W54" s="21">
        <v>527051</v>
      </c>
      <c r="X54" s="21">
        <v>569274</v>
      </c>
      <c r="Y54" s="21">
        <v>596797</v>
      </c>
      <c r="Z54" s="21">
        <v>593666</v>
      </c>
      <c r="AA54" s="21">
        <v>625211</v>
      </c>
      <c r="AB54" s="21">
        <v>664399</v>
      </c>
      <c r="AC54" s="21">
        <v>693841</v>
      </c>
      <c r="AD54" s="21">
        <v>685056</v>
      </c>
      <c r="AE54" s="21">
        <v>717894</v>
      </c>
      <c r="AF54" s="21">
        <v>758372</v>
      </c>
      <c r="AG54" s="21">
        <v>772190</v>
      </c>
      <c r="AH54" s="21">
        <v>782567</v>
      </c>
      <c r="AI54" s="21">
        <v>783874</v>
      </c>
      <c r="AJ54" s="21">
        <v>795094</v>
      </c>
      <c r="AK54" s="21">
        <v>831645</v>
      </c>
      <c r="AL54" s="21">
        <v>838354</v>
      </c>
      <c r="AM54" s="21">
        <v>850230</v>
      </c>
      <c r="AN54" s="21">
        <v>896921</v>
      </c>
      <c r="AO54" s="21">
        <v>921364</v>
      </c>
      <c r="AP54" s="21">
        <v>936619</v>
      </c>
      <c r="AQ54" s="21">
        <v>940922</v>
      </c>
      <c r="AR54" s="21">
        <v>985821</v>
      </c>
      <c r="AS54" s="21">
        <v>964433</v>
      </c>
      <c r="AT54" s="21">
        <v>977507</v>
      </c>
      <c r="AU54" s="21">
        <v>1005063</v>
      </c>
      <c r="AV54" s="21">
        <v>1016208</v>
      </c>
      <c r="AW54" s="21">
        <v>1037419</v>
      </c>
      <c r="AX54" s="21">
        <v>1026571</v>
      </c>
      <c r="AY54" s="21">
        <v>1045056</v>
      </c>
      <c r="AZ54" s="21">
        <v>1040483</v>
      </c>
      <c r="BA54" s="21">
        <v>933539</v>
      </c>
      <c r="BB54" s="21">
        <v>975052</v>
      </c>
      <c r="BC54" s="21">
        <v>932484</v>
      </c>
      <c r="BD54" s="21">
        <v>823551</v>
      </c>
      <c r="BE54" s="21">
        <v>857962</v>
      </c>
      <c r="BF54" s="21">
        <v>851602</v>
      </c>
      <c r="BG54" s="21">
        <v>738444</v>
      </c>
      <c r="BH54" s="21">
        <v>678554</v>
      </c>
      <c r="BI54" s="21">
        <v>664993</v>
      </c>
      <c r="BJ54" s="21">
        <v>637217</v>
      </c>
      <c r="BK54" s="21">
        <v>538606</v>
      </c>
      <c r="BL54" s="21">
        <v>435827</v>
      </c>
      <c r="BM54" s="21">
        <v>501366</v>
      </c>
    </row>
    <row r="55" spans="1:65" x14ac:dyDescent="0.2">
      <c r="A55" s="21" t="s">
        <v>1413</v>
      </c>
      <c r="B55" s="21" t="s">
        <v>1414</v>
      </c>
      <c r="C55" s="21" t="s">
        <v>160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>
        <v>313322</v>
      </c>
      <c r="BA55" s="21">
        <v>314294</v>
      </c>
      <c r="BB55" s="21">
        <v>317339</v>
      </c>
      <c r="BC55" s="21">
        <v>317640</v>
      </c>
      <c r="BD55" s="21">
        <v>309680</v>
      </c>
      <c r="BE55" s="21">
        <v>303306</v>
      </c>
      <c r="BF55" s="21">
        <v>299094</v>
      </c>
      <c r="BG55" s="21">
        <v>279720</v>
      </c>
      <c r="BH55" s="21">
        <v>266620</v>
      </c>
      <c r="BI55" s="21">
        <v>256547</v>
      </c>
      <c r="BJ55" s="21">
        <v>242786</v>
      </c>
      <c r="BK55" s="21">
        <v>228657</v>
      </c>
      <c r="BL55" s="21">
        <v>215554</v>
      </c>
      <c r="BM55" s="21">
        <v>209826</v>
      </c>
    </row>
    <row r="56" spans="1:65" x14ac:dyDescent="0.2">
      <c r="A56" s="21" t="s">
        <v>1413</v>
      </c>
      <c r="B56" s="21" t="s">
        <v>1414</v>
      </c>
      <c r="C56" s="21" t="s">
        <v>162</v>
      </c>
      <c r="D56" s="21">
        <v>23.943000000000001</v>
      </c>
      <c r="E56" s="21">
        <v>23.942</v>
      </c>
      <c r="F56" s="21">
        <v>23.888999999999999</v>
      </c>
      <c r="G56" s="21">
        <v>23.794</v>
      </c>
      <c r="H56" s="21">
        <v>23.815000000000001</v>
      </c>
      <c r="I56" s="21">
        <v>23.776</v>
      </c>
      <c r="J56" s="21">
        <v>23.654</v>
      </c>
      <c r="K56" s="21">
        <v>23.436</v>
      </c>
      <c r="L56" s="21">
        <v>23.367999999999999</v>
      </c>
      <c r="M56" s="21">
        <v>23.204999999999998</v>
      </c>
      <c r="N56" s="21">
        <v>22.99</v>
      </c>
      <c r="O56" s="21">
        <v>22.902000000000001</v>
      </c>
      <c r="P56" s="21">
        <v>22.858000000000001</v>
      </c>
      <c r="Q56" s="21">
        <v>22.786000000000001</v>
      </c>
      <c r="R56" s="21">
        <v>22.378</v>
      </c>
      <c r="S56" s="21">
        <v>22.12</v>
      </c>
      <c r="T56" s="21">
        <v>22.748000000000001</v>
      </c>
      <c r="U56" s="21">
        <v>22.922000000000001</v>
      </c>
      <c r="V56" s="21">
        <v>22.478000000000002</v>
      </c>
      <c r="W56" s="21">
        <v>22.474</v>
      </c>
      <c r="X56" s="21">
        <v>22.891999999999999</v>
      </c>
      <c r="Y56" s="21">
        <v>22.518999999999998</v>
      </c>
      <c r="Z56" s="21">
        <v>22.736000000000001</v>
      </c>
      <c r="AA56" s="21">
        <v>22.817</v>
      </c>
      <c r="AB56" s="21">
        <v>22.876000000000001</v>
      </c>
      <c r="AC56" s="21">
        <v>22.681999999999999</v>
      </c>
      <c r="AD56" s="21">
        <v>22.975000000000001</v>
      </c>
      <c r="AE56" s="21">
        <v>23.875</v>
      </c>
      <c r="AF56" s="21">
        <v>23.588000000000001</v>
      </c>
      <c r="AG56" s="21">
        <v>23.664999999999999</v>
      </c>
      <c r="AH56" s="21">
        <v>23.021000000000001</v>
      </c>
      <c r="AI56" s="21">
        <v>23.099</v>
      </c>
      <c r="AJ56" s="21">
        <v>23.141999999999999</v>
      </c>
      <c r="AK56" s="21">
        <v>22.838000000000001</v>
      </c>
      <c r="AL56" s="21">
        <v>22.916</v>
      </c>
      <c r="AM56" s="21">
        <v>23.027000000000001</v>
      </c>
      <c r="AN56" s="21">
        <v>22.718</v>
      </c>
      <c r="AO56" s="21">
        <v>22.379000000000001</v>
      </c>
      <c r="AP56" s="21">
        <v>23.276</v>
      </c>
      <c r="AQ56" s="21">
        <v>23.667999999999999</v>
      </c>
      <c r="AR56" s="21">
        <v>23.364000000000001</v>
      </c>
      <c r="AS56" s="21">
        <v>22.706</v>
      </c>
      <c r="AT56" s="21">
        <v>22.449000000000002</v>
      </c>
      <c r="AU56" s="21">
        <v>22.488</v>
      </c>
      <c r="AV56" s="21">
        <v>22.314</v>
      </c>
      <c r="AW56" s="21">
        <v>22.053000000000001</v>
      </c>
      <c r="AX56" s="21">
        <v>21.914999999999999</v>
      </c>
      <c r="AY56" s="21">
        <v>22.178999999999998</v>
      </c>
      <c r="AZ56" s="21">
        <v>22.940999999999999</v>
      </c>
      <c r="BA56" s="21">
        <v>22.82</v>
      </c>
      <c r="BB56" s="21">
        <v>22.59</v>
      </c>
      <c r="BC56" s="21">
        <v>22.105</v>
      </c>
      <c r="BD56" s="21">
        <v>21.35</v>
      </c>
      <c r="BE56" s="21">
        <v>21.259</v>
      </c>
      <c r="BF56" s="21">
        <v>21.442</v>
      </c>
      <c r="BG56" s="21">
        <v>20.667000000000002</v>
      </c>
      <c r="BH56" s="21">
        <v>20.315999999999999</v>
      </c>
      <c r="BI56" s="21">
        <v>19.608000000000001</v>
      </c>
      <c r="BJ56" s="21">
        <v>19.321000000000002</v>
      </c>
      <c r="BK56" s="21">
        <v>19.082000000000001</v>
      </c>
      <c r="BL56" s="21">
        <v>18.257999999999999</v>
      </c>
      <c r="BM56" s="21">
        <v>18.067</v>
      </c>
    </row>
    <row r="57" spans="1:65" x14ac:dyDescent="0.2">
      <c r="A57" s="21" t="s">
        <v>1413</v>
      </c>
      <c r="B57" s="21" t="s">
        <v>1414</v>
      </c>
      <c r="C57" s="21" t="s">
        <v>164</v>
      </c>
      <c r="D57" s="21">
        <v>4547884</v>
      </c>
      <c r="E57" s="21">
        <v>4350831</v>
      </c>
      <c r="F57" s="21">
        <v>4392800</v>
      </c>
      <c r="G57" s="21">
        <v>4599452</v>
      </c>
      <c r="H57" s="21">
        <v>4923268</v>
      </c>
      <c r="I57" s="21">
        <v>5134435</v>
      </c>
      <c r="J57" s="21">
        <v>5223593</v>
      </c>
      <c r="K57" s="21">
        <v>4942087</v>
      </c>
      <c r="L57" s="21">
        <v>4866866</v>
      </c>
      <c r="M57" s="21">
        <v>4718533</v>
      </c>
      <c r="N57" s="21">
        <v>4663514</v>
      </c>
      <c r="O57" s="21">
        <v>3951081</v>
      </c>
      <c r="P57" s="21">
        <v>3995678</v>
      </c>
      <c r="Q57" s="21">
        <v>4044258</v>
      </c>
      <c r="R57" s="21">
        <v>3855006</v>
      </c>
      <c r="S57" s="21">
        <v>3657641</v>
      </c>
      <c r="T57" s="21">
        <v>3642139</v>
      </c>
      <c r="U57" s="21">
        <v>3442911</v>
      </c>
      <c r="V57" s="21">
        <v>3302449</v>
      </c>
      <c r="W57" s="21">
        <v>3582888</v>
      </c>
      <c r="X57" s="21">
        <v>3155354</v>
      </c>
      <c r="Y57" s="21">
        <v>3147737</v>
      </c>
      <c r="Z57" s="21">
        <v>2543952</v>
      </c>
      <c r="AA57" s="21">
        <v>2489325</v>
      </c>
      <c r="AB57" s="21">
        <v>2843097</v>
      </c>
      <c r="AC57" s="21">
        <v>2777190</v>
      </c>
      <c r="AD57" s="21">
        <v>2646289</v>
      </c>
      <c r="AE57" s="21">
        <v>2669971</v>
      </c>
      <c r="AF57" s="21">
        <v>2831324</v>
      </c>
      <c r="AG57" s="21">
        <v>2773940</v>
      </c>
      <c r="AH57" s="21">
        <v>2753900</v>
      </c>
      <c r="AI57" s="21">
        <v>2600434</v>
      </c>
      <c r="AJ57" s="21">
        <v>2511793</v>
      </c>
      <c r="AK57" s="21">
        <v>2499623</v>
      </c>
      <c r="AL57" s="21">
        <v>2506697</v>
      </c>
      <c r="AM57" s="21">
        <v>2500067</v>
      </c>
      <c r="AN57" s="21">
        <v>2438143</v>
      </c>
      <c r="AO57" s="21">
        <v>2396101</v>
      </c>
      <c r="AP57" s="21">
        <v>2254489</v>
      </c>
      <c r="AQ57" s="21">
        <v>2187568</v>
      </c>
      <c r="AR57" s="21">
        <v>2259324</v>
      </c>
      <c r="AS57" s="21">
        <v>2193574</v>
      </c>
      <c r="AT57" s="21">
        <v>2020119</v>
      </c>
      <c r="AU57" s="21">
        <v>2044047</v>
      </c>
      <c r="AV57" s="21">
        <v>2046302</v>
      </c>
      <c r="AW57" s="21">
        <v>1953954</v>
      </c>
      <c r="AX57" s="21">
        <v>1913516</v>
      </c>
      <c r="AY57" s="21">
        <v>1864461</v>
      </c>
      <c r="AZ57" s="21">
        <v>1791789</v>
      </c>
      <c r="BA57" s="21">
        <v>1394326</v>
      </c>
      <c r="BB57" s="21">
        <v>1625426</v>
      </c>
      <c r="BC57" s="21">
        <v>1566710</v>
      </c>
      <c r="BD57" s="21">
        <v>1516013</v>
      </c>
      <c r="BE57" s="21">
        <v>1546861</v>
      </c>
      <c r="BF57" s="21">
        <v>1528884</v>
      </c>
      <c r="BG57" s="21">
        <v>1379678</v>
      </c>
      <c r="BH57" s="21">
        <v>1206462</v>
      </c>
      <c r="BI57" s="21">
        <v>1196605</v>
      </c>
      <c r="BJ57" s="21">
        <v>1178166</v>
      </c>
      <c r="BK57" s="21">
        <v>1116741</v>
      </c>
      <c r="BL57" s="21">
        <v>939074</v>
      </c>
      <c r="BM57" s="21">
        <v>1036702</v>
      </c>
    </row>
    <row r="58" spans="1:65" x14ac:dyDescent="0.2">
      <c r="A58" s="21" t="s">
        <v>1413</v>
      </c>
      <c r="B58" s="21" t="s">
        <v>1414</v>
      </c>
      <c r="C58" s="21" t="s">
        <v>168</v>
      </c>
      <c r="D58" s="21">
        <v>177402</v>
      </c>
      <c r="E58" s="21">
        <v>170098</v>
      </c>
      <c r="F58" s="21">
        <v>171741</v>
      </c>
      <c r="G58" s="21">
        <v>180024</v>
      </c>
      <c r="H58" s="21">
        <v>192369</v>
      </c>
      <c r="I58" s="21">
        <v>200846</v>
      </c>
      <c r="J58" s="21">
        <v>205076</v>
      </c>
      <c r="K58" s="21">
        <v>194645</v>
      </c>
      <c r="L58" s="21">
        <v>191648</v>
      </c>
      <c r="M58" s="21">
        <v>186586</v>
      </c>
      <c r="N58" s="21">
        <v>186637</v>
      </c>
      <c r="O58" s="21">
        <v>158866</v>
      </c>
      <c r="P58" s="21">
        <v>160624</v>
      </c>
      <c r="Q58" s="21">
        <v>162139</v>
      </c>
      <c r="R58" s="21">
        <v>155094</v>
      </c>
      <c r="S58" s="21">
        <v>147244</v>
      </c>
      <c r="T58" s="21">
        <v>146491</v>
      </c>
      <c r="U58" s="21">
        <v>139202</v>
      </c>
      <c r="V58" s="21">
        <v>134479</v>
      </c>
      <c r="W58" s="21">
        <v>145085</v>
      </c>
      <c r="X58" s="21">
        <v>127003</v>
      </c>
      <c r="Y58" s="21">
        <v>128410</v>
      </c>
      <c r="Z58" s="21">
        <v>105004</v>
      </c>
      <c r="AA58" s="21">
        <v>103013</v>
      </c>
      <c r="AB58" s="21">
        <v>117767</v>
      </c>
      <c r="AC58" s="21">
        <v>116429</v>
      </c>
      <c r="AD58" s="21">
        <v>111446</v>
      </c>
      <c r="AE58" s="21">
        <v>112052</v>
      </c>
      <c r="AF58" s="21">
        <v>118140</v>
      </c>
      <c r="AG58" s="21">
        <v>116643</v>
      </c>
      <c r="AH58" s="21">
        <v>115207</v>
      </c>
      <c r="AI58" s="21">
        <v>109259</v>
      </c>
      <c r="AJ58" s="21">
        <v>106408</v>
      </c>
      <c r="AK58" s="21">
        <v>106215</v>
      </c>
      <c r="AL58" s="21">
        <v>106919</v>
      </c>
      <c r="AM58" s="21">
        <v>106067</v>
      </c>
      <c r="AN58" s="21">
        <v>103395</v>
      </c>
      <c r="AO58" s="21">
        <v>101718</v>
      </c>
      <c r="AP58" s="21">
        <v>95628</v>
      </c>
      <c r="AQ58" s="21">
        <v>92846</v>
      </c>
      <c r="AR58" s="21">
        <v>94147</v>
      </c>
      <c r="AS58" s="21">
        <v>91344</v>
      </c>
      <c r="AT58" s="21">
        <v>84403</v>
      </c>
      <c r="AU58" s="21">
        <v>85509</v>
      </c>
      <c r="AV58" s="21">
        <v>85865</v>
      </c>
      <c r="AW58" s="21">
        <v>83774</v>
      </c>
      <c r="AX58" s="21">
        <v>82429</v>
      </c>
      <c r="AY58" s="21">
        <v>79331</v>
      </c>
      <c r="AZ58" s="21">
        <v>76463</v>
      </c>
      <c r="BA58" s="21">
        <v>60641</v>
      </c>
      <c r="BB58" s="21">
        <v>70381</v>
      </c>
      <c r="BC58" s="21">
        <v>67671</v>
      </c>
      <c r="BD58" s="21">
        <v>63589</v>
      </c>
      <c r="BE58" s="21">
        <v>64529</v>
      </c>
      <c r="BF58" s="21">
        <v>64243</v>
      </c>
      <c r="BG58" s="21">
        <v>58167</v>
      </c>
      <c r="BH58" s="21">
        <v>51333</v>
      </c>
      <c r="BI58" s="21">
        <v>50801</v>
      </c>
      <c r="BJ58" s="21">
        <v>49917</v>
      </c>
      <c r="BK58" s="21">
        <v>47062</v>
      </c>
      <c r="BL58" s="21">
        <v>40073</v>
      </c>
      <c r="BM58" s="21">
        <v>43434</v>
      </c>
    </row>
    <row r="59" spans="1:65" x14ac:dyDescent="0.2">
      <c r="A59" s="21" t="s">
        <v>1413</v>
      </c>
      <c r="B59" s="21" t="s">
        <v>1414</v>
      </c>
      <c r="C59" s="21" t="s">
        <v>173</v>
      </c>
      <c r="D59" s="21">
        <v>2180349</v>
      </c>
      <c r="E59" s="21">
        <v>1987969</v>
      </c>
      <c r="F59" s="21">
        <v>2000581</v>
      </c>
      <c r="G59" s="21">
        <v>2091438</v>
      </c>
      <c r="H59" s="21">
        <v>2390576</v>
      </c>
      <c r="I59" s="21">
        <v>2552406</v>
      </c>
      <c r="J59" s="21">
        <v>2582365</v>
      </c>
      <c r="K59" s="21">
        <v>2485301</v>
      </c>
      <c r="L59" s="21">
        <v>2444894</v>
      </c>
      <c r="M59" s="21">
        <v>2502344</v>
      </c>
      <c r="N59" s="21">
        <v>2584122</v>
      </c>
      <c r="O59" s="21">
        <v>2229205</v>
      </c>
      <c r="P59" s="21">
        <v>2349983</v>
      </c>
      <c r="Q59" s="21">
        <v>2519980</v>
      </c>
      <c r="R59" s="21">
        <v>2415134</v>
      </c>
      <c r="S59" s="21">
        <v>2238950</v>
      </c>
      <c r="T59" s="21">
        <v>2268478</v>
      </c>
      <c r="U59" s="21">
        <v>2082406</v>
      </c>
      <c r="V59" s="21">
        <v>1912597</v>
      </c>
      <c r="W59" s="21">
        <v>2072555</v>
      </c>
      <c r="X59" s="21">
        <v>1785716</v>
      </c>
      <c r="Y59" s="21">
        <v>1634799</v>
      </c>
      <c r="Z59" s="21">
        <v>1096201</v>
      </c>
      <c r="AA59" s="21">
        <v>992417</v>
      </c>
      <c r="AB59" s="21">
        <v>1179737</v>
      </c>
      <c r="AC59" s="21">
        <v>1100196</v>
      </c>
      <c r="AD59" s="21">
        <v>961026</v>
      </c>
      <c r="AE59" s="21">
        <v>988279</v>
      </c>
      <c r="AF59" s="21">
        <v>1122560</v>
      </c>
      <c r="AG59" s="21">
        <v>1085642</v>
      </c>
      <c r="AH59" s="21">
        <v>1041846</v>
      </c>
      <c r="AI59" s="21">
        <v>907260</v>
      </c>
      <c r="AJ59" s="21">
        <v>867397</v>
      </c>
      <c r="AK59" s="21">
        <v>839450</v>
      </c>
      <c r="AL59" s="21">
        <v>850640</v>
      </c>
      <c r="AM59" s="21">
        <v>884699</v>
      </c>
      <c r="AN59" s="21">
        <v>849714</v>
      </c>
      <c r="AO59" s="21">
        <v>809440</v>
      </c>
      <c r="AP59" s="21">
        <v>773092</v>
      </c>
      <c r="AQ59" s="21">
        <v>770879</v>
      </c>
      <c r="AR59" s="21">
        <v>793680</v>
      </c>
      <c r="AS59" s="21">
        <v>715129</v>
      </c>
      <c r="AT59" s="21">
        <v>648778</v>
      </c>
      <c r="AU59" s="21">
        <v>665003</v>
      </c>
      <c r="AV59" s="21">
        <v>649166</v>
      </c>
      <c r="AW59" s="21">
        <v>615998</v>
      </c>
      <c r="AX59" s="21">
        <v>603030</v>
      </c>
      <c r="AY59" s="21">
        <v>597930</v>
      </c>
      <c r="AZ59" s="21">
        <v>580198</v>
      </c>
      <c r="BA59" s="21">
        <v>403421</v>
      </c>
      <c r="BB59" s="21">
        <v>554747</v>
      </c>
      <c r="BC59" s="21">
        <v>563997</v>
      </c>
      <c r="BD59" s="21">
        <v>594238</v>
      </c>
      <c r="BE59" s="21">
        <v>616422</v>
      </c>
      <c r="BF59" s="21">
        <v>606019</v>
      </c>
      <c r="BG59" s="21">
        <v>562064</v>
      </c>
      <c r="BH59" s="21">
        <v>471626</v>
      </c>
      <c r="BI59" s="21">
        <v>502867</v>
      </c>
      <c r="BJ59" s="21">
        <v>524533</v>
      </c>
      <c r="BK59" s="21">
        <v>514538</v>
      </c>
      <c r="BL59" s="21">
        <v>413420</v>
      </c>
      <c r="BM59" s="21">
        <v>504154</v>
      </c>
    </row>
    <row r="60" spans="1:65" x14ac:dyDescent="0.2">
      <c r="A60" s="21" t="s">
        <v>1413</v>
      </c>
      <c r="B60" s="21" t="s">
        <v>1414</v>
      </c>
      <c r="C60" s="21" t="s">
        <v>177</v>
      </c>
      <c r="D60" s="21">
        <v>26.791</v>
      </c>
      <c r="E60" s="21">
        <v>26.792000000000002</v>
      </c>
      <c r="F60" s="21">
        <v>26.788</v>
      </c>
      <c r="G60" s="21">
        <v>26.783999999999999</v>
      </c>
      <c r="H60" s="21">
        <v>26.785</v>
      </c>
      <c r="I60" s="21">
        <v>26.786999999999999</v>
      </c>
      <c r="J60" s="21">
        <v>26.786000000000001</v>
      </c>
      <c r="K60" s="21">
        <v>26.780999999999999</v>
      </c>
      <c r="L60" s="21">
        <v>26.78</v>
      </c>
      <c r="M60" s="21">
        <v>26.779</v>
      </c>
      <c r="N60" s="21">
        <v>26.783999999999999</v>
      </c>
      <c r="O60" s="21">
        <v>26.783999999999999</v>
      </c>
      <c r="P60" s="21">
        <v>26.782</v>
      </c>
      <c r="Q60" s="21">
        <v>26.78</v>
      </c>
      <c r="R60" s="21">
        <v>26.777999999999999</v>
      </c>
      <c r="S60" s="21">
        <v>26.782</v>
      </c>
      <c r="T60" s="21">
        <v>26.780999999999999</v>
      </c>
      <c r="U60" s="21">
        <v>26.786999999999999</v>
      </c>
      <c r="V60" s="21">
        <v>26.789000000000001</v>
      </c>
      <c r="W60" s="21">
        <v>26.788</v>
      </c>
      <c r="X60" s="21">
        <v>26.79</v>
      </c>
      <c r="Y60" s="21">
        <v>26.794</v>
      </c>
      <c r="Z60" s="21">
        <v>26.797000000000001</v>
      </c>
      <c r="AA60" s="21">
        <v>26.797999999999998</v>
      </c>
      <c r="AB60" s="21">
        <v>26.798999999999999</v>
      </c>
      <c r="AC60" s="21">
        <v>26.797000000000001</v>
      </c>
      <c r="AD60" s="21">
        <v>26.797999999999998</v>
      </c>
      <c r="AE60" s="21">
        <v>26.798999999999999</v>
      </c>
      <c r="AF60" s="21">
        <v>26.798999999999999</v>
      </c>
      <c r="AG60" s="21">
        <v>26.8</v>
      </c>
      <c r="AH60" s="21">
        <v>26.798999999999999</v>
      </c>
      <c r="AI60" s="21">
        <v>26.798999999999999</v>
      </c>
      <c r="AJ60" s="21">
        <v>26.798999999999999</v>
      </c>
      <c r="AK60" s="21">
        <v>26.8</v>
      </c>
      <c r="AL60" s="21">
        <v>26.8</v>
      </c>
      <c r="AM60" s="21">
        <v>26.8</v>
      </c>
      <c r="AN60" s="21">
        <v>26.8</v>
      </c>
      <c r="AO60" s="21">
        <v>26.8</v>
      </c>
      <c r="AP60" s="21">
        <v>27.425999999999998</v>
      </c>
      <c r="AQ60" s="21">
        <v>27.425999999999998</v>
      </c>
      <c r="AR60" s="21">
        <v>27.425999999999998</v>
      </c>
      <c r="AS60" s="21">
        <v>27.425999999999998</v>
      </c>
      <c r="AT60" s="21">
        <v>27.425999999999998</v>
      </c>
      <c r="AU60" s="21">
        <v>27.425000000000001</v>
      </c>
      <c r="AV60" s="21">
        <v>27.425999999999998</v>
      </c>
      <c r="AW60" s="21">
        <v>26.286000000000001</v>
      </c>
      <c r="AX60" s="21">
        <v>26.268000000000001</v>
      </c>
      <c r="AY60" s="21">
        <v>26.323</v>
      </c>
      <c r="AZ60" s="21">
        <v>26.289000000000001</v>
      </c>
      <c r="BA60" s="21">
        <v>26.321999999999999</v>
      </c>
      <c r="BB60" s="21">
        <v>26.300999999999998</v>
      </c>
      <c r="BC60" s="21">
        <v>26.312999999999999</v>
      </c>
      <c r="BD60" s="21">
        <v>28.635999999999999</v>
      </c>
      <c r="BE60" s="21">
        <v>28.706</v>
      </c>
      <c r="BF60" s="21">
        <v>28.456</v>
      </c>
      <c r="BG60" s="21">
        <v>28.518999999999998</v>
      </c>
      <c r="BH60" s="21">
        <v>28.61</v>
      </c>
      <c r="BI60" s="21">
        <v>28.673999999999999</v>
      </c>
      <c r="BJ60" s="21">
        <v>28.606000000000002</v>
      </c>
      <c r="BK60" s="21">
        <v>28.638999999999999</v>
      </c>
      <c r="BL60" s="21">
        <v>28.683</v>
      </c>
      <c r="BM60" s="21">
        <v>28.664000000000001</v>
      </c>
    </row>
    <row r="61" spans="1:65" x14ac:dyDescent="0.2">
      <c r="A61" s="21" t="s">
        <v>1413</v>
      </c>
      <c r="B61" s="21" t="s">
        <v>1414</v>
      </c>
      <c r="C61" s="21" t="s">
        <v>179</v>
      </c>
      <c r="D61" s="21">
        <v>81385</v>
      </c>
      <c r="E61" s="21">
        <v>74201</v>
      </c>
      <c r="F61" s="21">
        <v>74682</v>
      </c>
      <c r="G61" s="21">
        <v>78084</v>
      </c>
      <c r="H61" s="21">
        <v>89249</v>
      </c>
      <c r="I61" s="21">
        <v>95286</v>
      </c>
      <c r="J61" s="21">
        <v>96407</v>
      </c>
      <c r="K61" s="21">
        <v>92800</v>
      </c>
      <c r="L61" s="21">
        <v>91297</v>
      </c>
      <c r="M61" s="21">
        <v>93444</v>
      </c>
      <c r="N61" s="21">
        <v>96481</v>
      </c>
      <c r="O61" s="21">
        <v>83230</v>
      </c>
      <c r="P61" s="21">
        <v>87746</v>
      </c>
      <c r="Q61" s="21">
        <v>94101</v>
      </c>
      <c r="R61" s="21">
        <v>90191</v>
      </c>
      <c r="S61" s="21">
        <v>83598</v>
      </c>
      <c r="T61" s="21">
        <v>84704</v>
      </c>
      <c r="U61" s="21">
        <v>77739</v>
      </c>
      <c r="V61" s="21">
        <v>71394</v>
      </c>
      <c r="W61" s="21">
        <v>77368</v>
      </c>
      <c r="X61" s="21">
        <v>66656</v>
      </c>
      <c r="Y61" s="21">
        <v>61014</v>
      </c>
      <c r="Z61" s="21">
        <v>40907</v>
      </c>
      <c r="AA61" s="21">
        <v>37033</v>
      </c>
      <c r="AB61" s="21">
        <v>44022</v>
      </c>
      <c r="AC61" s="21">
        <v>41056</v>
      </c>
      <c r="AD61" s="21">
        <v>35862</v>
      </c>
      <c r="AE61" s="21">
        <v>36877</v>
      </c>
      <c r="AF61" s="21">
        <v>41888</v>
      </c>
      <c r="AG61" s="21">
        <v>40508</v>
      </c>
      <c r="AH61" s="21">
        <v>38877</v>
      </c>
      <c r="AI61" s="21">
        <v>33854</v>
      </c>
      <c r="AJ61" s="21">
        <v>32366</v>
      </c>
      <c r="AK61" s="21">
        <v>31323</v>
      </c>
      <c r="AL61" s="21">
        <v>31740</v>
      </c>
      <c r="AM61" s="21">
        <v>33011</v>
      </c>
      <c r="AN61" s="21">
        <v>31706</v>
      </c>
      <c r="AO61" s="21">
        <v>30203</v>
      </c>
      <c r="AP61" s="21">
        <v>28189</v>
      </c>
      <c r="AQ61" s="21">
        <v>28108</v>
      </c>
      <c r="AR61" s="21">
        <v>28939</v>
      </c>
      <c r="AS61" s="21">
        <v>26075</v>
      </c>
      <c r="AT61" s="21">
        <v>23656</v>
      </c>
      <c r="AU61" s="21">
        <v>24248</v>
      </c>
      <c r="AV61" s="21">
        <v>23670</v>
      </c>
      <c r="AW61" s="21">
        <v>23434</v>
      </c>
      <c r="AX61" s="21">
        <v>22957</v>
      </c>
      <c r="AY61" s="21">
        <v>22715</v>
      </c>
      <c r="AZ61" s="21">
        <v>22070</v>
      </c>
      <c r="BA61" s="21">
        <v>15326</v>
      </c>
      <c r="BB61" s="21">
        <v>21092</v>
      </c>
      <c r="BC61" s="21">
        <v>21434</v>
      </c>
      <c r="BD61" s="21">
        <v>20751</v>
      </c>
      <c r="BE61" s="21">
        <v>21474</v>
      </c>
      <c r="BF61" s="21">
        <v>21297</v>
      </c>
      <c r="BG61" s="21">
        <v>19708</v>
      </c>
      <c r="BH61" s="21">
        <v>16485</v>
      </c>
      <c r="BI61" s="21">
        <v>17538</v>
      </c>
      <c r="BJ61" s="21">
        <v>18337</v>
      </c>
      <c r="BK61" s="21">
        <v>17967</v>
      </c>
      <c r="BL61" s="21">
        <v>14414</v>
      </c>
      <c r="BM61" s="21">
        <v>17589</v>
      </c>
    </row>
    <row r="62" spans="1:65" x14ac:dyDescent="0.2">
      <c r="A62" s="21" t="s">
        <v>1413</v>
      </c>
      <c r="B62" s="21" t="s">
        <v>1414</v>
      </c>
      <c r="C62" s="21" t="s">
        <v>183</v>
      </c>
      <c r="D62" s="21">
        <v>2367535</v>
      </c>
      <c r="E62" s="21">
        <v>2362862</v>
      </c>
      <c r="F62" s="21">
        <v>2392219</v>
      </c>
      <c r="G62" s="21">
        <v>2508014</v>
      </c>
      <c r="H62" s="21">
        <v>2532692</v>
      </c>
      <c r="I62" s="21">
        <v>2582030</v>
      </c>
      <c r="J62" s="21">
        <v>2641228</v>
      </c>
      <c r="K62" s="21">
        <v>2456786</v>
      </c>
      <c r="L62" s="21">
        <v>2421972</v>
      </c>
      <c r="M62" s="21">
        <v>2216189</v>
      </c>
      <c r="N62" s="21">
        <v>2079392</v>
      </c>
      <c r="O62" s="21">
        <v>1721875</v>
      </c>
      <c r="P62" s="21">
        <v>1645695</v>
      </c>
      <c r="Q62" s="21">
        <v>1524278</v>
      </c>
      <c r="R62" s="21">
        <v>1439872</v>
      </c>
      <c r="S62" s="21">
        <v>1418691</v>
      </c>
      <c r="T62" s="21">
        <v>1373661</v>
      </c>
      <c r="U62" s="21">
        <v>1360504</v>
      </c>
      <c r="V62" s="21">
        <v>1389852</v>
      </c>
      <c r="W62" s="21">
        <v>1510333</v>
      </c>
      <c r="X62" s="21">
        <v>1369639</v>
      </c>
      <c r="Y62" s="21">
        <v>1512939</v>
      </c>
      <c r="Z62" s="21">
        <v>1447751</v>
      </c>
      <c r="AA62" s="21">
        <v>1496908</v>
      </c>
      <c r="AB62" s="21">
        <v>1663360</v>
      </c>
      <c r="AC62" s="21">
        <v>1676994</v>
      </c>
      <c r="AD62" s="21">
        <v>1685264</v>
      </c>
      <c r="AE62" s="21">
        <v>1681692</v>
      </c>
      <c r="AF62" s="21">
        <v>1708764</v>
      </c>
      <c r="AG62" s="21">
        <v>1688297</v>
      </c>
      <c r="AH62" s="21">
        <v>1712054</v>
      </c>
      <c r="AI62" s="21">
        <v>1693175</v>
      </c>
      <c r="AJ62" s="21">
        <v>1644396</v>
      </c>
      <c r="AK62" s="21">
        <v>1660172</v>
      </c>
      <c r="AL62" s="21">
        <v>1656056</v>
      </c>
      <c r="AM62" s="21">
        <v>1615368</v>
      </c>
      <c r="AN62" s="21">
        <v>1588428</v>
      </c>
      <c r="AO62" s="21">
        <v>1586661</v>
      </c>
      <c r="AP62" s="21">
        <v>1481397</v>
      </c>
      <c r="AQ62" s="21">
        <v>1416689</v>
      </c>
      <c r="AR62" s="21">
        <v>1465644</v>
      </c>
      <c r="AS62" s="21">
        <v>1478445</v>
      </c>
      <c r="AT62" s="21">
        <v>1371341</v>
      </c>
      <c r="AU62" s="21">
        <v>1379044</v>
      </c>
      <c r="AV62" s="21">
        <v>1397136</v>
      </c>
      <c r="AW62" s="21">
        <v>1337956</v>
      </c>
      <c r="AX62" s="21">
        <v>1310486</v>
      </c>
      <c r="AY62" s="21">
        <v>1266531</v>
      </c>
      <c r="AZ62" s="21">
        <v>1211592</v>
      </c>
      <c r="BA62" s="21">
        <v>990905</v>
      </c>
      <c r="BB62" s="21">
        <v>1070679</v>
      </c>
      <c r="BC62" s="21">
        <v>1002713</v>
      </c>
      <c r="BD62" s="21">
        <v>921775</v>
      </c>
      <c r="BE62" s="21">
        <v>930439</v>
      </c>
      <c r="BF62" s="21">
        <v>922865</v>
      </c>
      <c r="BG62" s="21">
        <v>817615</v>
      </c>
      <c r="BH62" s="21">
        <v>734836</v>
      </c>
      <c r="BI62" s="21">
        <v>693739</v>
      </c>
      <c r="BJ62" s="21">
        <v>653633</v>
      </c>
      <c r="BK62" s="21">
        <v>602203</v>
      </c>
      <c r="BL62" s="21">
        <v>525654</v>
      </c>
      <c r="BM62" s="21">
        <v>532548</v>
      </c>
    </row>
    <row r="63" spans="1:65" x14ac:dyDescent="0.2">
      <c r="A63" s="21" t="s">
        <v>1413</v>
      </c>
      <c r="B63" s="21" t="s">
        <v>1414</v>
      </c>
      <c r="C63" s="21" t="s">
        <v>187</v>
      </c>
      <c r="D63" s="21">
        <v>24.657</v>
      </c>
      <c r="E63" s="21">
        <v>24.64</v>
      </c>
      <c r="F63" s="21">
        <v>24.646999999999998</v>
      </c>
      <c r="G63" s="21">
        <v>24.603000000000002</v>
      </c>
      <c r="H63" s="21">
        <v>24.561</v>
      </c>
      <c r="I63" s="21">
        <v>24.46</v>
      </c>
      <c r="J63" s="21">
        <v>24.305</v>
      </c>
      <c r="K63" s="21">
        <v>24.123000000000001</v>
      </c>
      <c r="L63" s="21">
        <v>24.135000000000002</v>
      </c>
      <c r="M63" s="21">
        <v>23.794</v>
      </c>
      <c r="N63" s="21">
        <v>23.064</v>
      </c>
      <c r="O63" s="21">
        <v>22.765000000000001</v>
      </c>
      <c r="P63" s="21">
        <v>22.582000000000001</v>
      </c>
      <c r="Q63" s="21">
        <v>22.402999999999999</v>
      </c>
      <c r="R63" s="21">
        <v>22.184999999999999</v>
      </c>
      <c r="S63" s="21">
        <v>22.29</v>
      </c>
      <c r="T63" s="21">
        <v>22.231999999999999</v>
      </c>
      <c r="U63" s="21">
        <v>22.135000000000002</v>
      </c>
      <c r="V63" s="21">
        <v>22.030999999999999</v>
      </c>
      <c r="W63" s="21">
        <v>22.303999999999998</v>
      </c>
      <c r="X63" s="21">
        <v>22.696000000000002</v>
      </c>
      <c r="Y63" s="21">
        <v>22.449000000000002</v>
      </c>
      <c r="Z63" s="21">
        <v>22.587</v>
      </c>
      <c r="AA63" s="21">
        <v>22.687000000000001</v>
      </c>
      <c r="AB63" s="21">
        <v>22.556000000000001</v>
      </c>
      <c r="AC63" s="21">
        <v>22.248999999999999</v>
      </c>
      <c r="AD63" s="21">
        <v>22.297000000000001</v>
      </c>
      <c r="AE63" s="21">
        <v>22.37</v>
      </c>
      <c r="AF63" s="21">
        <v>22.408999999999999</v>
      </c>
      <c r="AG63" s="21">
        <v>22.175000000000001</v>
      </c>
      <c r="AH63" s="21">
        <v>22.43</v>
      </c>
      <c r="AI63" s="21">
        <v>22.454000000000001</v>
      </c>
      <c r="AJ63" s="21">
        <v>22.209</v>
      </c>
      <c r="AK63" s="21">
        <v>22.167999999999999</v>
      </c>
      <c r="AL63" s="21">
        <v>22.027999999999999</v>
      </c>
      <c r="AM63" s="21">
        <v>22.111999999999998</v>
      </c>
      <c r="AN63" s="21">
        <v>22.157</v>
      </c>
      <c r="AO63" s="21">
        <v>22.187000000000001</v>
      </c>
      <c r="AP63" s="21">
        <v>21.966000000000001</v>
      </c>
      <c r="AQ63" s="21">
        <v>21.882999999999999</v>
      </c>
      <c r="AR63" s="21">
        <v>22.475999999999999</v>
      </c>
      <c r="AS63" s="21">
        <v>22.652000000000001</v>
      </c>
      <c r="AT63" s="21">
        <v>22.574999999999999</v>
      </c>
      <c r="AU63" s="21">
        <v>22.510999999999999</v>
      </c>
      <c r="AV63" s="21">
        <v>22.463999999999999</v>
      </c>
      <c r="AW63" s="21">
        <v>22.173999999999999</v>
      </c>
      <c r="AX63" s="21">
        <v>22.035</v>
      </c>
      <c r="AY63" s="21">
        <v>22.370999999999999</v>
      </c>
      <c r="AZ63" s="21">
        <v>22.274999999999999</v>
      </c>
      <c r="BA63" s="21">
        <v>21.867000000000001</v>
      </c>
      <c r="BB63" s="21">
        <v>21.722000000000001</v>
      </c>
      <c r="BC63" s="21">
        <v>21.686</v>
      </c>
      <c r="BD63" s="21">
        <v>21.518000000000001</v>
      </c>
      <c r="BE63" s="21">
        <v>21.611000000000001</v>
      </c>
      <c r="BF63" s="21">
        <v>21.489000000000001</v>
      </c>
      <c r="BG63" s="21">
        <v>21.26</v>
      </c>
      <c r="BH63" s="21">
        <v>21.085999999999999</v>
      </c>
      <c r="BI63" s="21">
        <v>20.856000000000002</v>
      </c>
      <c r="BJ63" s="21">
        <v>20.698</v>
      </c>
      <c r="BK63" s="21">
        <v>20.698</v>
      </c>
      <c r="BL63" s="21">
        <v>20.486000000000001</v>
      </c>
      <c r="BM63" s="21">
        <v>20.605</v>
      </c>
    </row>
    <row r="64" spans="1:65" x14ac:dyDescent="0.2">
      <c r="A64" s="21" t="s">
        <v>1413</v>
      </c>
      <c r="B64" s="21" t="s">
        <v>1414</v>
      </c>
      <c r="C64" s="21" t="s">
        <v>189</v>
      </c>
      <c r="D64" s="21">
        <v>96017</v>
      </c>
      <c r="E64" s="21">
        <v>95897</v>
      </c>
      <c r="F64" s="21">
        <v>97059</v>
      </c>
      <c r="G64" s="21">
        <v>101940</v>
      </c>
      <c r="H64" s="21">
        <v>103120</v>
      </c>
      <c r="I64" s="21">
        <v>105560</v>
      </c>
      <c r="J64" s="21">
        <v>108669</v>
      </c>
      <c r="K64" s="21">
        <v>101845</v>
      </c>
      <c r="L64" s="21">
        <v>100351</v>
      </c>
      <c r="M64" s="21">
        <v>93142</v>
      </c>
      <c r="N64" s="21">
        <v>90156</v>
      </c>
      <c r="O64" s="21">
        <v>75636</v>
      </c>
      <c r="P64" s="21">
        <v>72878</v>
      </c>
      <c r="Q64" s="21">
        <v>68038</v>
      </c>
      <c r="R64" s="21">
        <v>64903</v>
      </c>
      <c r="S64" s="21">
        <v>63646</v>
      </c>
      <c r="T64" s="21">
        <v>61787</v>
      </c>
      <c r="U64" s="21">
        <v>61463</v>
      </c>
      <c r="V64" s="21">
        <v>63085</v>
      </c>
      <c r="W64" s="21">
        <v>67717</v>
      </c>
      <c r="X64" s="21">
        <v>60347</v>
      </c>
      <c r="Y64" s="21">
        <v>67395</v>
      </c>
      <c r="Z64" s="21">
        <v>64097</v>
      </c>
      <c r="AA64" s="21">
        <v>65980</v>
      </c>
      <c r="AB64" s="21">
        <v>73745</v>
      </c>
      <c r="AC64" s="21">
        <v>75372</v>
      </c>
      <c r="AD64" s="21">
        <v>75583</v>
      </c>
      <c r="AE64" s="21">
        <v>75175</v>
      </c>
      <c r="AF64" s="21">
        <v>76252</v>
      </c>
      <c r="AG64" s="21">
        <v>76134</v>
      </c>
      <c r="AH64" s="21">
        <v>76330</v>
      </c>
      <c r="AI64" s="21">
        <v>75405</v>
      </c>
      <c r="AJ64" s="21">
        <v>74042</v>
      </c>
      <c r="AK64" s="21">
        <v>74892</v>
      </c>
      <c r="AL64" s="21">
        <v>75179</v>
      </c>
      <c r="AM64" s="21">
        <v>73055</v>
      </c>
      <c r="AN64" s="21">
        <v>71689</v>
      </c>
      <c r="AO64" s="21">
        <v>71515</v>
      </c>
      <c r="AP64" s="21">
        <v>67439</v>
      </c>
      <c r="AQ64" s="21">
        <v>64738</v>
      </c>
      <c r="AR64" s="21">
        <v>65208</v>
      </c>
      <c r="AS64" s="21">
        <v>65268</v>
      </c>
      <c r="AT64" s="21">
        <v>60747</v>
      </c>
      <c r="AU64" s="21">
        <v>61261</v>
      </c>
      <c r="AV64" s="21">
        <v>62195</v>
      </c>
      <c r="AW64" s="21">
        <v>60340</v>
      </c>
      <c r="AX64" s="21">
        <v>59472</v>
      </c>
      <c r="AY64" s="21">
        <v>56615</v>
      </c>
      <c r="AZ64" s="21">
        <v>54393</v>
      </c>
      <c r="BA64" s="21">
        <v>45314</v>
      </c>
      <c r="BB64" s="21">
        <v>49289</v>
      </c>
      <c r="BC64" s="21">
        <v>46238</v>
      </c>
      <c r="BD64" s="21">
        <v>42838</v>
      </c>
      <c r="BE64" s="21">
        <v>43055</v>
      </c>
      <c r="BF64" s="21">
        <v>42946</v>
      </c>
      <c r="BG64" s="21">
        <v>38459</v>
      </c>
      <c r="BH64" s="21">
        <v>34849</v>
      </c>
      <c r="BI64" s="21">
        <v>33264</v>
      </c>
      <c r="BJ64" s="21">
        <v>31580</v>
      </c>
      <c r="BK64" s="21">
        <v>29095</v>
      </c>
      <c r="BL64" s="21">
        <v>25660</v>
      </c>
      <c r="BM64" s="21">
        <v>25845</v>
      </c>
    </row>
    <row r="65" spans="1:65" x14ac:dyDescent="0.2">
      <c r="A65" s="21" t="s">
        <v>1413</v>
      </c>
      <c r="B65" s="21" t="s">
        <v>1414</v>
      </c>
      <c r="C65" s="21" t="s">
        <v>199</v>
      </c>
      <c r="D65" s="21">
        <v>578443</v>
      </c>
      <c r="E65" s="21">
        <v>526883</v>
      </c>
      <c r="F65" s="21">
        <v>514666</v>
      </c>
      <c r="G65" s="21">
        <v>434076</v>
      </c>
      <c r="H65" s="21">
        <v>375218</v>
      </c>
      <c r="I65" s="21">
        <v>347969</v>
      </c>
      <c r="J65" s="21">
        <v>344991</v>
      </c>
      <c r="K65" s="21">
        <v>295676</v>
      </c>
      <c r="L65" s="21">
        <v>261494</v>
      </c>
      <c r="M65" s="21">
        <v>245260</v>
      </c>
      <c r="N65" s="21">
        <v>207457</v>
      </c>
      <c r="O65" s="21">
        <v>170586</v>
      </c>
      <c r="P65" s="21">
        <v>115079</v>
      </c>
      <c r="Q65" s="21">
        <v>93725</v>
      </c>
      <c r="R65" s="21">
        <v>81758</v>
      </c>
      <c r="S65" s="21">
        <v>62445</v>
      </c>
      <c r="T65" s="21">
        <v>58817</v>
      </c>
      <c r="U65" s="21">
        <v>57469</v>
      </c>
      <c r="V65" s="21">
        <v>49172</v>
      </c>
      <c r="W65" s="21">
        <v>37702</v>
      </c>
      <c r="X65" s="21">
        <v>31017</v>
      </c>
      <c r="Y65" s="21">
        <v>30081</v>
      </c>
      <c r="Z65" s="21">
        <v>31848</v>
      </c>
      <c r="AA65" s="21">
        <v>30840</v>
      </c>
      <c r="AB65" s="21">
        <v>39682</v>
      </c>
      <c r="AC65" s="21">
        <v>38819</v>
      </c>
      <c r="AD65" s="21">
        <v>40517</v>
      </c>
      <c r="AE65" s="21">
        <v>37967</v>
      </c>
      <c r="AF65" s="21">
        <v>37001</v>
      </c>
      <c r="AG65" s="21">
        <v>30649</v>
      </c>
      <c r="AH65" s="21">
        <v>30957</v>
      </c>
      <c r="AI65" s="21">
        <v>25339</v>
      </c>
      <c r="AJ65" s="21">
        <v>25630</v>
      </c>
      <c r="AK65" s="21">
        <v>25575</v>
      </c>
      <c r="AL65" s="21">
        <v>20667</v>
      </c>
      <c r="AM65" s="21">
        <v>17382</v>
      </c>
      <c r="AN65" s="21">
        <v>16372</v>
      </c>
      <c r="AO65" s="21">
        <v>15910</v>
      </c>
      <c r="AP65" s="21">
        <v>12433</v>
      </c>
      <c r="AQ65" s="21">
        <v>13857</v>
      </c>
      <c r="AR65" s="21">
        <v>10606</v>
      </c>
      <c r="AS65" s="21">
        <v>10913</v>
      </c>
      <c r="AT65" s="21">
        <v>11975</v>
      </c>
      <c r="AU65" s="21">
        <v>12383</v>
      </c>
      <c r="AV65" s="21">
        <v>11429</v>
      </c>
      <c r="AW65" s="21">
        <v>8325</v>
      </c>
      <c r="AX65" s="21">
        <v>6364</v>
      </c>
      <c r="AY65" s="21">
        <v>7820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</row>
    <row r="66" spans="1:65" x14ac:dyDescent="0.2">
      <c r="A66" s="21" t="s">
        <v>1413</v>
      </c>
      <c r="B66" s="21" t="s">
        <v>1414</v>
      </c>
      <c r="C66" s="21" t="s">
        <v>203</v>
      </c>
      <c r="D66" s="21">
        <v>24159</v>
      </c>
      <c r="E66" s="21">
        <v>22006</v>
      </c>
      <c r="F66" s="21">
        <v>21544</v>
      </c>
      <c r="G66" s="21">
        <v>18243</v>
      </c>
      <c r="H66" s="21">
        <v>15756</v>
      </c>
      <c r="I66" s="21">
        <v>14635</v>
      </c>
      <c r="J66" s="21">
        <v>14585</v>
      </c>
      <c r="K66" s="21">
        <v>12616</v>
      </c>
      <c r="L66" s="21">
        <v>11190</v>
      </c>
      <c r="M66" s="21">
        <v>10569</v>
      </c>
      <c r="N66" s="21">
        <v>9024</v>
      </c>
      <c r="O66" s="21">
        <v>7448</v>
      </c>
      <c r="P66" s="21">
        <v>5034</v>
      </c>
      <c r="Q66" s="21">
        <v>4113</v>
      </c>
      <c r="R66" s="21">
        <v>3653</v>
      </c>
      <c r="S66" s="21">
        <v>2823</v>
      </c>
      <c r="T66" s="21">
        <v>2586</v>
      </c>
      <c r="U66" s="21">
        <v>2507</v>
      </c>
      <c r="V66" s="21">
        <v>2188</v>
      </c>
      <c r="W66" s="21">
        <v>1678</v>
      </c>
      <c r="X66" s="21">
        <v>1355</v>
      </c>
      <c r="Y66" s="21">
        <v>1336</v>
      </c>
      <c r="Z66" s="21">
        <v>1401</v>
      </c>
      <c r="AA66" s="21">
        <v>1352</v>
      </c>
      <c r="AB66" s="21">
        <v>1735</v>
      </c>
      <c r="AC66" s="21">
        <v>1711</v>
      </c>
      <c r="AD66" s="21">
        <v>1763</v>
      </c>
      <c r="AE66" s="21">
        <v>1590</v>
      </c>
      <c r="AF66" s="21">
        <v>1569</v>
      </c>
      <c r="AG66" s="21">
        <v>1295</v>
      </c>
      <c r="AH66" s="21">
        <v>1345</v>
      </c>
      <c r="AI66" s="21">
        <v>1097</v>
      </c>
      <c r="AJ66" s="21">
        <v>1107</v>
      </c>
      <c r="AK66" s="21">
        <v>1120</v>
      </c>
      <c r="AL66" s="21">
        <v>902</v>
      </c>
      <c r="AM66" s="21">
        <v>755</v>
      </c>
      <c r="AN66" s="21">
        <v>721</v>
      </c>
      <c r="AO66" s="21">
        <v>711</v>
      </c>
      <c r="AP66" s="21">
        <v>534</v>
      </c>
      <c r="AQ66" s="21">
        <v>585</v>
      </c>
      <c r="AR66" s="21">
        <v>454</v>
      </c>
      <c r="AS66" s="21">
        <v>481</v>
      </c>
      <c r="AT66" s="21">
        <v>533</v>
      </c>
      <c r="AU66" s="21">
        <v>551</v>
      </c>
      <c r="AV66" s="21">
        <v>512</v>
      </c>
      <c r="AW66" s="21">
        <v>378</v>
      </c>
      <c r="AX66" s="21">
        <v>290</v>
      </c>
      <c r="AY66" s="21">
        <v>353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</row>
    <row r="67" spans="1:65" x14ac:dyDescent="0.2">
      <c r="A67" s="21" t="s">
        <v>1413</v>
      </c>
      <c r="B67" s="21" t="s">
        <v>1414</v>
      </c>
      <c r="C67" s="21" t="s">
        <v>210</v>
      </c>
      <c r="D67" s="21">
        <v>9830513</v>
      </c>
      <c r="E67" s="21">
        <v>9618013</v>
      </c>
      <c r="F67" s="21">
        <v>9904585</v>
      </c>
      <c r="G67" s="21">
        <v>10414512</v>
      </c>
      <c r="H67" s="21">
        <v>10967543</v>
      </c>
      <c r="I67" s="21">
        <v>11582398</v>
      </c>
      <c r="J67" s="21">
        <v>12145291</v>
      </c>
      <c r="K67" s="21">
        <v>11917043</v>
      </c>
      <c r="L67" s="21">
        <v>12337535</v>
      </c>
      <c r="M67" s="21">
        <v>12383168</v>
      </c>
      <c r="N67" s="21">
        <v>12268895</v>
      </c>
      <c r="O67" s="21">
        <v>11603202</v>
      </c>
      <c r="P67" s="21">
        <v>12109530</v>
      </c>
      <c r="Q67" s="21">
        <v>12960121</v>
      </c>
      <c r="R67" s="21">
        <v>12651009</v>
      </c>
      <c r="S67" s="21">
        <v>12655613</v>
      </c>
      <c r="T67" s="21">
        <v>13575890</v>
      </c>
      <c r="U67" s="21">
        <v>13907111</v>
      </c>
      <c r="V67" s="21">
        <v>13769684</v>
      </c>
      <c r="W67" s="21">
        <v>15041652</v>
      </c>
      <c r="X67" s="21">
        <v>15460982</v>
      </c>
      <c r="Y67" s="21">
        <v>15937724</v>
      </c>
      <c r="Z67" s="21">
        <v>15269049</v>
      </c>
      <c r="AA67" s="21">
        <v>15867060</v>
      </c>
      <c r="AB67" s="21">
        <v>17013578</v>
      </c>
      <c r="AC67" s="21">
        <v>17540071</v>
      </c>
      <c r="AD67" s="21">
        <v>17240884</v>
      </c>
      <c r="AE67" s="21">
        <v>17949877</v>
      </c>
      <c r="AF67" s="21">
        <v>18885663</v>
      </c>
      <c r="AG67" s="21">
        <v>19055165</v>
      </c>
      <c r="AH67" s="21">
        <v>19167682</v>
      </c>
      <c r="AI67" s="21">
        <v>18989140</v>
      </c>
      <c r="AJ67" s="21">
        <v>19117802</v>
      </c>
      <c r="AK67" s="21">
        <v>19836126</v>
      </c>
      <c r="AL67" s="21">
        <v>19903559</v>
      </c>
      <c r="AM67" s="21">
        <v>20098843</v>
      </c>
      <c r="AN67" s="21">
        <v>21002157</v>
      </c>
      <c r="AO67" s="21">
        <v>21443603</v>
      </c>
      <c r="AP67" s="21">
        <v>21583324</v>
      </c>
      <c r="AQ67" s="21">
        <v>21582103</v>
      </c>
      <c r="AR67" s="21">
        <v>22575538</v>
      </c>
      <c r="AS67" s="21">
        <v>21906355</v>
      </c>
      <c r="AT67" s="21">
        <v>21902852</v>
      </c>
      <c r="AU67" s="21">
        <v>22322634</v>
      </c>
      <c r="AV67" s="21">
        <v>22464302</v>
      </c>
      <c r="AW67" s="21">
        <v>22793450</v>
      </c>
      <c r="AX67" s="21">
        <v>22444214</v>
      </c>
      <c r="AY67" s="21">
        <v>22747914</v>
      </c>
      <c r="AZ67" s="21">
        <v>22382816</v>
      </c>
      <c r="BA67" s="21">
        <v>19691342</v>
      </c>
      <c r="BB67" s="21">
        <v>20828382</v>
      </c>
      <c r="BC67" s="21">
        <v>19663856</v>
      </c>
      <c r="BD67" s="21">
        <v>17380923</v>
      </c>
      <c r="BE67" s="21">
        <v>18038771</v>
      </c>
      <c r="BF67" s="21">
        <v>17996577</v>
      </c>
      <c r="BG67" s="21">
        <v>15548985</v>
      </c>
      <c r="BH67" s="21">
        <v>14227138</v>
      </c>
      <c r="BI67" s="21">
        <v>13839632</v>
      </c>
      <c r="BJ67" s="21">
        <v>13249958</v>
      </c>
      <c r="BK67" s="21">
        <v>11314925</v>
      </c>
      <c r="BL67" s="21">
        <v>9182696</v>
      </c>
      <c r="BM67" s="21">
        <v>10547764</v>
      </c>
    </row>
    <row r="68" spans="1:65" x14ac:dyDescent="0.2">
      <c r="A68" s="21" t="s">
        <v>1413</v>
      </c>
      <c r="B68" s="21" t="s">
        <v>1414</v>
      </c>
      <c r="C68" s="21" t="s">
        <v>214</v>
      </c>
      <c r="D68" s="21">
        <v>398081</v>
      </c>
      <c r="E68" s="21">
        <v>390352</v>
      </c>
      <c r="F68" s="21">
        <v>402260</v>
      </c>
      <c r="G68" s="21">
        <v>423480</v>
      </c>
      <c r="H68" s="21">
        <v>445670</v>
      </c>
      <c r="I68" s="21">
        <v>471965</v>
      </c>
      <c r="J68" s="21">
        <v>497749</v>
      </c>
      <c r="K68" s="21">
        <v>491431</v>
      </c>
      <c r="L68" s="21">
        <v>509827</v>
      </c>
      <c r="M68" s="21">
        <v>516414</v>
      </c>
      <c r="N68" s="21">
        <v>523231</v>
      </c>
      <c r="O68" s="21">
        <v>501575</v>
      </c>
      <c r="P68" s="21">
        <v>524263</v>
      </c>
      <c r="Q68" s="21">
        <v>562584</v>
      </c>
      <c r="R68" s="21">
        <v>558402</v>
      </c>
      <c r="S68" s="21">
        <v>562640</v>
      </c>
      <c r="T68" s="21">
        <v>603790</v>
      </c>
      <c r="U68" s="21">
        <v>625291</v>
      </c>
      <c r="V68" s="21">
        <v>625225</v>
      </c>
      <c r="W68" s="21">
        <v>680524</v>
      </c>
      <c r="X68" s="21">
        <v>702729</v>
      </c>
      <c r="Y68" s="21">
        <v>732627</v>
      </c>
      <c r="Z68" s="21">
        <v>706910</v>
      </c>
      <c r="AA68" s="21">
        <v>736672</v>
      </c>
      <c r="AB68" s="21">
        <v>791296</v>
      </c>
      <c r="AC68" s="21">
        <v>818049</v>
      </c>
      <c r="AD68" s="21">
        <v>804169</v>
      </c>
      <c r="AE68" s="21">
        <v>836860</v>
      </c>
      <c r="AF68" s="21">
        <v>883642</v>
      </c>
      <c r="AG68" s="21">
        <v>895000</v>
      </c>
      <c r="AH68" s="21">
        <v>904498</v>
      </c>
      <c r="AI68" s="21">
        <v>899227</v>
      </c>
      <c r="AJ68" s="21">
        <v>907655</v>
      </c>
      <c r="AK68" s="21">
        <v>944081</v>
      </c>
      <c r="AL68" s="21">
        <v>951286</v>
      </c>
      <c r="AM68" s="21">
        <v>962104</v>
      </c>
      <c r="AN68" s="21">
        <v>1006321</v>
      </c>
      <c r="AO68" s="21">
        <v>1029544</v>
      </c>
      <c r="AP68" s="21">
        <v>1037103</v>
      </c>
      <c r="AQ68" s="21">
        <v>1038646</v>
      </c>
      <c r="AR68" s="21">
        <v>1084095</v>
      </c>
      <c r="AS68" s="21">
        <v>1060146</v>
      </c>
      <c r="AT68" s="21">
        <v>1066355</v>
      </c>
      <c r="AU68" s="21">
        <v>1094808</v>
      </c>
      <c r="AV68" s="21">
        <v>1107195</v>
      </c>
      <c r="AW68" s="21">
        <v>1125912</v>
      </c>
      <c r="AX68" s="21">
        <v>1112227</v>
      </c>
      <c r="AY68" s="21">
        <v>1127912</v>
      </c>
      <c r="AZ68" s="21">
        <v>1120452</v>
      </c>
      <c r="BA68" s="21">
        <v>997390</v>
      </c>
      <c r="BB68" s="21">
        <v>1048514</v>
      </c>
      <c r="BC68" s="21">
        <v>1002948</v>
      </c>
      <c r="BD68" s="21">
        <v>889185</v>
      </c>
      <c r="BE68" s="21">
        <v>924442</v>
      </c>
      <c r="BF68" s="21">
        <v>917732</v>
      </c>
      <c r="BG68" s="21">
        <v>798115</v>
      </c>
      <c r="BH68" s="21">
        <v>731071</v>
      </c>
      <c r="BI68" s="21">
        <v>716856</v>
      </c>
      <c r="BJ68" s="21">
        <v>688105</v>
      </c>
      <c r="BK68" s="21">
        <v>586543</v>
      </c>
      <c r="BL68" s="21">
        <v>476693</v>
      </c>
      <c r="BM68" s="21">
        <v>545610</v>
      </c>
    </row>
    <row r="69" spans="1:65" x14ac:dyDescent="0.2">
      <c r="A69" s="21" t="s">
        <v>1413</v>
      </c>
      <c r="B69" s="21" t="s">
        <v>1414</v>
      </c>
      <c r="C69" s="21" t="s">
        <v>217</v>
      </c>
      <c r="D69" s="21">
        <v>5603919</v>
      </c>
      <c r="E69" s="21">
        <v>5262949</v>
      </c>
      <c r="F69" s="21">
        <v>5282147</v>
      </c>
      <c r="G69" s="21">
        <v>5364451</v>
      </c>
      <c r="H69" s="21">
        <v>5587782</v>
      </c>
      <c r="I69" s="21">
        <v>5761043</v>
      </c>
      <c r="J69" s="21">
        <v>5843739</v>
      </c>
      <c r="K69" s="21">
        <v>5472167</v>
      </c>
      <c r="L69" s="21">
        <v>5343958</v>
      </c>
      <c r="M69" s="21">
        <v>5164000</v>
      </c>
      <c r="N69" s="21">
        <v>5040889</v>
      </c>
      <c r="O69" s="21">
        <v>4303953</v>
      </c>
      <c r="P69" s="21">
        <v>4267007</v>
      </c>
      <c r="Q69" s="21">
        <v>4300200</v>
      </c>
      <c r="R69" s="21">
        <v>4112302</v>
      </c>
      <c r="S69" s="21">
        <v>3866334</v>
      </c>
      <c r="T69" s="21">
        <v>3845230</v>
      </c>
      <c r="U69" s="21">
        <v>3648362</v>
      </c>
      <c r="V69" s="21">
        <v>3516242</v>
      </c>
      <c r="W69" s="21">
        <v>3771397</v>
      </c>
      <c r="X69" s="21">
        <v>3303056</v>
      </c>
      <c r="Y69" s="21">
        <v>3314852</v>
      </c>
      <c r="Z69" s="21">
        <v>2731296</v>
      </c>
      <c r="AA69" s="21">
        <v>2682078</v>
      </c>
      <c r="AB69" s="21">
        <v>3051952</v>
      </c>
      <c r="AC69" s="21">
        <v>2953639</v>
      </c>
      <c r="AD69" s="21">
        <v>2822448</v>
      </c>
      <c r="AE69" s="21">
        <v>2835047</v>
      </c>
      <c r="AF69" s="21">
        <v>2999509</v>
      </c>
      <c r="AG69" s="21">
        <v>2919887</v>
      </c>
      <c r="AH69" s="21">
        <v>2908687</v>
      </c>
      <c r="AI69" s="21">
        <v>2741205</v>
      </c>
      <c r="AJ69" s="21">
        <v>2654180</v>
      </c>
      <c r="AK69" s="21">
        <v>2641704</v>
      </c>
      <c r="AL69" s="21">
        <v>2644480</v>
      </c>
      <c r="AM69" s="21">
        <v>2633778</v>
      </c>
      <c r="AN69" s="21">
        <v>2574580</v>
      </c>
      <c r="AO69" s="21">
        <v>2540739</v>
      </c>
      <c r="AP69" s="21">
        <v>2367516</v>
      </c>
      <c r="AQ69" s="21">
        <v>2303040</v>
      </c>
      <c r="AR69" s="21">
        <v>2355741</v>
      </c>
      <c r="AS69" s="21">
        <v>2292780</v>
      </c>
      <c r="AT69" s="21">
        <v>2119908</v>
      </c>
      <c r="AU69" s="21">
        <v>2139297</v>
      </c>
      <c r="AV69" s="21">
        <v>2160590</v>
      </c>
      <c r="AW69" s="21">
        <v>2058023</v>
      </c>
      <c r="AX69" s="21">
        <v>1984225</v>
      </c>
      <c r="AY69" s="21">
        <v>1942665</v>
      </c>
      <c r="AZ69" s="21">
        <v>1872217</v>
      </c>
      <c r="BA69" s="21">
        <v>1467575</v>
      </c>
      <c r="BB69" s="21">
        <v>1695016</v>
      </c>
      <c r="BC69" s="21">
        <v>1628442</v>
      </c>
      <c r="BD69" s="21">
        <v>1559666</v>
      </c>
      <c r="BE69" s="21">
        <v>1588340</v>
      </c>
      <c r="BF69" s="21">
        <v>1569345</v>
      </c>
      <c r="BG69" s="21">
        <v>1410749</v>
      </c>
      <c r="BH69" s="21">
        <v>1230490</v>
      </c>
      <c r="BI69" s="21">
        <v>1217412</v>
      </c>
      <c r="BJ69" s="21">
        <v>1196938</v>
      </c>
      <c r="BK69" s="21">
        <v>1133455</v>
      </c>
      <c r="BL69" s="21">
        <v>953555</v>
      </c>
      <c r="BM69" s="21">
        <v>1051348</v>
      </c>
    </row>
    <row r="70" spans="1:65" x14ac:dyDescent="0.2">
      <c r="A70" s="21" t="s">
        <v>1413</v>
      </c>
      <c r="B70" s="21" t="s">
        <v>1414</v>
      </c>
      <c r="C70" s="21" t="s">
        <v>221</v>
      </c>
      <c r="D70" s="21">
        <v>221396</v>
      </c>
      <c r="E70" s="21">
        <v>208167</v>
      </c>
      <c r="F70" s="21">
        <v>208944</v>
      </c>
      <c r="G70" s="21">
        <v>212148</v>
      </c>
      <c r="H70" s="21">
        <v>220245</v>
      </c>
      <c r="I70" s="21">
        <v>227177</v>
      </c>
      <c r="J70" s="21">
        <v>231272</v>
      </c>
      <c r="K70" s="21">
        <v>217246</v>
      </c>
      <c r="L70" s="21">
        <v>212048</v>
      </c>
      <c r="M70" s="21">
        <v>205773</v>
      </c>
      <c r="N70" s="21">
        <v>203049</v>
      </c>
      <c r="O70" s="21">
        <v>174274</v>
      </c>
      <c r="P70" s="21">
        <v>172495</v>
      </c>
      <c r="Q70" s="21">
        <v>173372</v>
      </c>
      <c r="R70" s="21">
        <v>166591</v>
      </c>
      <c r="S70" s="21">
        <v>156678</v>
      </c>
      <c r="T70" s="21">
        <v>155419</v>
      </c>
      <c r="U70" s="21">
        <v>148165</v>
      </c>
      <c r="V70" s="21">
        <v>143990</v>
      </c>
      <c r="W70" s="21">
        <v>153473</v>
      </c>
      <c r="X70" s="21">
        <v>133455</v>
      </c>
      <c r="Y70" s="21">
        <v>135831</v>
      </c>
      <c r="Z70" s="21">
        <v>113244</v>
      </c>
      <c r="AA70" s="21">
        <v>111461</v>
      </c>
      <c r="AB70" s="21">
        <v>126897</v>
      </c>
      <c r="AC70" s="21">
        <v>124208</v>
      </c>
      <c r="AD70" s="21">
        <v>119113</v>
      </c>
      <c r="AE70" s="21">
        <v>118966</v>
      </c>
      <c r="AF70" s="21">
        <v>125270</v>
      </c>
      <c r="AG70" s="21">
        <v>122810</v>
      </c>
      <c r="AH70" s="21">
        <v>121931</v>
      </c>
      <c r="AI70" s="21">
        <v>115353</v>
      </c>
      <c r="AJ70" s="21">
        <v>112561</v>
      </c>
      <c r="AK70" s="21">
        <v>112436</v>
      </c>
      <c r="AL70" s="21">
        <v>112932</v>
      </c>
      <c r="AM70" s="21">
        <v>111873</v>
      </c>
      <c r="AN70" s="21">
        <v>109400</v>
      </c>
      <c r="AO70" s="21">
        <v>108181</v>
      </c>
      <c r="AP70" s="21">
        <v>100484</v>
      </c>
      <c r="AQ70" s="21">
        <v>97725</v>
      </c>
      <c r="AR70" s="21">
        <v>98274</v>
      </c>
      <c r="AS70" s="21">
        <v>95713</v>
      </c>
      <c r="AT70" s="21">
        <v>88848</v>
      </c>
      <c r="AU70" s="21">
        <v>89745</v>
      </c>
      <c r="AV70" s="21">
        <v>90987</v>
      </c>
      <c r="AW70" s="21">
        <v>88493</v>
      </c>
      <c r="AX70" s="21">
        <v>85656</v>
      </c>
      <c r="AY70" s="21">
        <v>82857</v>
      </c>
      <c r="AZ70" s="21">
        <v>79968</v>
      </c>
      <c r="BA70" s="21">
        <v>63851</v>
      </c>
      <c r="BB70" s="21">
        <v>73462</v>
      </c>
      <c r="BC70" s="21">
        <v>70464</v>
      </c>
      <c r="BD70" s="21">
        <v>65634</v>
      </c>
      <c r="BE70" s="21">
        <v>66480</v>
      </c>
      <c r="BF70" s="21">
        <v>66130</v>
      </c>
      <c r="BG70" s="21">
        <v>59671</v>
      </c>
      <c r="BH70" s="21">
        <v>52516</v>
      </c>
      <c r="BI70" s="21">
        <v>51863</v>
      </c>
      <c r="BJ70" s="21">
        <v>50888</v>
      </c>
      <c r="BK70" s="21">
        <v>47938</v>
      </c>
      <c r="BL70" s="21">
        <v>40866</v>
      </c>
      <c r="BM70" s="21">
        <v>44245</v>
      </c>
    </row>
    <row r="71" spans="1:65" x14ac:dyDescent="0.2">
      <c r="A71" s="21" t="s">
        <v>1413</v>
      </c>
      <c r="B71" s="21" t="s">
        <v>1414</v>
      </c>
      <c r="C71" s="21" t="s">
        <v>224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140354</v>
      </c>
      <c r="AB71" s="21">
        <v>134995</v>
      </c>
      <c r="AC71" s="21">
        <v>127971</v>
      </c>
      <c r="AD71" s="21">
        <v>103275</v>
      </c>
      <c r="AE71" s="21">
        <v>72483</v>
      </c>
      <c r="AF71" s="21">
        <v>85243</v>
      </c>
      <c r="AG71" s="21">
        <v>58696</v>
      </c>
      <c r="AH71" s="21">
        <v>50883</v>
      </c>
      <c r="AI71" s="21">
        <v>38947</v>
      </c>
      <c r="AJ71" s="21">
        <v>27364</v>
      </c>
      <c r="AK71" s="21">
        <v>21153</v>
      </c>
      <c r="AL71" s="21">
        <v>18682</v>
      </c>
      <c r="AM71" s="21">
        <v>14535</v>
      </c>
      <c r="AN71" s="21">
        <v>13729</v>
      </c>
      <c r="AO71" s="21">
        <v>4623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</row>
    <row r="72" spans="1:65" x14ac:dyDescent="0.2">
      <c r="A72" s="21" t="s">
        <v>1413</v>
      </c>
      <c r="B72" s="21" t="s">
        <v>1414</v>
      </c>
      <c r="C72" s="21" t="s">
        <v>226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24199</v>
      </c>
      <c r="AB72" s="21">
        <v>23275</v>
      </c>
      <c r="AC72" s="21">
        <v>22064</v>
      </c>
      <c r="AD72" s="21">
        <v>17806</v>
      </c>
      <c r="AE72" s="21">
        <v>12497</v>
      </c>
      <c r="AF72" s="21">
        <v>14697</v>
      </c>
      <c r="AG72" s="21">
        <v>10120</v>
      </c>
      <c r="AH72" s="21">
        <v>8773</v>
      </c>
      <c r="AI72" s="21">
        <v>6715</v>
      </c>
      <c r="AJ72" s="21">
        <v>4718</v>
      </c>
      <c r="AK72" s="21">
        <v>3647</v>
      </c>
      <c r="AL72" s="21">
        <v>3221</v>
      </c>
      <c r="AM72" s="21">
        <v>2506</v>
      </c>
      <c r="AN72" s="21">
        <v>2367</v>
      </c>
      <c r="AO72" s="21">
        <v>797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</row>
    <row r="73" spans="1:65" x14ac:dyDescent="0.2">
      <c r="A73" s="21" t="s">
        <v>1413</v>
      </c>
      <c r="B73" s="21" t="s">
        <v>1414</v>
      </c>
      <c r="C73" s="21" t="s">
        <v>230</v>
      </c>
      <c r="D73" s="21">
        <v>891941</v>
      </c>
      <c r="E73" s="21">
        <v>891644</v>
      </c>
      <c r="F73" s="21">
        <v>965274</v>
      </c>
      <c r="G73" s="21">
        <v>1067366</v>
      </c>
      <c r="H73" s="21">
        <v>1133358</v>
      </c>
      <c r="I73" s="21">
        <v>1093303</v>
      </c>
      <c r="J73" s="21">
        <v>1163655</v>
      </c>
      <c r="K73" s="21">
        <v>1157939</v>
      </c>
      <c r="L73" s="21">
        <v>1392015</v>
      </c>
      <c r="M73" s="21">
        <v>1498495</v>
      </c>
      <c r="N73" s="21">
        <v>1568925</v>
      </c>
      <c r="O73" s="21">
        <v>1700565</v>
      </c>
      <c r="P73" s="21">
        <v>1941116</v>
      </c>
      <c r="Q73" s="21">
        <v>2222022</v>
      </c>
      <c r="R73" s="21">
        <v>2202345</v>
      </c>
      <c r="S73" s="21">
        <v>2121012</v>
      </c>
      <c r="T73" s="21">
        <v>2288198</v>
      </c>
      <c r="U73" s="21">
        <v>2488717</v>
      </c>
      <c r="V73" s="21">
        <v>2679341</v>
      </c>
      <c r="W73" s="21">
        <v>2905157</v>
      </c>
      <c r="X73" s="21">
        <v>2794834</v>
      </c>
      <c r="Y73" s="21">
        <v>2901346</v>
      </c>
      <c r="Z73" s="21">
        <v>2789510</v>
      </c>
      <c r="AA73" s="21">
        <v>2905391</v>
      </c>
      <c r="AB73" s="21">
        <v>2947836</v>
      </c>
      <c r="AC73" s="21">
        <v>3170074</v>
      </c>
      <c r="AD73" s="21">
        <v>3217908</v>
      </c>
      <c r="AE73" s="21">
        <v>3334545</v>
      </c>
      <c r="AF73" s="21">
        <v>3626119</v>
      </c>
      <c r="AG73" s="21">
        <v>3686504</v>
      </c>
      <c r="AH73" s="21">
        <v>3661134</v>
      </c>
      <c r="AI73" s="21">
        <v>3600618</v>
      </c>
      <c r="AJ73" s="21">
        <v>3683913</v>
      </c>
      <c r="AK73" s="21">
        <v>3795822</v>
      </c>
      <c r="AL73" s="21">
        <v>4028540</v>
      </c>
      <c r="AM73" s="21">
        <v>4191382</v>
      </c>
      <c r="AN73" s="21">
        <v>4465494</v>
      </c>
      <c r="AO73" s="21">
        <v>4668258</v>
      </c>
      <c r="AP73" s="21">
        <v>4806575</v>
      </c>
      <c r="AQ73" s="21">
        <v>4995878</v>
      </c>
      <c r="AR73" s="21">
        <v>5159213</v>
      </c>
      <c r="AS73" s="21">
        <v>5286255</v>
      </c>
      <c r="AT73" s="21">
        <v>5386829</v>
      </c>
      <c r="AU73" s="21">
        <v>5583956</v>
      </c>
      <c r="AV73" s="21">
        <v>5925059</v>
      </c>
      <c r="AW73" s="21">
        <v>6068261</v>
      </c>
      <c r="AX73" s="21">
        <v>6390016</v>
      </c>
      <c r="AY73" s="21">
        <v>6411418</v>
      </c>
      <c r="AZ73" s="21">
        <v>5792125</v>
      </c>
      <c r="BA73" s="21">
        <v>5537791</v>
      </c>
      <c r="BB73" s="21">
        <v>5826023</v>
      </c>
      <c r="BC73" s="21">
        <v>5999681</v>
      </c>
      <c r="BD73" s="21">
        <v>5738306</v>
      </c>
      <c r="BE73" s="21">
        <v>5898360</v>
      </c>
      <c r="BF73" s="21">
        <v>6158652</v>
      </c>
      <c r="BG73" s="21">
        <v>6255035</v>
      </c>
      <c r="BH73" s="21">
        <v>6202233</v>
      </c>
      <c r="BI73" s="21">
        <v>6252857</v>
      </c>
      <c r="BJ73" s="21">
        <v>6554711</v>
      </c>
      <c r="BK73" s="21">
        <v>6572260</v>
      </c>
      <c r="BL73" s="21">
        <v>6182862</v>
      </c>
      <c r="BM73" s="21">
        <v>6310461</v>
      </c>
    </row>
    <row r="74" spans="1:65" x14ac:dyDescent="0.2">
      <c r="A74" s="21" t="s">
        <v>1413</v>
      </c>
      <c r="B74" s="21" t="s">
        <v>1414</v>
      </c>
      <c r="C74" s="21" t="s">
        <v>234</v>
      </c>
      <c r="D74" s="21">
        <v>153123</v>
      </c>
      <c r="E74" s="21">
        <v>153072</v>
      </c>
      <c r="F74" s="21">
        <v>165712</v>
      </c>
      <c r="G74" s="21">
        <v>183239</v>
      </c>
      <c r="H74" s="21">
        <v>194568</v>
      </c>
      <c r="I74" s="21">
        <v>187692</v>
      </c>
      <c r="J74" s="21">
        <v>199769</v>
      </c>
      <c r="K74" s="21">
        <v>198788</v>
      </c>
      <c r="L74" s="21">
        <v>238973</v>
      </c>
      <c r="M74" s="21">
        <v>257252</v>
      </c>
      <c r="N74" s="21">
        <v>269343</v>
      </c>
      <c r="O74" s="21">
        <v>291943</v>
      </c>
      <c r="P74" s="21">
        <v>333239</v>
      </c>
      <c r="Q74" s="21">
        <v>381463</v>
      </c>
      <c r="R74" s="21">
        <v>378085</v>
      </c>
      <c r="S74" s="21">
        <v>364122</v>
      </c>
      <c r="T74" s="21">
        <v>392824</v>
      </c>
      <c r="U74" s="21">
        <v>427248</v>
      </c>
      <c r="V74" s="21">
        <v>459973</v>
      </c>
      <c r="W74" s="21">
        <v>498739</v>
      </c>
      <c r="X74" s="21">
        <v>479800</v>
      </c>
      <c r="Y74" s="21">
        <v>498085</v>
      </c>
      <c r="Z74" s="21">
        <v>478886</v>
      </c>
      <c r="AA74" s="21">
        <v>498780</v>
      </c>
      <c r="AB74" s="21">
        <v>506066</v>
      </c>
      <c r="AC74" s="21">
        <v>544219</v>
      </c>
      <c r="AD74" s="21">
        <v>552431</v>
      </c>
      <c r="AE74" s="21">
        <v>572454</v>
      </c>
      <c r="AF74" s="21">
        <v>622510</v>
      </c>
      <c r="AG74" s="21">
        <v>632876</v>
      </c>
      <c r="AH74" s="21">
        <v>628521</v>
      </c>
      <c r="AI74" s="21">
        <v>618132</v>
      </c>
      <c r="AJ74" s="21">
        <v>632431</v>
      </c>
      <c r="AK74" s="21">
        <v>651643</v>
      </c>
      <c r="AL74" s="21">
        <v>692189</v>
      </c>
      <c r="AM74" s="21">
        <v>720169</v>
      </c>
      <c r="AN74" s="21">
        <v>767267</v>
      </c>
      <c r="AO74" s="21">
        <v>802106</v>
      </c>
      <c r="AP74" s="21">
        <v>826014</v>
      </c>
      <c r="AQ74" s="21">
        <v>858546</v>
      </c>
      <c r="AR74" s="21">
        <v>886615</v>
      </c>
      <c r="AS74" s="21">
        <v>908447</v>
      </c>
      <c r="AT74" s="21">
        <v>925731</v>
      </c>
      <c r="AU74" s="21">
        <v>959608</v>
      </c>
      <c r="AV74" s="21">
        <v>1018401</v>
      </c>
      <c r="AW74" s="21">
        <v>1043015</v>
      </c>
      <c r="AX74" s="21">
        <v>1101157</v>
      </c>
      <c r="AY74" s="21">
        <v>1108475</v>
      </c>
      <c r="AZ74" s="21">
        <v>1002098</v>
      </c>
      <c r="BA74" s="21">
        <v>958593</v>
      </c>
      <c r="BB74" s="21">
        <v>1008835</v>
      </c>
      <c r="BC74" s="21">
        <v>1039806</v>
      </c>
      <c r="BD74" s="21">
        <v>995024</v>
      </c>
      <c r="BE74" s="21">
        <v>1023488</v>
      </c>
      <c r="BF74" s="21">
        <v>1068654</v>
      </c>
      <c r="BG74" s="21">
        <v>1085567</v>
      </c>
      <c r="BH74" s="21">
        <v>1077338</v>
      </c>
      <c r="BI74" s="21">
        <v>1086131</v>
      </c>
      <c r="BJ74" s="21">
        <v>1138168</v>
      </c>
      <c r="BK74" s="21">
        <v>1141216</v>
      </c>
      <c r="BL74" s="21">
        <v>1074160</v>
      </c>
      <c r="BM74" s="21">
        <v>1094806</v>
      </c>
    </row>
    <row r="75" spans="1:65" x14ac:dyDescent="0.2">
      <c r="A75" s="21" t="s">
        <v>1413</v>
      </c>
      <c r="B75" s="21" t="s">
        <v>1414</v>
      </c>
      <c r="C75" s="21" t="s">
        <v>239</v>
      </c>
      <c r="D75" s="21">
        <v>493587</v>
      </c>
      <c r="E75" s="21">
        <v>504339</v>
      </c>
      <c r="F75" s="21">
        <v>525940</v>
      </c>
      <c r="G75" s="21">
        <v>523210</v>
      </c>
      <c r="H75" s="21">
        <v>509194</v>
      </c>
      <c r="I75" s="21">
        <v>534451</v>
      </c>
      <c r="J75" s="21">
        <v>528905</v>
      </c>
      <c r="K75" s="21">
        <v>552321</v>
      </c>
      <c r="L75" s="21">
        <v>573682</v>
      </c>
      <c r="M75" s="21">
        <v>573017</v>
      </c>
      <c r="N75" s="21">
        <v>587490</v>
      </c>
      <c r="O75" s="21">
        <v>594711</v>
      </c>
      <c r="P75" s="21">
        <v>631688</v>
      </c>
      <c r="Q75" s="21">
        <v>643586</v>
      </c>
      <c r="R75" s="21">
        <v>595633</v>
      </c>
      <c r="S75" s="21">
        <v>586643</v>
      </c>
      <c r="T75" s="21">
        <v>655903</v>
      </c>
      <c r="U75" s="21">
        <v>676089</v>
      </c>
      <c r="V75" s="21">
        <v>665642</v>
      </c>
      <c r="W75" s="21">
        <v>583512</v>
      </c>
      <c r="X75" s="21">
        <v>517728</v>
      </c>
      <c r="Y75" s="21">
        <v>457123</v>
      </c>
      <c r="Z75" s="21">
        <v>439656</v>
      </c>
      <c r="AA75" s="21">
        <v>651465</v>
      </c>
      <c r="AB75" s="21">
        <v>735168</v>
      </c>
      <c r="AC75" s="21">
        <v>630887</v>
      </c>
      <c r="AD75" s="21">
        <v>623384</v>
      </c>
      <c r="AE75" s="21">
        <v>607483</v>
      </c>
      <c r="AF75" s="21">
        <v>599889</v>
      </c>
      <c r="AG75" s="21">
        <v>573707</v>
      </c>
      <c r="AH75" s="21">
        <v>535830</v>
      </c>
      <c r="AI75" s="21">
        <v>517367</v>
      </c>
      <c r="AJ75" s="21">
        <v>506666</v>
      </c>
      <c r="AK75" s="21">
        <v>493037</v>
      </c>
      <c r="AL75" s="21">
        <v>500513</v>
      </c>
      <c r="AM75" s="21">
        <v>478472</v>
      </c>
      <c r="AN75" s="21">
        <v>482505</v>
      </c>
      <c r="AO75" s="21">
        <v>443434</v>
      </c>
      <c r="AP75" s="21">
        <v>428401</v>
      </c>
      <c r="AQ75" s="21">
        <v>437988</v>
      </c>
      <c r="AR75" s="21">
        <v>490457</v>
      </c>
      <c r="AS75" s="21">
        <v>507839</v>
      </c>
      <c r="AT75" s="21">
        <v>443627</v>
      </c>
      <c r="AU75" s="21">
        <v>495513</v>
      </c>
      <c r="AV75" s="21">
        <v>469753</v>
      </c>
      <c r="AW75" s="21">
        <v>446955</v>
      </c>
      <c r="AX75" s="21">
        <v>399722</v>
      </c>
      <c r="AY75" s="21">
        <v>381217</v>
      </c>
      <c r="AZ75" s="21">
        <v>383906</v>
      </c>
      <c r="BA75" s="21">
        <v>394846</v>
      </c>
      <c r="BB75" s="21">
        <v>390983</v>
      </c>
      <c r="BC75" s="21">
        <v>391040</v>
      </c>
      <c r="BD75" s="21">
        <v>354730</v>
      </c>
      <c r="BE75" s="21">
        <v>342887</v>
      </c>
      <c r="BF75" s="21">
        <v>355908</v>
      </c>
      <c r="BG75" s="21">
        <v>359337</v>
      </c>
      <c r="BH75" s="21">
        <v>325260</v>
      </c>
      <c r="BI75" s="21">
        <v>321865</v>
      </c>
      <c r="BJ75" s="21">
        <v>322330</v>
      </c>
      <c r="BK75" s="21">
        <v>326551</v>
      </c>
      <c r="BL75" s="21">
        <v>275626</v>
      </c>
      <c r="BM75" s="21">
        <v>328030</v>
      </c>
    </row>
    <row r="76" spans="1:65" x14ac:dyDescent="0.2">
      <c r="A76" s="21" t="s">
        <v>1413</v>
      </c>
      <c r="B76" s="21" t="s">
        <v>1414</v>
      </c>
      <c r="C76" s="21" t="s">
        <v>243</v>
      </c>
      <c r="D76" s="21">
        <v>84736</v>
      </c>
      <c r="E76" s="21">
        <v>86582</v>
      </c>
      <c r="F76" s="21">
        <v>90290</v>
      </c>
      <c r="G76" s="21">
        <v>89821</v>
      </c>
      <c r="H76" s="21">
        <v>87415</v>
      </c>
      <c r="I76" s="21">
        <v>91751</v>
      </c>
      <c r="J76" s="21">
        <v>90799</v>
      </c>
      <c r="K76" s="21">
        <v>94819</v>
      </c>
      <c r="L76" s="21">
        <v>98486</v>
      </c>
      <c r="M76" s="21">
        <v>98372</v>
      </c>
      <c r="N76" s="21">
        <v>100857</v>
      </c>
      <c r="O76" s="21">
        <v>102096</v>
      </c>
      <c r="P76" s="21">
        <v>108444</v>
      </c>
      <c r="Q76" s="21">
        <v>110487</v>
      </c>
      <c r="R76" s="21">
        <v>102255</v>
      </c>
      <c r="S76" s="21">
        <v>100711</v>
      </c>
      <c r="T76" s="21">
        <v>112601</v>
      </c>
      <c r="U76" s="21">
        <v>116067</v>
      </c>
      <c r="V76" s="21">
        <v>114273</v>
      </c>
      <c r="W76" s="21">
        <v>100174</v>
      </c>
      <c r="X76" s="21">
        <v>88880</v>
      </c>
      <c r="Y76" s="21">
        <v>78476</v>
      </c>
      <c r="Z76" s="21">
        <v>75477</v>
      </c>
      <c r="AA76" s="21">
        <v>111839</v>
      </c>
      <c r="AB76" s="21">
        <v>126209</v>
      </c>
      <c r="AC76" s="21">
        <v>108307</v>
      </c>
      <c r="AD76" s="21">
        <v>107019</v>
      </c>
      <c r="AE76" s="21">
        <v>104289</v>
      </c>
      <c r="AF76" s="21">
        <v>102985</v>
      </c>
      <c r="AG76" s="21">
        <v>98491</v>
      </c>
      <c r="AH76" s="21">
        <v>91988</v>
      </c>
      <c r="AI76" s="21">
        <v>88818</v>
      </c>
      <c r="AJ76" s="21">
        <v>86981</v>
      </c>
      <c r="AK76" s="21">
        <v>84641</v>
      </c>
      <c r="AL76" s="21">
        <v>85999</v>
      </c>
      <c r="AM76" s="21">
        <v>82212</v>
      </c>
      <c r="AN76" s="21">
        <v>82905</v>
      </c>
      <c r="AO76" s="21">
        <v>76191</v>
      </c>
      <c r="AP76" s="21">
        <v>73621</v>
      </c>
      <c r="AQ76" s="21">
        <v>75269</v>
      </c>
      <c r="AR76" s="21">
        <v>84285</v>
      </c>
      <c r="AS76" s="21">
        <v>87273</v>
      </c>
      <c r="AT76" s="21">
        <v>76238</v>
      </c>
      <c r="AU76" s="21">
        <v>85154</v>
      </c>
      <c r="AV76" s="21">
        <v>80741</v>
      </c>
      <c r="AW76" s="21">
        <v>76823</v>
      </c>
      <c r="AX76" s="21">
        <v>68882</v>
      </c>
      <c r="AY76" s="21">
        <v>65909</v>
      </c>
      <c r="AZ76" s="21">
        <v>66420</v>
      </c>
      <c r="BA76" s="21">
        <v>68348</v>
      </c>
      <c r="BB76" s="21">
        <v>67703</v>
      </c>
      <c r="BC76" s="21">
        <v>67771</v>
      </c>
      <c r="BD76" s="21">
        <v>61510</v>
      </c>
      <c r="BE76" s="21">
        <v>59498</v>
      </c>
      <c r="BF76" s="21">
        <v>61757</v>
      </c>
      <c r="BG76" s="21">
        <v>62363</v>
      </c>
      <c r="BH76" s="21">
        <v>56498</v>
      </c>
      <c r="BI76" s="21">
        <v>55908</v>
      </c>
      <c r="BJ76" s="21">
        <v>55970</v>
      </c>
      <c r="BK76" s="21">
        <v>56703</v>
      </c>
      <c r="BL76" s="21">
        <v>47885</v>
      </c>
      <c r="BM76" s="21">
        <v>56910</v>
      </c>
    </row>
    <row r="77" spans="1:65" x14ac:dyDescent="0.2">
      <c r="A77" s="21" t="s">
        <v>1413</v>
      </c>
      <c r="B77" s="21" t="s">
        <v>1414</v>
      </c>
      <c r="C77" s="21" t="s">
        <v>246</v>
      </c>
      <c r="D77" s="21">
        <v>22273</v>
      </c>
      <c r="E77" s="21">
        <v>21599</v>
      </c>
      <c r="F77" s="21">
        <v>22775</v>
      </c>
      <c r="G77" s="21">
        <v>24658</v>
      </c>
      <c r="H77" s="21">
        <v>25107</v>
      </c>
      <c r="I77" s="21">
        <v>28707</v>
      </c>
      <c r="J77" s="21">
        <v>36759</v>
      </c>
      <c r="K77" s="21">
        <v>43062</v>
      </c>
      <c r="L77" s="21">
        <v>57261</v>
      </c>
      <c r="M77" s="21">
        <v>87149</v>
      </c>
      <c r="N77" s="21">
        <v>140518</v>
      </c>
      <c r="O77" s="21">
        <v>199701</v>
      </c>
      <c r="P77" s="21">
        <v>260049</v>
      </c>
      <c r="Q77" s="21">
        <v>237131</v>
      </c>
      <c r="R77" s="21">
        <v>279354</v>
      </c>
      <c r="S77" s="21">
        <v>208133</v>
      </c>
      <c r="T77" s="21">
        <v>219075</v>
      </c>
      <c r="U77" s="21">
        <v>247432</v>
      </c>
      <c r="V77" s="21">
        <v>250558</v>
      </c>
      <c r="W77" s="21">
        <v>160299</v>
      </c>
      <c r="X77" s="21">
        <v>157890</v>
      </c>
      <c r="Y77" s="21">
        <v>120012</v>
      </c>
      <c r="Z77" s="21">
        <v>86791</v>
      </c>
      <c r="AA77" s="21">
        <v>96184</v>
      </c>
      <c r="AB77" s="21">
        <v>88483</v>
      </c>
      <c r="AC77" s="21">
        <v>85247</v>
      </c>
      <c r="AD77" s="21">
        <v>83448</v>
      </c>
      <c r="AE77" s="21">
        <v>89512</v>
      </c>
      <c r="AF77" s="21">
        <v>109329</v>
      </c>
      <c r="AG77" s="21">
        <v>152356</v>
      </c>
      <c r="AH77" s="21">
        <v>96504</v>
      </c>
      <c r="AI77" s="21">
        <v>83640</v>
      </c>
      <c r="AJ77" s="21">
        <v>73531</v>
      </c>
      <c r="AK77" s="21">
        <v>86496</v>
      </c>
      <c r="AL77" s="21">
        <v>119963</v>
      </c>
      <c r="AM77" s="21">
        <v>107976</v>
      </c>
      <c r="AN77" s="21">
        <v>109300</v>
      </c>
      <c r="AO77" s="21">
        <v>110514</v>
      </c>
      <c r="AP77" s="21">
        <v>135581</v>
      </c>
      <c r="AQ77" s="21">
        <v>139992</v>
      </c>
      <c r="AR77" s="21">
        <v>174665</v>
      </c>
      <c r="AS77" s="21">
        <v>170347</v>
      </c>
      <c r="AT77" s="21">
        <v>127298</v>
      </c>
      <c r="AU77" s="21">
        <v>160789</v>
      </c>
      <c r="AV77" s="21">
        <v>111164</v>
      </c>
      <c r="AW77" s="21">
        <v>114470</v>
      </c>
      <c r="AX77" s="21">
        <v>73388</v>
      </c>
      <c r="AY77" s="21">
        <v>88650</v>
      </c>
      <c r="AZ77" s="21">
        <v>72524</v>
      </c>
      <c r="BA77" s="21">
        <v>69526</v>
      </c>
      <c r="BB77" s="21">
        <v>79637</v>
      </c>
      <c r="BC77" s="21">
        <v>63589</v>
      </c>
      <c r="BD77" s="21">
        <v>52367</v>
      </c>
      <c r="BE77" s="21">
        <v>55314</v>
      </c>
      <c r="BF77" s="21">
        <v>82034</v>
      </c>
      <c r="BG77" s="21">
        <v>70254</v>
      </c>
      <c r="BH77" s="21">
        <v>54750</v>
      </c>
      <c r="BI77" s="21">
        <v>54583</v>
      </c>
      <c r="BJ77" s="21">
        <v>80435</v>
      </c>
      <c r="BK77" s="21">
        <v>53767</v>
      </c>
      <c r="BL77" s="21">
        <v>44167</v>
      </c>
      <c r="BM77" s="21">
        <v>59712</v>
      </c>
    </row>
    <row r="78" spans="1:65" x14ac:dyDescent="0.2">
      <c r="A78" s="21" t="s">
        <v>1413</v>
      </c>
      <c r="B78" s="21" t="s">
        <v>1414</v>
      </c>
      <c r="C78" s="21" t="s">
        <v>250</v>
      </c>
      <c r="D78" s="21">
        <v>3824</v>
      </c>
      <c r="E78" s="21">
        <v>3708</v>
      </c>
      <c r="F78" s="21">
        <v>3910</v>
      </c>
      <c r="G78" s="21">
        <v>4233</v>
      </c>
      <c r="H78" s="21">
        <v>4310</v>
      </c>
      <c r="I78" s="21">
        <v>4928</v>
      </c>
      <c r="J78" s="21">
        <v>6311</v>
      </c>
      <c r="K78" s="21">
        <v>7393</v>
      </c>
      <c r="L78" s="21">
        <v>9830</v>
      </c>
      <c r="M78" s="21">
        <v>14961</v>
      </c>
      <c r="N78" s="21">
        <v>24123</v>
      </c>
      <c r="O78" s="21">
        <v>34283</v>
      </c>
      <c r="P78" s="21">
        <v>44644</v>
      </c>
      <c r="Q78" s="21">
        <v>40709</v>
      </c>
      <c r="R78" s="21">
        <v>47958</v>
      </c>
      <c r="S78" s="21">
        <v>35731</v>
      </c>
      <c r="T78" s="21">
        <v>37609</v>
      </c>
      <c r="U78" s="21">
        <v>42478</v>
      </c>
      <c r="V78" s="21">
        <v>43014</v>
      </c>
      <c r="W78" s="21">
        <v>27519</v>
      </c>
      <c r="X78" s="21">
        <v>27105</v>
      </c>
      <c r="Y78" s="21">
        <v>20603</v>
      </c>
      <c r="Z78" s="21">
        <v>14900</v>
      </c>
      <c r="AA78" s="21">
        <v>16512</v>
      </c>
      <c r="AB78" s="21">
        <v>15190</v>
      </c>
      <c r="AC78" s="21">
        <v>14635</v>
      </c>
      <c r="AD78" s="21">
        <v>14326</v>
      </c>
      <c r="AE78" s="21">
        <v>15367</v>
      </c>
      <c r="AF78" s="21">
        <v>18769</v>
      </c>
      <c r="AG78" s="21">
        <v>26156</v>
      </c>
      <c r="AH78" s="21">
        <v>16567</v>
      </c>
      <c r="AI78" s="21">
        <v>14359</v>
      </c>
      <c r="AJ78" s="21">
        <v>12623</v>
      </c>
      <c r="AK78" s="21">
        <v>14849</v>
      </c>
      <c r="AL78" s="21">
        <v>20612</v>
      </c>
      <c r="AM78" s="21">
        <v>18553</v>
      </c>
      <c r="AN78" s="21">
        <v>18780</v>
      </c>
      <c r="AO78" s="21">
        <v>18989</v>
      </c>
      <c r="AP78" s="21">
        <v>23300</v>
      </c>
      <c r="AQ78" s="21">
        <v>24058</v>
      </c>
      <c r="AR78" s="21">
        <v>30016</v>
      </c>
      <c r="AS78" s="21">
        <v>29274</v>
      </c>
      <c r="AT78" s="21">
        <v>21876</v>
      </c>
      <c r="AU78" s="21">
        <v>27632</v>
      </c>
      <c r="AV78" s="21">
        <v>19107</v>
      </c>
      <c r="AW78" s="21">
        <v>19675</v>
      </c>
      <c r="AX78" s="21">
        <v>12646</v>
      </c>
      <c r="AY78" s="21">
        <v>15327</v>
      </c>
      <c r="AZ78" s="21">
        <v>12547</v>
      </c>
      <c r="BA78" s="21">
        <v>12035</v>
      </c>
      <c r="BB78" s="21">
        <v>13790</v>
      </c>
      <c r="BC78" s="21">
        <v>11021</v>
      </c>
      <c r="BD78" s="21">
        <v>9080</v>
      </c>
      <c r="BE78" s="21">
        <v>9598</v>
      </c>
      <c r="BF78" s="21">
        <v>14235</v>
      </c>
      <c r="BG78" s="21">
        <v>12193</v>
      </c>
      <c r="BH78" s="21">
        <v>9510</v>
      </c>
      <c r="BI78" s="21">
        <v>9481</v>
      </c>
      <c r="BJ78" s="21">
        <v>13967</v>
      </c>
      <c r="BK78" s="21">
        <v>9336</v>
      </c>
      <c r="BL78" s="21">
        <v>7673</v>
      </c>
      <c r="BM78" s="21">
        <v>10360</v>
      </c>
    </row>
    <row r="79" spans="1:65" x14ac:dyDescent="0.2">
      <c r="A79" s="21" t="s">
        <v>1413</v>
      </c>
      <c r="B79" s="21" t="s">
        <v>1414</v>
      </c>
      <c r="C79" s="21" t="s">
        <v>253</v>
      </c>
      <c r="D79" s="21">
        <v>1015690</v>
      </c>
      <c r="E79" s="21">
        <v>1017509</v>
      </c>
      <c r="F79" s="21">
        <v>1064445</v>
      </c>
      <c r="G79" s="21">
        <v>1054528</v>
      </c>
      <c r="H79" s="21">
        <v>1071086</v>
      </c>
      <c r="I79" s="21">
        <v>1150131</v>
      </c>
      <c r="J79" s="21">
        <v>1222888</v>
      </c>
      <c r="K79" s="21">
        <v>1234048</v>
      </c>
      <c r="L79" s="21">
        <v>1224129</v>
      </c>
      <c r="M79" s="21">
        <v>1246936</v>
      </c>
      <c r="N79" s="21">
        <v>1226166</v>
      </c>
      <c r="O79" s="21">
        <v>1266412</v>
      </c>
      <c r="P79" s="21">
        <v>1380962</v>
      </c>
      <c r="Q79" s="21">
        <v>1468671</v>
      </c>
      <c r="R79" s="21">
        <v>1346081</v>
      </c>
      <c r="S79" s="21">
        <v>1338963</v>
      </c>
      <c r="T79" s="21">
        <v>1529658</v>
      </c>
      <c r="U79" s="21">
        <v>1719435</v>
      </c>
      <c r="V79" s="21">
        <v>1749891</v>
      </c>
      <c r="W79" s="21">
        <v>1764272</v>
      </c>
      <c r="X79" s="21">
        <v>1323712</v>
      </c>
      <c r="Y79" s="21">
        <v>1388569</v>
      </c>
      <c r="Z79" s="21">
        <v>1312782</v>
      </c>
      <c r="AA79" s="21">
        <v>1142275</v>
      </c>
      <c r="AB79" s="21">
        <v>1203008</v>
      </c>
      <c r="AC79" s="21">
        <v>1119180</v>
      </c>
      <c r="AD79" s="21">
        <v>1160104</v>
      </c>
      <c r="AE79" s="21">
        <v>1141196</v>
      </c>
      <c r="AF79" s="21">
        <v>1129714</v>
      </c>
      <c r="AG79" s="21">
        <v>1139059</v>
      </c>
      <c r="AH79" s="21">
        <v>1150484</v>
      </c>
      <c r="AI79" s="21">
        <v>1077931</v>
      </c>
      <c r="AJ79" s="21">
        <v>1107068</v>
      </c>
      <c r="AK79" s="21">
        <v>1116843</v>
      </c>
      <c r="AL79" s="21">
        <v>1109550</v>
      </c>
      <c r="AM79" s="21">
        <v>1130029</v>
      </c>
      <c r="AN79" s="21">
        <v>1185859</v>
      </c>
      <c r="AO79" s="21">
        <v>1202020</v>
      </c>
      <c r="AP79" s="21">
        <v>1210213</v>
      </c>
      <c r="AQ79" s="21">
        <v>1185928</v>
      </c>
      <c r="AR79" s="21">
        <v>1199109</v>
      </c>
      <c r="AS79" s="21">
        <v>1298523</v>
      </c>
      <c r="AT79" s="21">
        <v>1203078</v>
      </c>
      <c r="AU79" s="21">
        <v>1169461</v>
      </c>
      <c r="AV79" s="21">
        <v>1212961</v>
      </c>
      <c r="AW79" s="21">
        <v>1262041</v>
      </c>
      <c r="AX79" s="21">
        <v>1258083</v>
      </c>
      <c r="AY79" s="21">
        <v>1255986</v>
      </c>
      <c r="AZ79" s="21">
        <v>1348101</v>
      </c>
      <c r="BA79" s="21">
        <v>1072570</v>
      </c>
      <c r="BB79" s="21">
        <v>1152735</v>
      </c>
      <c r="BC79" s="21">
        <v>1234723</v>
      </c>
      <c r="BD79" s="21">
        <v>1269939</v>
      </c>
      <c r="BE79" s="21">
        <v>1263985</v>
      </c>
      <c r="BF79" s="21">
        <v>1363666</v>
      </c>
      <c r="BG79" s="21">
        <v>1167604</v>
      </c>
      <c r="BH79" s="21">
        <v>1153827</v>
      </c>
      <c r="BI79" s="21">
        <v>1202168</v>
      </c>
      <c r="BJ79" s="21">
        <v>1250777</v>
      </c>
      <c r="BK79" s="21">
        <v>1203423</v>
      </c>
      <c r="BL79" s="21">
        <v>1065466</v>
      </c>
      <c r="BM79" s="21">
        <v>1185035</v>
      </c>
    </row>
    <row r="80" spans="1:65" x14ac:dyDescent="0.2">
      <c r="A80" s="21" t="s">
        <v>1413</v>
      </c>
      <c r="B80" s="21" t="s">
        <v>1414</v>
      </c>
      <c r="C80" s="21" t="s">
        <v>257</v>
      </c>
      <c r="D80" s="21">
        <v>174367</v>
      </c>
      <c r="E80" s="21">
        <v>174680</v>
      </c>
      <c r="F80" s="21">
        <v>182737</v>
      </c>
      <c r="G80" s="21">
        <v>181035</v>
      </c>
      <c r="H80" s="21">
        <v>183877</v>
      </c>
      <c r="I80" s="21">
        <v>197447</v>
      </c>
      <c r="J80" s="21">
        <v>209938</v>
      </c>
      <c r="K80" s="21">
        <v>211854</v>
      </c>
      <c r="L80" s="21">
        <v>210151</v>
      </c>
      <c r="M80" s="21">
        <v>214066</v>
      </c>
      <c r="N80" s="21">
        <v>210501</v>
      </c>
      <c r="O80" s="21">
        <v>217410</v>
      </c>
      <c r="P80" s="21">
        <v>237075</v>
      </c>
      <c r="Q80" s="21">
        <v>252132</v>
      </c>
      <c r="R80" s="21">
        <v>231087</v>
      </c>
      <c r="S80" s="21">
        <v>229865</v>
      </c>
      <c r="T80" s="21">
        <v>262602</v>
      </c>
      <c r="U80" s="21">
        <v>295182</v>
      </c>
      <c r="V80" s="21">
        <v>300410</v>
      </c>
      <c r="W80" s="21">
        <v>302879</v>
      </c>
      <c r="X80" s="21">
        <v>227247</v>
      </c>
      <c r="Y80" s="21">
        <v>238381</v>
      </c>
      <c r="Z80" s="21">
        <v>225370</v>
      </c>
      <c r="AA80" s="21">
        <v>196099</v>
      </c>
      <c r="AB80" s="21">
        <v>206525</v>
      </c>
      <c r="AC80" s="21">
        <v>192134</v>
      </c>
      <c r="AD80" s="21">
        <v>199160</v>
      </c>
      <c r="AE80" s="21">
        <v>195913</v>
      </c>
      <c r="AF80" s="21">
        <v>193942</v>
      </c>
      <c r="AG80" s="21">
        <v>195547</v>
      </c>
      <c r="AH80" s="21">
        <v>197508</v>
      </c>
      <c r="AI80" s="21">
        <v>185052</v>
      </c>
      <c r="AJ80" s="21">
        <v>190055</v>
      </c>
      <c r="AK80" s="21">
        <v>191733</v>
      </c>
      <c r="AL80" s="21">
        <v>190644</v>
      </c>
      <c r="AM80" s="21">
        <v>194163</v>
      </c>
      <c r="AN80" s="21">
        <v>203756</v>
      </c>
      <c r="AO80" s="21">
        <v>206533</v>
      </c>
      <c r="AP80" s="21">
        <v>207976</v>
      </c>
      <c r="AQ80" s="21">
        <v>203803</v>
      </c>
      <c r="AR80" s="21">
        <v>206068</v>
      </c>
      <c r="AS80" s="21">
        <v>223152</v>
      </c>
      <c r="AT80" s="21">
        <v>206750</v>
      </c>
      <c r="AU80" s="21">
        <v>200973</v>
      </c>
      <c r="AV80" s="21">
        <v>208484</v>
      </c>
      <c r="AW80" s="21">
        <v>216920</v>
      </c>
      <c r="AX80" s="21">
        <v>216799</v>
      </c>
      <c r="AY80" s="21">
        <v>217148</v>
      </c>
      <c r="AZ80" s="21">
        <v>233235</v>
      </c>
      <c r="BA80" s="21">
        <v>185662</v>
      </c>
      <c r="BB80" s="21">
        <v>199608</v>
      </c>
      <c r="BC80" s="21">
        <v>213990</v>
      </c>
      <c r="BD80" s="21">
        <v>220208</v>
      </c>
      <c r="BE80" s="21">
        <v>219328</v>
      </c>
      <c r="BF80" s="21">
        <v>236624</v>
      </c>
      <c r="BG80" s="21">
        <v>202639</v>
      </c>
      <c r="BH80" s="21">
        <v>200422</v>
      </c>
      <c r="BI80" s="21">
        <v>208819</v>
      </c>
      <c r="BJ80" s="21">
        <v>217186</v>
      </c>
      <c r="BK80" s="21">
        <v>208964</v>
      </c>
      <c r="BL80" s="21">
        <v>185105</v>
      </c>
      <c r="BM80" s="21">
        <v>205592</v>
      </c>
    </row>
    <row r="81" spans="1:65" x14ac:dyDescent="0.2">
      <c r="A81" s="21" t="s">
        <v>1413</v>
      </c>
      <c r="B81" s="21" t="s">
        <v>1414</v>
      </c>
      <c r="C81" s="21" t="s">
        <v>262</v>
      </c>
      <c r="D81" s="21">
        <v>1568195</v>
      </c>
      <c r="E81" s="21">
        <v>1609532</v>
      </c>
      <c r="F81" s="21">
        <v>1687826</v>
      </c>
      <c r="G81" s="21">
        <v>1682994</v>
      </c>
      <c r="H81" s="21">
        <v>1632474</v>
      </c>
      <c r="I81" s="21">
        <v>1712526</v>
      </c>
      <c r="J81" s="21">
        <v>1692532</v>
      </c>
      <c r="K81" s="21">
        <v>1778353</v>
      </c>
      <c r="L81" s="21">
        <v>1847103</v>
      </c>
      <c r="M81" s="21">
        <v>1838429</v>
      </c>
      <c r="N81" s="21">
        <v>1877906</v>
      </c>
      <c r="O81" s="21">
        <v>1896526</v>
      </c>
      <c r="P81" s="21">
        <v>1996276</v>
      </c>
      <c r="Q81" s="21">
        <v>2003349</v>
      </c>
      <c r="R81" s="21">
        <v>1843797</v>
      </c>
      <c r="S81" s="21">
        <v>1806575</v>
      </c>
      <c r="T81" s="21">
        <v>1986664</v>
      </c>
      <c r="U81" s="21">
        <v>1994213</v>
      </c>
      <c r="V81" s="21">
        <v>1950706</v>
      </c>
      <c r="W81" s="21">
        <v>1626015</v>
      </c>
      <c r="X81" s="21">
        <v>1316116</v>
      </c>
      <c r="Y81" s="21">
        <v>1147122</v>
      </c>
      <c r="Z81" s="21">
        <v>1049844</v>
      </c>
      <c r="AA81" s="21">
        <v>924410</v>
      </c>
      <c r="AB81" s="21">
        <v>1090599</v>
      </c>
      <c r="AC81" s="21">
        <v>1092379</v>
      </c>
      <c r="AD81" s="21">
        <v>1111446</v>
      </c>
      <c r="AE81" s="21">
        <v>1155620</v>
      </c>
      <c r="AF81" s="21">
        <v>1190069</v>
      </c>
      <c r="AG81" s="21">
        <v>1160079</v>
      </c>
      <c r="AH81" s="21">
        <v>978128</v>
      </c>
      <c r="AI81" s="21">
        <v>930367</v>
      </c>
      <c r="AJ81" s="21">
        <v>979662</v>
      </c>
      <c r="AK81" s="21">
        <v>973803</v>
      </c>
      <c r="AL81" s="21">
        <v>958978</v>
      </c>
      <c r="AM81" s="21">
        <v>903979</v>
      </c>
      <c r="AN81" s="21">
        <v>925213</v>
      </c>
      <c r="AO81" s="21">
        <v>873693</v>
      </c>
      <c r="AP81" s="21">
        <v>771112</v>
      </c>
      <c r="AQ81" s="21">
        <v>826903</v>
      </c>
      <c r="AR81" s="21">
        <v>903867</v>
      </c>
      <c r="AS81" s="21">
        <v>907389</v>
      </c>
      <c r="AT81" s="21">
        <v>858949</v>
      </c>
      <c r="AU81" s="21">
        <v>931078</v>
      </c>
      <c r="AV81" s="21">
        <v>922678</v>
      </c>
      <c r="AW81" s="21">
        <v>853158</v>
      </c>
      <c r="AX81" s="21">
        <v>709397</v>
      </c>
      <c r="AY81" s="21">
        <v>720971</v>
      </c>
      <c r="AZ81" s="21">
        <v>749804</v>
      </c>
      <c r="BA81" s="21">
        <v>581780</v>
      </c>
      <c r="BB81" s="21">
        <v>561211</v>
      </c>
      <c r="BC81" s="21">
        <v>522150</v>
      </c>
      <c r="BD81" s="21">
        <v>481746</v>
      </c>
      <c r="BE81" s="21">
        <v>490509</v>
      </c>
      <c r="BF81" s="21">
        <v>532068</v>
      </c>
      <c r="BG81" s="21">
        <v>550275</v>
      </c>
      <c r="BH81" s="21">
        <v>433539</v>
      </c>
      <c r="BI81" s="21">
        <v>431255</v>
      </c>
      <c r="BJ81" s="21">
        <v>506421</v>
      </c>
      <c r="BK81" s="21">
        <v>469604</v>
      </c>
      <c r="BL81" s="21">
        <v>407335</v>
      </c>
      <c r="BM81" s="21">
        <v>473450</v>
      </c>
    </row>
    <row r="82" spans="1:65" x14ac:dyDescent="0.2">
      <c r="A82" s="21" t="s">
        <v>1413</v>
      </c>
      <c r="B82" s="21" t="s">
        <v>1414</v>
      </c>
      <c r="C82" s="21" t="s">
        <v>266</v>
      </c>
      <c r="D82" s="21">
        <v>269218</v>
      </c>
      <c r="E82" s="21">
        <v>276315</v>
      </c>
      <c r="F82" s="21">
        <v>289756</v>
      </c>
      <c r="G82" s="21">
        <v>288926</v>
      </c>
      <c r="H82" s="21">
        <v>280253</v>
      </c>
      <c r="I82" s="21">
        <v>293996</v>
      </c>
      <c r="J82" s="21">
        <v>290563</v>
      </c>
      <c r="K82" s="21">
        <v>305297</v>
      </c>
      <c r="L82" s="21">
        <v>317099</v>
      </c>
      <c r="M82" s="21">
        <v>315610</v>
      </c>
      <c r="N82" s="21">
        <v>322387</v>
      </c>
      <c r="O82" s="21">
        <v>325584</v>
      </c>
      <c r="P82" s="21">
        <v>342708</v>
      </c>
      <c r="Q82" s="21">
        <v>343923</v>
      </c>
      <c r="R82" s="21">
        <v>316532</v>
      </c>
      <c r="S82" s="21">
        <v>310142</v>
      </c>
      <c r="T82" s="21">
        <v>341058</v>
      </c>
      <c r="U82" s="21">
        <v>342354</v>
      </c>
      <c r="V82" s="21">
        <v>334885</v>
      </c>
      <c r="W82" s="21">
        <v>279144</v>
      </c>
      <c r="X82" s="21">
        <v>225943</v>
      </c>
      <c r="Y82" s="21">
        <v>196931</v>
      </c>
      <c r="Z82" s="21">
        <v>180231</v>
      </c>
      <c r="AA82" s="21">
        <v>158697</v>
      </c>
      <c r="AB82" s="21">
        <v>187227</v>
      </c>
      <c r="AC82" s="21">
        <v>187533</v>
      </c>
      <c r="AD82" s="21">
        <v>190806</v>
      </c>
      <c r="AE82" s="21">
        <v>198390</v>
      </c>
      <c r="AF82" s="21">
        <v>204304</v>
      </c>
      <c r="AG82" s="21">
        <v>199155</v>
      </c>
      <c r="AH82" s="21">
        <v>167919</v>
      </c>
      <c r="AI82" s="21">
        <v>159720</v>
      </c>
      <c r="AJ82" s="21">
        <v>168182</v>
      </c>
      <c r="AK82" s="21">
        <v>167176</v>
      </c>
      <c r="AL82" s="21">
        <v>164773</v>
      </c>
      <c r="AM82" s="21">
        <v>155323</v>
      </c>
      <c r="AN82" s="21">
        <v>158971</v>
      </c>
      <c r="AO82" s="21">
        <v>150119</v>
      </c>
      <c r="AP82" s="21">
        <v>132516</v>
      </c>
      <c r="AQ82" s="21">
        <v>142104</v>
      </c>
      <c r="AR82" s="21">
        <v>155330</v>
      </c>
      <c r="AS82" s="21">
        <v>155936</v>
      </c>
      <c r="AT82" s="21">
        <v>147611</v>
      </c>
      <c r="AU82" s="21">
        <v>160007</v>
      </c>
      <c r="AV82" s="21">
        <v>158590</v>
      </c>
      <c r="AW82" s="21">
        <v>146641</v>
      </c>
      <c r="AX82" s="21">
        <v>122247</v>
      </c>
      <c r="AY82" s="21">
        <v>124649</v>
      </c>
      <c r="AZ82" s="21">
        <v>129724</v>
      </c>
      <c r="BA82" s="21">
        <v>100706</v>
      </c>
      <c r="BB82" s="21">
        <v>97179</v>
      </c>
      <c r="BC82" s="21">
        <v>90494</v>
      </c>
      <c r="BD82" s="21">
        <v>83535</v>
      </c>
      <c r="BE82" s="21">
        <v>85113</v>
      </c>
      <c r="BF82" s="21">
        <v>92325</v>
      </c>
      <c r="BG82" s="21">
        <v>95501</v>
      </c>
      <c r="BH82" s="21">
        <v>75306</v>
      </c>
      <c r="BI82" s="21">
        <v>74910</v>
      </c>
      <c r="BJ82" s="21">
        <v>87936</v>
      </c>
      <c r="BK82" s="21">
        <v>81543</v>
      </c>
      <c r="BL82" s="21">
        <v>70767</v>
      </c>
      <c r="BM82" s="21">
        <v>82139</v>
      </c>
    </row>
    <row r="83" spans="1:65" x14ac:dyDescent="0.2">
      <c r="A83" s="21" t="s">
        <v>1413</v>
      </c>
      <c r="B83" s="21" t="s">
        <v>1414</v>
      </c>
      <c r="C83" s="21" t="s">
        <v>273</v>
      </c>
      <c r="D83" s="21">
        <v>3991686</v>
      </c>
      <c r="E83" s="21">
        <v>4044624</v>
      </c>
      <c r="F83" s="21">
        <v>4266259</v>
      </c>
      <c r="G83" s="21">
        <v>4352755</v>
      </c>
      <c r="H83" s="21">
        <v>4371220</v>
      </c>
      <c r="I83" s="21">
        <v>4519117</v>
      </c>
      <c r="J83" s="21">
        <v>4644739</v>
      </c>
      <c r="K83" s="21">
        <v>4765724</v>
      </c>
      <c r="L83" s="21">
        <v>5094190</v>
      </c>
      <c r="M83" s="21">
        <v>5244026</v>
      </c>
      <c r="N83" s="21">
        <v>5401004</v>
      </c>
      <c r="O83" s="21">
        <v>5657916</v>
      </c>
      <c r="P83" s="21">
        <v>6210091</v>
      </c>
      <c r="Q83" s="21">
        <v>6574759</v>
      </c>
      <c r="R83" s="21">
        <v>6267211</v>
      </c>
      <c r="S83" s="21">
        <v>6061326</v>
      </c>
      <c r="T83" s="21">
        <v>6679498</v>
      </c>
      <c r="U83" s="21">
        <v>7125886</v>
      </c>
      <c r="V83" s="21">
        <v>7296139</v>
      </c>
      <c r="W83" s="21">
        <v>7039256</v>
      </c>
      <c r="X83" s="21">
        <v>6110279</v>
      </c>
      <c r="Y83" s="21">
        <v>6014173</v>
      </c>
      <c r="Z83" s="21">
        <v>5678583</v>
      </c>
      <c r="AA83" s="21">
        <v>5719725</v>
      </c>
      <c r="AB83" s="21">
        <v>6065095</v>
      </c>
      <c r="AC83" s="21">
        <v>6097767</v>
      </c>
      <c r="AD83" s="21">
        <v>6196291</v>
      </c>
      <c r="AE83" s="21">
        <v>6328356</v>
      </c>
      <c r="AF83" s="21">
        <v>6655121</v>
      </c>
      <c r="AG83" s="21">
        <v>6711705</v>
      </c>
      <c r="AH83" s="21">
        <v>6422080</v>
      </c>
      <c r="AI83" s="21">
        <v>6209922</v>
      </c>
      <c r="AJ83" s="21">
        <v>6350840</v>
      </c>
      <c r="AK83" s="21">
        <v>6466000</v>
      </c>
      <c r="AL83" s="21">
        <v>6717543</v>
      </c>
      <c r="AM83" s="21">
        <v>6811839</v>
      </c>
      <c r="AN83" s="21">
        <v>7168372</v>
      </c>
      <c r="AO83" s="21">
        <v>7297919</v>
      </c>
      <c r="AP83" s="21">
        <v>7351882</v>
      </c>
      <c r="AQ83" s="21">
        <v>7586690</v>
      </c>
      <c r="AR83" s="21">
        <v>7927311</v>
      </c>
      <c r="AS83" s="21">
        <v>8170353</v>
      </c>
      <c r="AT83" s="21">
        <v>8019781</v>
      </c>
      <c r="AU83" s="21">
        <v>8340797</v>
      </c>
      <c r="AV83" s="21">
        <v>8641615</v>
      </c>
      <c r="AW83" s="21">
        <v>8744885</v>
      </c>
      <c r="AX83" s="21">
        <v>8830605</v>
      </c>
      <c r="AY83" s="21">
        <v>8858242</v>
      </c>
      <c r="AZ83" s="21">
        <v>8346459</v>
      </c>
      <c r="BA83" s="21">
        <v>7656512</v>
      </c>
      <c r="BB83" s="21">
        <v>8010589</v>
      </c>
      <c r="BC83" s="21">
        <v>8211183</v>
      </c>
      <c r="BD83" s="21">
        <v>7897088</v>
      </c>
      <c r="BE83" s="21">
        <v>8051055</v>
      </c>
      <c r="BF83" s="21">
        <v>8492328</v>
      </c>
      <c r="BG83" s="21">
        <v>8402506</v>
      </c>
      <c r="BH83" s="21">
        <v>8169609</v>
      </c>
      <c r="BI83" s="21">
        <v>8262728</v>
      </c>
      <c r="BJ83" s="21">
        <v>8714674</v>
      </c>
      <c r="BK83" s="21">
        <v>8625606</v>
      </c>
      <c r="BL83" s="21">
        <v>7975456</v>
      </c>
      <c r="BM83" s="21">
        <v>8356688</v>
      </c>
    </row>
    <row r="84" spans="1:65" x14ac:dyDescent="0.2">
      <c r="A84" s="21" t="s">
        <v>1413</v>
      </c>
      <c r="B84" s="21" t="s">
        <v>1414</v>
      </c>
      <c r="C84" s="21" t="s">
        <v>277</v>
      </c>
      <c r="D84" s="21">
        <v>5.8250000000000002</v>
      </c>
      <c r="E84" s="21">
        <v>5.8250000000000002</v>
      </c>
      <c r="F84" s="21">
        <v>5.8250000000000002</v>
      </c>
      <c r="G84" s="21">
        <v>5.8250000000000002</v>
      </c>
      <c r="H84" s="21">
        <v>5.8250000000000002</v>
      </c>
      <c r="I84" s="21">
        <v>5.8250000000000002</v>
      </c>
      <c r="J84" s="21">
        <v>5.8250000000000002</v>
      </c>
      <c r="K84" s="21">
        <v>5.8250000000000002</v>
      </c>
      <c r="L84" s="21">
        <v>5.8250000000000002</v>
      </c>
      <c r="M84" s="21">
        <v>5.8250000000000002</v>
      </c>
      <c r="N84" s="21">
        <v>5.8250000000000002</v>
      </c>
      <c r="O84" s="21">
        <v>5.8250000000000002</v>
      </c>
      <c r="P84" s="21">
        <v>5.8250000000000002</v>
      </c>
      <c r="Q84" s="21">
        <v>5.8250000000000002</v>
      </c>
      <c r="R84" s="21">
        <v>5.8250000000000002</v>
      </c>
      <c r="S84" s="21">
        <v>5.8250000000000002</v>
      </c>
      <c r="T84" s="21">
        <v>5.8250000000000002</v>
      </c>
      <c r="U84" s="21">
        <v>5.8250000000000002</v>
      </c>
      <c r="V84" s="21">
        <v>5.8250000000000002</v>
      </c>
      <c r="W84" s="21">
        <v>5.8250000000000002</v>
      </c>
      <c r="X84" s="21">
        <v>5.8250000000000002</v>
      </c>
      <c r="Y84" s="21">
        <v>5.8250000000000002</v>
      </c>
      <c r="Z84" s="21">
        <v>5.8250000000000002</v>
      </c>
      <c r="AA84" s="21">
        <v>5.8250000000000002</v>
      </c>
      <c r="AB84" s="21">
        <v>5.8250000000000002</v>
      </c>
      <c r="AC84" s="21">
        <v>5.8250000000000002</v>
      </c>
      <c r="AD84" s="21">
        <v>5.8250000000000002</v>
      </c>
      <c r="AE84" s="21">
        <v>5.8250000000000002</v>
      </c>
      <c r="AF84" s="21">
        <v>5.8250000000000002</v>
      </c>
      <c r="AG84" s="21">
        <v>5.8250000000000002</v>
      </c>
      <c r="AH84" s="21">
        <v>5.8250000000000002</v>
      </c>
      <c r="AI84" s="21">
        <v>5.8250000000000002</v>
      </c>
      <c r="AJ84" s="21">
        <v>5.8250000000000002</v>
      </c>
      <c r="AK84" s="21">
        <v>5.8250000000000002</v>
      </c>
      <c r="AL84" s="21">
        <v>5.82</v>
      </c>
      <c r="AM84" s="21">
        <v>5.82</v>
      </c>
      <c r="AN84" s="21">
        <v>5.82</v>
      </c>
      <c r="AO84" s="21">
        <v>5.82</v>
      </c>
      <c r="AP84" s="21">
        <v>5.819</v>
      </c>
      <c r="AQ84" s="21">
        <v>5.819</v>
      </c>
      <c r="AR84" s="21">
        <v>5.819</v>
      </c>
      <c r="AS84" s="21">
        <v>5.819</v>
      </c>
      <c r="AT84" s="21">
        <v>5.819</v>
      </c>
      <c r="AU84" s="21">
        <v>5.819</v>
      </c>
      <c r="AV84" s="21">
        <v>5.8179999999999996</v>
      </c>
      <c r="AW84" s="21">
        <v>5.8179999999999996</v>
      </c>
      <c r="AX84" s="21">
        <v>5.8029999999999999</v>
      </c>
      <c r="AY84" s="21">
        <v>5.7839999999999998</v>
      </c>
      <c r="AZ84" s="21">
        <v>5.78</v>
      </c>
      <c r="BA84" s="21">
        <v>5.7770000000000001</v>
      </c>
      <c r="BB84" s="21">
        <v>5.7750000000000004</v>
      </c>
      <c r="BC84" s="21">
        <v>5.77</v>
      </c>
      <c r="BD84" s="21">
        <v>5.7670000000000003</v>
      </c>
      <c r="BE84" s="21">
        <v>5.7629999999999999</v>
      </c>
      <c r="BF84" s="21">
        <v>5.7629999999999999</v>
      </c>
      <c r="BG84" s="21">
        <v>5.7619999999999996</v>
      </c>
      <c r="BH84" s="21">
        <v>5.7569999999999997</v>
      </c>
      <c r="BI84" s="21">
        <v>5.7569999999999997</v>
      </c>
      <c r="BJ84" s="21">
        <v>5.7590000000000003</v>
      </c>
      <c r="BK84" s="21">
        <v>5.7590000000000003</v>
      </c>
      <c r="BL84" s="21">
        <v>5.7560000000000002</v>
      </c>
      <c r="BM84" s="21">
        <v>5.7640000000000002</v>
      </c>
    </row>
    <row r="85" spans="1:65" x14ac:dyDescent="0.2">
      <c r="A85" s="21" t="s">
        <v>1413</v>
      </c>
      <c r="B85" s="21" t="s">
        <v>1414</v>
      </c>
      <c r="C85" s="21" t="s">
        <v>279</v>
      </c>
      <c r="D85" s="21">
        <v>685268</v>
      </c>
      <c r="E85" s="21">
        <v>694356</v>
      </c>
      <c r="F85" s="21">
        <v>732405</v>
      </c>
      <c r="G85" s="21">
        <v>747254</v>
      </c>
      <c r="H85" s="21">
        <v>750424</v>
      </c>
      <c r="I85" s="21">
        <v>775814</v>
      </c>
      <c r="J85" s="21">
        <v>797380</v>
      </c>
      <c r="K85" s="21">
        <v>818150</v>
      </c>
      <c r="L85" s="21">
        <v>874539</v>
      </c>
      <c r="M85" s="21">
        <v>900262</v>
      </c>
      <c r="N85" s="21">
        <v>927211</v>
      </c>
      <c r="O85" s="21">
        <v>971316</v>
      </c>
      <c r="P85" s="21">
        <v>1066110</v>
      </c>
      <c r="Q85" s="21">
        <v>1128714</v>
      </c>
      <c r="R85" s="21">
        <v>1075916</v>
      </c>
      <c r="S85" s="21">
        <v>1040571</v>
      </c>
      <c r="T85" s="21">
        <v>1146695</v>
      </c>
      <c r="U85" s="21">
        <v>1223328</v>
      </c>
      <c r="V85" s="21">
        <v>1252556</v>
      </c>
      <c r="W85" s="21">
        <v>1208456</v>
      </c>
      <c r="X85" s="21">
        <v>1048975</v>
      </c>
      <c r="Y85" s="21">
        <v>1032476</v>
      </c>
      <c r="Z85" s="21">
        <v>974864</v>
      </c>
      <c r="AA85" s="21">
        <v>981927</v>
      </c>
      <c r="AB85" s="21">
        <v>1041218</v>
      </c>
      <c r="AC85" s="21">
        <v>1046827</v>
      </c>
      <c r="AD85" s="21">
        <v>1063741</v>
      </c>
      <c r="AE85" s="21">
        <v>1086413</v>
      </c>
      <c r="AF85" s="21">
        <v>1142510</v>
      </c>
      <c r="AG85" s="21">
        <v>1152224</v>
      </c>
      <c r="AH85" s="21">
        <v>1102503</v>
      </c>
      <c r="AI85" s="21">
        <v>1066081</v>
      </c>
      <c r="AJ85" s="21">
        <v>1090273</v>
      </c>
      <c r="AK85" s="21">
        <v>1110043</v>
      </c>
      <c r="AL85" s="21">
        <v>1154217</v>
      </c>
      <c r="AM85" s="21">
        <v>1170419</v>
      </c>
      <c r="AN85" s="21">
        <v>1231679</v>
      </c>
      <c r="AO85" s="21">
        <v>1253938</v>
      </c>
      <c r="AP85" s="21">
        <v>1263427</v>
      </c>
      <c r="AQ85" s="21">
        <v>1303779</v>
      </c>
      <c r="AR85" s="21">
        <v>1362315</v>
      </c>
      <c r="AS85" s="21">
        <v>1404082</v>
      </c>
      <c r="AT85" s="21">
        <v>1378206</v>
      </c>
      <c r="AU85" s="21">
        <v>1433373</v>
      </c>
      <c r="AV85" s="21">
        <v>1485324</v>
      </c>
      <c r="AW85" s="21">
        <v>1503074</v>
      </c>
      <c r="AX85" s="21">
        <v>1521731</v>
      </c>
      <c r="AY85" s="21">
        <v>1531508</v>
      </c>
      <c r="AZ85" s="21">
        <v>1444024</v>
      </c>
      <c r="BA85" s="21">
        <v>1325344</v>
      </c>
      <c r="BB85" s="21">
        <v>1387115</v>
      </c>
      <c r="BC85" s="21">
        <v>1423082</v>
      </c>
      <c r="BD85" s="21">
        <v>1369358</v>
      </c>
      <c r="BE85" s="21">
        <v>1397025</v>
      </c>
      <c r="BF85" s="21">
        <v>1473595</v>
      </c>
      <c r="BG85" s="21">
        <v>1458262</v>
      </c>
      <c r="BH85" s="21">
        <v>1419074</v>
      </c>
      <c r="BI85" s="21">
        <v>1435249</v>
      </c>
      <c r="BJ85" s="21">
        <v>1513227</v>
      </c>
      <c r="BK85" s="21">
        <v>1497761</v>
      </c>
      <c r="BL85" s="21">
        <v>1385590</v>
      </c>
      <c r="BM85" s="21">
        <v>1449807</v>
      </c>
    </row>
    <row r="86" spans="1:65" x14ac:dyDescent="0.2">
      <c r="A86" s="21" t="s">
        <v>1413</v>
      </c>
      <c r="B86" s="21" t="s">
        <v>1414</v>
      </c>
      <c r="C86" s="21" t="s">
        <v>282</v>
      </c>
      <c r="D86" s="21">
        <v>3969413</v>
      </c>
      <c r="E86" s="21">
        <v>4023024</v>
      </c>
      <c r="F86" s="21">
        <v>4243484</v>
      </c>
      <c r="G86" s="21">
        <v>4328097</v>
      </c>
      <c r="H86" s="21">
        <v>4346113</v>
      </c>
      <c r="I86" s="21">
        <v>4490410</v>
      </c>
      <c r="J86" s="21">
        <v>4607980</v>
      </c>
      <c r="K86" s="21">
        <v>4722662</v>
      </c>
      <c r="L86" s="21">
        <v>5036929</v>
      </c>
      <c r="M86" s="21">
        <v>5156877</v>
      </c>
      <c r="N86" s="21">
        <v>5260486</v>
      </c>
      <c r="O86" s="21">
        <v>5458215</v>
      </c>
      <c r="P86" s="21">
        <v>5950042</v>
      </c>
      <c r="Q86" s="21">
        <v>6337629</v>
      </c>
      <c r="R86" s="21">
        <v>5987857</v>
      </c>
      <c r="S86" s="21">
        <v>5853193</v>
      </c>
      <c r="T86" s="21">
        <v>6460423</v>
      </c>
      <c r="U86" s="21">
        <v>6878454</v>
      </c>
      <c r="V86" s="21">
        <v>7045580</v>
      </c>
      <c r="W86" s="21">
        <v>6878957</v>
      </c>
      <c r="X86" s="21">
        <v>5952390</v>
      </c>
      <c r="Y86" s="21">
        <v>5894160</v>
      </c>
      <c r="Z86" s="21">
        <v>5591792</v>
      </c>
      <c r="AA86" s="21">
        <v>5623541</v>
      </c>
      <c r="AB86" s="21">
        <v>5976612</v>
      </c>
      <c r="AC86" s="21">
        <v>6012520</v>
      </c>
      <c r="AD86" s="21">
        <v>6112843</v>
      </c>
      <c r="AE86" s="21">
        <v>6238844</v>
      </c>
      <c r="AF86" s="21">
        <v>6545791</v>
      </c>
      <c r="AG86" s="21">
        <v>6559349</v>
      </c>
      <c r="AH86" s="21">
        <v>6325575</v>
      </c>
      <c r="AI86" s="21">
        <v>6126282</v>
      </c>
      <c r="AJ86" s="21">
        <v>6277309</v>
      </c>
      <c r="AK86" s="21">
        <v>6379504</v>
      </c>
      <c r="AL86" s="21">
        <v>6597580</v>
      </c>
      <c r="AM86" s="21">
        <v>6703863</v>
      </c>
      <c r="AN86" s="21">
        <v>7059071</v>
      </c>
      <c r="AO86" s="21">
        <v>7187405</v>
      </c>
      <c r="AP86" s="21">
        <v>7216301</v>
      </c>
      <c r="AQ86" s="21">
        <v>7446698</v>
      </c>
      <c r="AR86" s="21">
        <v>7752646</v>
      </c>
      <c r="AS86" s="21">
        <v>8000006</v>
      </c>
      <c r="AT86" s="21">
        <v>7892482</v>
      </c>
      <c r="AU86" s="21">
        <v>8180008</v>
      </c>
      <c r="AV86" s="21">
        <v>8530451</v>
      </c>
      <c r="AW86" s="21">
        <v>8630414</v>
      </c>
      <c r="AX86" s="21">
        <v>8757217</v>
      </c>
      <c r="AY86" s="21">
        <v>8769592</v>
      </c>
      <c r="AZ86" s="21">
        <v>8273935</v>
      </c>
      <c r="BA86" s="21">
        <v>7586986</v>
      </c>
      <c r="BB86" s="21">
        <v>7930952</v>
      </c>
      <c r="BC86" s="21">
        <v>8147594</v>
      </c>
      <c r="BD86" s="21">
        <v>7844720</v>
      </c>
      <c r="BE86" s="21">
        <v>7995741</v>
      </c>
      <c r="BF86" s="21">
        <v>8410294</v>
      </c>
      <c r="BG86" s="21">
        <v>8332252</v>
      </c>
      <c r="BH86" s="21">
        <v>8114859</v>
      </c>
      <c r="BI86" s="21">
        <v>8208145</v>
      </c>
      <c r="BJ86" s="21">
        <v>8634239</v>
      </c>
      <c r="BK86" s="21">
        <v>8571838</v>
      </c>
      <c r="BL86" s="21">
        <v>7931289</v>
      </c>
      <c r="BM86" s="21">
        <v>8296975</v>
      </c>
    </row>
    <row r="87" spans="1:65" x14ac:dyDescent="0.2">
      <c r="A87" s="21" t="s">
        <v>1413</v>
      </c>
      <c r="B87" s="21" t="s">
        <v>1414</v>
      </c>
      <c r="C87" s="21" t="s">
        <v>286</v>
      </c>
      <c r="D87" s="21">
        <v>681444</v>
      </c>
      <c r="E87" s="21">
        <v>690648</v>
      </c>
      <c r="F87" s="21">
        <v>728495</v>
      </c>
      <c r="G87" s="21">
        <v>743021</v>
      </c>
      <c r="H87" s="21">
        <v>746114</v>
      </c>
      <c r="I87" s="21">
        <v>770886</v>
      </c>
      <c r="J87" s="21">
        <v>791069</v>
      </c>
      <c r="K87" s="21">
        <v>810757</v>
      </c>
      <c r="L87" s="21">
        <v>864709</v>
      </c>
      <c r="M87" s="21">
        <v>885301</v>
      </c>
      <c r="N87" s="21">
        <v>903088</v>
      </c>
      <c r="O87" s="21">
        <v>937033</v>
      </c>
      <c r="P87" s="21">
        <v>1021466</v>
      </c>
      <c r="Q87" s="21">
        <v>1088005</v>
      </c>
      <c r="R87" s="21">
        <v>1027958</v>
      </c>
      <c r="S87" s="21">
        <v>1004840</v>
      </c>
      <c r="T87" s="21">
        <v>1109086</v>
      </c>
      <c r="U87" s="21">
        <v>1180850</v>
      </c>
      <c r="V87" s="21">
        <v>1209542</v>
      </c>
      <c r="W87" s="21">
        <v>1180937</v>
      </c>
      <c r="X87" s="21">
        <v>1021870</v>
      </c>
      <c r="Y87" s="21">
        <v>1011873</v>
      </c>
      <c r="Z87" s="21">
        <v>959964</v>
      </c>
      <c r="AA87" s="21">
        <v>965415</v>
      </c>
      <c r="AB87" s="21">
        <v>1026028</v>
      </c>
      <c r="AC87" s="21">
        <v>1032192</v>
      </c>
      <c r="AD87" s="21">
        <v>1049415</v>
      </c>
      <c r="AE87" s="21">
        <v>1071046</v>
      </c>
      <c r="AF87" s="21">
        <v>1123741</v>
      </c>
      <c r="AG87" s="21">
        <v>1126068</v>
      </c>
      <c r="AH87" s="21">
        <v>1085936</v>
      </c>
      <c r="AI87" s="21">
        <v>1051722</v>
      </c>
      <c r="AJ87" s="21">
        <v>1077650</v>
      </c>
      <c r="AK87" s="21">
        <v>1095194</v>
      </c>
      <c r="AL87" s="21">
        <v>1133605</v>
      </c>
      <c r="AM87" s="21">
        <v>1151866</v>
      </c>
      <c r="AN87" s="21">
        <v>1212899</v>
      </c>
      <c r="AO87" s="21">
        <v>1234949</v>
      </c>
      <c r="AP87" s="21">
        <v>1240127</v>
      </c>
      <c r="AQ87" s="21">
        <v>1279721</v>
      </c>
      <c r="AR87" s="21">
        <v>1332299</v>
      </c>
      <c r="AS87" s="21">
        <v>1374808</v>
      </c>
      <c r="AT87" s="21">
        <v>1356330</v>
      </c>
      <c r="AU87" s="21">
        <v>1405741</v>
      </c>
      <c r="AV87" s="21">
        <v>1466217</v>
      </c>
      <c r="AW87" s="21">
        <v>1483399</v>
      </c>
      <c r="AX87" s="21">
        <v>1509085</v>
      </c>
      <c r="AY87" s="21">
        <v>1516181</v>
      </c>
      <c r="AZ87" s="21">
        <v>1431477</v>
      </c>
      <c r="BA87" s="21">
        <v>1313309</v>
      </c>
      <c r="BB87" s="21">
        <v>1373325</v>
      </c>
      <c r="BC87" s="21">
        <v>1412061</v>
      </c>
      <c r="BD87" s="21">
        <v>1360278</v>
      </c>
      <c r="BE87" s="21">
        <v>1387427</v>
      </c>
      <c r="BF87" s="21">
        <v>1459360</v>
      </c>
      <c r="BG87" s="21">
        <v>1446069</v>
      </c>
      <c r="BH87" s="21">
        <v>1409564</v>
      </c>
      <c r="BI87" s="21">
        <v>1425768</v>
      </c>
      <c r="BJ87" s="21">
        <v>1499260</v>
      </c>
      <c r="BK87" s="21">
        <v>1488425</v>
      </c>
      <c r="BL87" s="21">
        <v>1377917</v>
      </c>
      <c r="BM87" s="21">
        <v>1439447</v>
      </c>
    </row>
    <row r="88" spans="1:65" x14ac:dyDescent="0.2">
      <c r="A88" s="21" t="s">
        <v>1413</v>
      </c>
      <c r="B88" s="21" t="s">
        <v>1414</v>
      </c>
      <c r="C88" s="21" t="s">
        <v>289</v>
      </c>
      <c r="D88" s="21">
        <v>22273</v>
      </c>
      <c r="E88" s="21">
        <v>21599</v>
      </c>
      <c r="F88" s="21">
        <v>22775</v>
      </c>
      <c r="G88" s="21">
        <v>24658</v>
      </c>
      <c r="H88" s="21">
        <v>25107</v>
      </c>
      <c r="I88" s="21">
        <v>28707</v>
      </c>
      <c r="J88" s="21">
        <v>36759</v>
      </c>
      <c r="K88" s="21">
        <v>43062</v>
      </c>
      <c r="L88" s="21">
        <v>57261</v>
      </c>
      <c r="M88" s="21">
        <v>87149</v>
      </c>
      <c r="N88" s="21">
        <v>140518</v>
      </c>
      <c r="O88" s="21">
        <v>199701</v>
      </c>
      <c r="P88" s="21">
        <v>310064</v>
      </c>
      <c r="Q88" s="21">
        <v>273129</v>
      </c>
      <c r="R88" s="21">
        <v>308668</v>
      </c>
      <c r="S88" s="21">
        <v>226141</v>
      </c>
      <c r="T88" s="21">
        <v>243082</v>
      </c>
      <c r="U88" s="21">
        <v>283487</v>
      </c>
      <c r="V88" s="21">
        <v>276107</v>
      </c>
      <c r="W88" s="21">
        <v>178284</v>
      </c>
      <c r="X88" s="21">
        <v>168923</v>
      </c>
      <c r="Y88" s="21">
        <v>124038</v>
      </c>
      <c r="Z88" s="21">
        <v>89269</v>
      </c>
      <c r="AA88" s="21">
        <v>96184</v>
      </c>
      <c r="AB88" s="21">
        <v>88483</v>
      </c>
      <c r="AC88" s="21">
        <v>85247</v>
      </c>
      <c r="AD88" s="21">
        <v>83448</v>
      </c>
      <c r="AE88" s="21">
        <v>89512</v>
      </c>
      <c r="AF88" s="21">
        <v>109329</v>
      </c>
      <c r="AG88" s="21">
        <v>152356</v>
      </c>
      <c r="AH88" s="21">
        <v>96504</v>
      </c>
      <c r="AI88" s="21">
        <v>83640</v>
      </c>
      <c r="AJ88" s="21">
        <v>73531</v>
      </c>
      <c r="AK88" s="21">
        <v>86496</v>
      </c>
      <c r="AL88" s="21">
        <v>119963</v>
      </c>
      <c r="AM88" s="21">
        <v>107976</v>
      </c>
      <c r="AN88" s="21">
        <v>109300</v>
      </c>
      <c r="AO88" s="21">
        <v>110514</v>
      </c>
      <c r="AP88" s="21">
        <v>135581</v>
      </c>
      <c r="AQ88" s="21">
        <v>139992</v>
      </c>
      <c r="AR88" s="21">
        <v>174665</v>
      </c>
      <c r="AS88" s="21">
        <v>170347</v>
      </c>
      <c r="AT88" s="21">
        <v>127298</v>
      </c>
      <c r="AU88" s="21">
        <v>160789</v>
      </c>
      <c r="AV88" s="21">
        <v>111164</v>
      </c>
      <c r="AW88" s="21">
        <v>114470</v>
      </c>
      <c r="AX88" s="21">
        <v>73388</v>
      </c>
      <c r="AY88" s="21">
        <v>88650</v>
      </c>
      <c r="AZ88" s="21">
        <v>72524</v>
      </c>
      <c r="BA88" s="21">
        <v>69526</v>
      </c>
      <c r="BB88" s="21">
        <v>79637</v>
      </c>
      <c r="BC88" s="21">
        <v>63589</v>
      </c>
      <c r="BD88" s="21">
        <v>52367</v>
      </c>
      <c r="BE88" s="21">
        <v>55314</v>
      </c>
      <c r="BF88" s="21">
        <v>82034</v>
      </c>
      <c r="BG88" s="21">
        <v>70254</v>
      </c>
      <c r="BH88" s="21">
        <v>54750</v>
      </c>
      <c r="BI88" s="21">
        <v>54583</v>
      </c>
      <c r="BJ88" s="21">
        <v>80435</v>
      </c>
      <c r="BK88" s="21">
        <v>53767</v>
      </c>
      <c r="BL88" s="21">
        <v>44167</v>
      </c>
      <c r="BM88" s="21">
        <v>59712</v>
      </c>
    </row>
    <row r="89" spans="1:65" x14ac:dyDescent="0.2">
      <c r="A89" s="21" t="s">
        <v>1413</v>
      </c>
      <c r="B89" s="21" t="s">
        <v>1414</v>
      </c>
      <c r="C89" s="21" t="s">
        <v>293</v>
      </c>
      <c r="D89" s="21">
        <v>3824</v>
      </c>
      <c r="E89" s="21">
        <v>3708</v>
      </c>
      <c r="F89" s="21">
        <v>3910</v>
      </c>
      <c r="G89" s="21">
        <v>4233</v>
      </c>
      <c r="H89" s="21">
        <v>4310</v>
      </c>
      <c r="I89" s="21">
        <v>4928</v>
      </c>
      <c r="J89" s="21">
        <v>6311</v>
      </c>
      <c r="K89" s="21">
        <v>7393</v>
      </c>
      <c r="L89" s="21">
        <v>9830</v>
      </c>
      <c r="M89" s="21">
        <v>14961</v>
      </c>
      <c r="N89" s="21">
        <v>24123</v>
      </c>
      <c r="O89" s="21">
        <v>34283</v>
      </c>
      <c r="P89" s="21">
        <v>53465</v>
      </c>
      <c r="Q89" s="21">
        <v>47058</v>
      </c>
      <c r="R89" s="21">
        <v>53128</v>
      </c>
      <c r="S89" s="21">
        <v>38907</v>
      </c>
      <c r="T89" s="21">
        <v>41843</v>
      </c>
      <c r="U89" s="21">
        <v>48837</v>
      </c>
      <c r="V89" s="21">
        <v>47520</v>
      </c>
      <c r="W89" s="21">
        <v>30691</v>
      </c>
      <c r="X89" s="21">
        <v>29051</v>
      </c>
      <c r="Y89" s="21">
        <v>21313</v>
      </c>
      <c r="Z89" s="21">
        <v>15337</v>
      </c>
      <c r="AA89" s="21">
        <v>16512</v>
      </c>
      <c r="AB89" s="21">
        <v>15190</v>
      </c>
      <c r="AC89" s="21">
        <v>14635</v>
      </c>
      <c r="AD89" s="21">
        <v>14326</v>
      </c>
      <c r="AE89" s="21">
        <v>15367</v>
      </c>
      <c r="AF89" s="21">
        <v>18769</v>
      </c>
      <c r="AG89" s="21">
        <v>26156</v>
      </c>
      <c r="AH89" s="21">
        <v>16567</v>
      </c>
      <c r="AI89" s="21">
        <v>14359</v>
      </c>
      <c r="AJ89" s="21">
        <v>12623</v>
      </c>
      <c r="AK89" s="21">
        <v>14849</v>
      </c>
      <c r="AL89" s="21">
        <v>20612</v>
      </c>
      <c r="AM89" s="21">
        <v>18553</v>
      </c>
      <c r="AN89" s="21">
        <v>18780</v>
      </c>
      <c r="AO89" s="21">
        <v>18989</v>
      </c>
      <c r="AP89" s="21">
        <v>23300</v>
      </c>
      <c r="AQ89" s="21">
        <v>24058</v>
      </c>
      <c r="AR89" s="21">
        <v>30016</v>
      </c>
      <c r="AS89" s="21">
        <v>29274</v>
      </c>
      <c r="AT89" s="21">
        <v>21876</v>
      </c>
      <c r="AU89" s="21">
        <v>27632</v>
      </c>
      <c r="AV89" s="21">
        <v>19107</v>
      </c>
      <c r="AW89" s="21">
        <v>19675</v>
      </c>
      <c r="AX89" s="21">
        <v>12646</v>
      </c>
      <c r="AY89" s="21">
        <v>15327</v>
      </c>
      <c r="AZ89" s="21">
        <v>12547</v>
      </c>
      <c r="BA89" s="21">
        <v>12035</v>
      </c>
      <c r="BB89" s="21">
        <v>13790</v>
      </c>
      <c r="BC89" s="21">
        <v>11021</v>
      </c>
      <c r="BD89" s="21">
        <v>9080</v>
      </c>
      <c r="BE89" s="21">
        <v>9598</v>
      </c>
      <c r="BF89" s="21">
        <v>14235</v>
      </c>
      <c r="BG89" s="21">
        <v>12193</v>
      </c>
      <c r="BH89" s="21">
        <v>9510</v>
      </c>
      <c r="BI89" s="21">
        <v>9481</v>
      </c>
      <c r="BJ89" s="21">
        <v>13967</v>
      </c>
      <c r="BK89" s="21">
        <v>9336</v>
      </c>
      <c r="BL89" s="21">
        <v>7673</v>
      </c>
      <c r="BM89" s="21">
        <v>10360</v>
      </c>
    </row>
    <row r="90" spans="1:65" x14ac:dyDescent="0.2">
      <c r="A90" s="21" t="s">
        <v>1413</v>
      </c>
      <c r="B90" s="21" t="s">
        <v>1414</v>
      </c>
      <c r="C90" s="21" t="s">
        <v>296</v>
      </c>
      <c r="D90" s="21">
        <v>153123</v>
      </c>
      <c r="E90" s="21">
        <v>153072</v>
      </c>
      <c r="F90" s="21">
        <v>165712</v>
      </c>
      <c r="G90" s="21">
        <v>183239</v>
      </c>
      <c r="H90" s="21">
        <v>194568</v>
      </c>
      <c r="I90" s="21">
        <v>187692</v>
      </c>
      <c r="J90" s="21">
        <v>199769</v>
      </c>
      <c r="K90" s="21">
        <v>198788</v>
      </c>
      <c r="L90" s="21">
        <v>238973</v>
      </c>
      <c r="M90" s="21">
        <v>257252</v>
      </c>
      <c r="N90" s="21">
        <v>269343</v>
      </c>
      <c r="O90" s="21">
        <v>291943</v>
      </c>
      <c r="P90" s="21">
        <v>333239</v>
      </c>
      <c r="Q90" s="21">
        <v>381463</v>
      </c>
      <c r="R90" s="21">
        <v>378085</v>
      </c>
      <c r="S90" s="21">
        <v>364122</v>
      </c>
      <c r="T90" s="21">
        <v>392824</v>
      </c>
      <c r="U90" s="21">
        <v>427248</v>
      </c>
      <c r="V90" s="21">
        <v>459973</v>
      </c>
      <c r="W90" s="21">
        <v>498739</v>
      </c>
      <c r="X90" s="21">
        <v>479800</v>
      </c>
      <c r="Y90" s="21">
        <v>498085</v>
      </c>
      <c r="Z90" s="21">
        <v>478886</v>
      </c>
      <c r="AA90" s="21">
        <v>498780</v>
      </c>
      <c r="AB90" s="21">
        <v>506066</v>
      </c>
      <c r="AC90" s="21">
        <v>544219</v>
      </c>
      <c r="AD90" s="21">
        <v>552431</v>
      </c>
      <c r="AE90" s="21">
        <v>572454</v>
      </c>
      <c r="AF90" s="21">
        <v>622510</v>
      </c>
      <c r="AG90" s="21">
        <v>632876</v>
      </c>
      <c r="AH90" s="21">
        <v>628521</v>
      </c>
      <c r="AI90" s="21">
        <v>618132</v>
      </c>
      <c r="AJ90" s="21">
        <v>632431</v>
      </c>
      <c r="AK90" s="21">
        <v>651643</v>
      </c>
      <c r="AL90" s="21">
        <v>692189</v>
      </c>
      <c r="AM90" s="21">
        <v>720169</v>
      </c>
      <c r="AN90" s="21">
        <v>767267</v>
      </c>
      <c r="AO90" s="21">
        <v>802106</v>
      </c>
      <c r="AP90" s="21">
        <v>826014</v>
      </c>
      <c r="AQ90" s="21">
        <v>858546</v>
      </c>
      <c r="AR90" s="21">
        <v>886615</v>
      </c>
      <c r="AS90" s="21">
        <v>908447</v>
      </c>
      <c r="AT90" s="21">
        <v>925731</v>
      </c>
      <c r="AU90" s="21">
        <v>959608</v>
      </c>
      <c r="AV90" s="21">
        <v>1018401</v>
      </c>
      <c r="AW90" s="21">
        <v>1043015</v>
      </c>
      <c r="AX90" s="21">
        <v>1101157</v>
      </c>
      <c r="AY90" s="21">
        <v>1108475</v>
      </c>
      <c r="AZ90" s="21">
        <v>1002098</v>
      </c>
      <c r="BA90" s="21">
        <v>946855</v>
      </c>
      <c r="BB90" s="21">
        <v>1000408</v>
      </c>
      <c r="BC90" s="21">
        <v>1018969</v>
      </c>
      <c r="BD90" s="21">
        <v>973522</v>
      </c>
      <c r="BE90" s="21">
        <v>983973</v>
      </c>
      <c r="BF90" s="21">
        <v>1029821</v>
      </c>
      <c r="BG90" s="21">
        <v>1043902</v>
      </c>
      <c r="BH90" s="21">
        <v>1021619</v>
      </c>
      <c r="BI90" s="21">
        <v>1033528</v>
      </c>
      <c r="BJ90" s="21">
        <v>1089342</v>
      </c>
      <c r="BK90" s="21">
        <v>1094930</v>
      </c>
      <c r="BL90" s="21">
        <v>1026680</v>
      </c>
      <c r="BM90" s="21">
        <v>1073674</v>
      </c>
    </row>
    <row r="91" spans="1:65" x14ac:dyDescent="0.2">
      <c r="A91" s="21" t="s">
        <v>1413</v>
      </c>
      <c r="B91" s="21" t="s">
        <v>1414</v>
      </c>
      <c r="C91" s="21" t="s">
        <v>298</v>
      </c>
      <c r="D91" s="21">
        <v>3991686</v>
      </c>
      <c r="E91" s="21">
        <v>4044624</v>
      </c>
      <c r="F91" s="21">
        <v>4266259</v>
      </c>
      <c r="G91" s="21">
        <v>4352755</v>
      </c>
      <c r="H91" s="21">
        <v>4371220</v>
      </c>
      <c r="I91" s="21">
        <v>4519117</v>
      </c>
      <c r="J91" s="21">
        <v>4644739</v>
      </c>
      <c r="K91" s="21">
        <v>4765724</v>
      </c>
      <c r="L91" s="21">
        <v>5094190</v>
      </c>
      <c r="M91" s="21">
        <v>5244026</v>
      </c>
      <c r="N91" s="21">
        <v>5401004</v>
      </c>
      <c r="O91" s="21">
        <v>5657916</v>
      </c>
      <c r="P91" s="21">
        <v>6210091</v>
      </c>
      <c r="Q91" s="21">
        <v>6574759</v>
      </c>
      <c r="R91" s="21">
        <v>6267211</v>
      </c>
      <c r="S91" s="21">
        <v>6061326</v>
      </c>
      <c r="T91" s="21">
        <v>6679498</v>
      </c>
      <c r="U91" s="21">
        <v>7125886</v>
      </c>
      <c r="V91" s="21">
        <v>7296139</v>
      </c>
      <c r="W91" s="21">
        <v>7039256</v>
      </c>
      <c r="X91" s="21">
        <v>6110279</v>
      </c>
      <c r="Y91" s="21">
        <v>6014173</v>
      </c>
      <c r="Z91" s="21">
        <v>5678583</v>
      </c>
      <c r="AA91" s="21">
        <v>5719725</v>
      </c>
      <c r="AB91" s="21">
        <v>6065095</v>
      </c>
      <c r="AC91" s="21">
        <v>6097767</v>
      </c>
      <c r="AD91" s="21">
        <v>6196291</v>
      </c>
      <c r="AE91" s="21">
        <v>6328356</v>
      </c>
      <c r="AF91" s="21">
        <v>6655121</v>
      </c>
      <c r="AG91" s="21">
        <v>6711705</v>
      </c>
      <c r="AH91" s="21">
        <v>6422080</v>
      </c>
      <c r="AI91" s="21">
        <v>6209922</v>
      </c>
      <c r="AJ91" s="21">
        <v>6350840</v>
      </c>
      <c r="AK91" s="21">
        <v>6466000</v>
      </c>
      <c r="AL91" s="21">
        <v>6717543</v>
      </c>
      <c r="AM91" s="21">
        <v>6811839</v>
      </c>
      <c r="AN91" s="21">
        <v>7168372</v>
      </c>
      <c r="AO91" s="21">
        <v>7297919</v>
      </c>
      <c r="AP91" s="21">
        <v>7351882</v>
      </c>
      <c r="AQ91" s="21">
        <v>7586690</v>
      </c>
      <c r="AR91" s="21">
        <v>7927311</v>
      </c>
      <c r="AS91" s="21">
        <v>8170353</v>
      </c>
      <c r="AT91" s="21">
        <v>8019781</v>
      </c>
      <c r="AU91" s="21">
        <v>8340797</v>
      </c>
      <c r="AV91" s="21">
        <v>8641615</v>
      </c>
      <c r="AW91" s="21">
        <v>8744885</v>
      </c>
      <c r="AX91" s="21">
        <v>8830605</v>
      </c>
      <c r="AY91" s="21">
        <v>8858242</v>
      </c>
      <c r="AZ91" s="21">
        <v>8346459</v>
      </c>
      <c r="BA91" s="21">
        <v>7593959</v>
      </c>
      <c r="BB91" s="21">
        <v>7966061</v>
      </c>
      <c r="BC91" s="21">
        <v>8099369</v>
      </c>
      <c r="BD91" s="21">
        <v>7782517</v>
      </c>
      <c r="BE91" s="21">
        <v>7838262</v>
      </c>
      <c r="BF91" s="21">
        <v>8282880</v>
      </c>
      <c r="BG91" s="21">
        <v>8178016</v>
      </c>
      <c r="BH91" s="21">
        <v>7870653</v>
      </c>
      <c r="BI91" s="21">
        <v>7980633</v>
      </c>
      <c r="BJ91" s="21">
        <v>8452519</v>
      </c>
      <c r="BK91" s="21">
        <v>8376466</v>
      </c>
      <c r="BL91" s="21">
        <v>7720896</v>
      </c>
      <c r="BM91" s="21">
        <v>8243453</v>
      </c>
    </row>
    <row r="92" spans="1:65" x14ac:dyDescent="0.2">
      <c r="A92" s="21" t="s">
        <v>1413</v>
      </c>
      <c r="B92" s="21" t="s">
        <v>1414</v>
      </c>
      <c r="C92" s="21" t="s">
        <v>302</v>
      </c>
      <c r="D92" s="21">
        <v>685268</v>
      </c>
      <c r="E92" s="21">
        <v>694356</v>
      </c>
      <c r="F92" s="21">
        <v>732405</v>
      </c>
      <c r="G92" s="21">
        <v>747254</v>
      </c>
      <c r="H92" s="21">
        <v>750424</v>
      </c>
      <c r="I92" s="21">
        <v>775814</v>
      </c>
      <c r="J92" s="21">
        <v>797380</v>
      </c>
      <c r="K92" s="21">
        <v>818150</v>
      </c>
      <c r="L92" s="21">
        <v>874539</v>
      </c>
      <c r="M92" s="21">
        <v>900262</v>
      </c>
      <c r="N92" s="21">
        <v>927211</v>
      </c>
      <c r="O92" s="21">
        <v>971316</v>
      </c>
      <c r="P92" s="21">
        <v>1066110</v>
      </c>
      <c r="Q92" s="21">
        <v>1128714</v>
      </c>
      <c r="R92" s="21">
        <v>1075916</v>
      </c>
      <c r="S92" s="21">
        <v>1040571</v>
      </c>
      <c r="T92" s="21">
        <v>1146695</v>
      </c>
      <c r="U92" s="21">
        <v>1223328</v>
      </c>
      <c r="V92" s="21">
        <v>1252556</v>
      </c>
      <c r="W92" s="21">
        <v>1208456</v>
      </c>
      <c r="X92" s="21">
        <v>1048975</v>
      </c>
      <c r="Y92" s="21">
        <v>1032476</v>
      </c>
      <c r="Z92" s="21">
        <v>974864</v>
      </c>
      <c r="AA92" s="21">
        <v>981927</v>
      </c>
      <c r="AB92" s="21">
        <v>1041218</v>
      </c>
      <c r="AC92" s="21">
        <v>1046827</v>
      </c>
      <c r="AD92" s="21">
        <v>1063741</v>
      </c>
      <c r="AE92" s="21">
        <v>1086413</v>
      </c>
      <c r="AF92" s="21">
        <v>1142510</v>
      </c>
      <c r="AG92" s="21">
        <v>1152224</v>
      </c>
      <c r="AH92" s="21">
        <v>1102503</v>
      </c>
      <c r="AI92" s="21">
        <v>1066081</v>
      </c>
      <c r="AJ92" s="21">
        <v>1090273</v>
      </c>
      <c r="AK92" s="21">
        <v>1110043</v>
      </c>
      <c r="AL92" s="21">
        <v>1154217</v>
      </c>
      <c r="AM92" s="21">
        <v>1170419</v>
      </c>
      <c r="AN92" s="21">
        <v>1231679</v>
      </c>
      <c r="AO92" s="21">
        <v>1253938</v>
      </c>
      <c r="AP92" s="21">
        <v>1263427</v>
      </c>
      <c r="AQ92" s="21">
        <v>1303779</v>
      </c>
      <c r="AR92" s="21">
        <v>1362315</v>
      </c>
      <c r="AS92" s="21">
        <v>1404082</v>
      </c>
      <c r="AT92" s="21">
        <v>1378206</v>
      </c>
      <c r="AU92" s="21">
        <v>1433373</v>
      </c>
      <c r="AV92" s="21">
        <v>1485324</v>
      </c>
      <c r="AW92" s="21">
        <v>1503074</v>
      </c>
      <c r="AX92" s="21">
        <v>1521731</v>
      </c>
      <c r="AY92" s="21">
        <v>1531508</v>
      </c>
      <c r="AZ92" s="21">
        <v>1444024</v>
      </c>
      <c r="BA92" s="21">
        <v>1313606</v>
      </c>
      <c r="BB92" s="21">
        <v>1378688</v>
      </c>
      <c r="BC92" s="21">
        <v>1402245</v>
      </c>
      <c r="BD92" s="21">
        <v>1347855</v>
      </c>
      <c r="BE92" s="21">
        <v>1357510</v>
      </c>
      <c r="BF92" s="21">
        <v>1434762</v>
      </c>
      <c r="BG92" s="21">
        <v>1416597</v>
      </c>
      <c r="BH92" s="21">
        <v>1363356</v>
      </c>
      <c r="BI92" s="21">
        <v>1382646</v>
      </c>
      <c r="BJ92" s="21">
        <v>1464400</v>
      </c>
      <c r="BK92" s="21">
        <v>1451476</v>
      </c>
      <c r="BL92" s="21">
        <v>1338110</v>
      </c>
      <c r="BM92" s="21">
        <v>1428675</v>
      </c>
    </row>
    <row r="93" spans="1:65" x14ac:dyDescent="0.2">
      <c r="A93" s="21" t="s">
        <v>1413</v>
      </c>
      <c r="B93" s="21" t="s">
        <v>1414</v>
      </c>
      <c r="C93" s="21" t="s">
        <v>303</v>
      </c>
      <c r="D93" s="21">
        <v>2689</v>
      </c>
      <c r="E93" s="21">
        <v>3127</v>
      </c>
      <c r="F93" s="21">
        <v>5666</v>
      </c>
      <c r="G93" s="21">
        <v>6773</v>
      </c>
      <c r="H93" s="21">
        <v>14513</v>
      </c>
      <c r="I93" s="21">
        <v>12622</v>
      </c>
      <c r="J93" s="21">
        <v>10838</v>
      </c>
      <c r="K93" s="21">
        <v>14843</v>
      </c>
      <c r="L93" s="21">
        <v>14619</v>
      </c>
      <c r="M93" s="21">
        <v>13069</v>
      </c>
      <c r="N93" s="21">
        <v>14363</v>
      </c>
      <c r="O93" s="21">
        <v>11990</v>
      </c>
      <c r="P93" s="21">
        <v>9584</v>
      </c>
      <c r="Q93" s="21">
        <v>8769</v>
      </c>
      <c r="R93" s="21">
        <v>9302</v>
      </c>
      <c r="S93" s="21">
        <v>17344</v>
      </c>
      <c r="T93" s="21">
        <v>8115</v>
      </c>
      <c r="U93" s="21">
        <v>9361</v>
      </c>
      <c r="V93" s="21">
        <v>5043</v>
      </c>
      <c r="W93" s="21">
        <v>7444</v>
      </c>
      <c r="X93" s="21">
        <v>13974</v>
      </c>
      <c r="Y93" s="21">
        <v>10441</v>
      </c>
      <c r="Z93" s="21">
        <v>12066</v>
      </c>
      <c r="AA93" s="21">
        <v>11387</v>
      </c>
      <c r="AB93" s="21">
        <v>8729</v>
      </c>
      <c r="AC93" s="21">
        <v>16940</v>
      </c>
      <c r="AD93" s="21">
        <v>16431</v>
      </c>
      <c r="AE93" s="21">
        <v>20070</v>
      </c>
      <c r="AF93" s="21">
        <v>24111</v>
      </c>
      <c r="AG93" s="21">
        <v>51639</v>
      </c>
      <c r="AH93" s="21">
        <v>55048</v>
      </c>
      <c r="AI93" s="21">
        <v>7863</v>
      </c>
      <c r="AJ93" s="21">
        <v>9641</v>
      </c>
      <c r="AK93" s="21">
        <v>12082</v>
      </c>
      <c r="AL93" s="21">
        <v>6858</v>
      </c>
      <c r="AM93" s="21">
        <v>12361</v>
      </c>
      <c r="AN93" s="21">
        <v>11266</v>
      </c>
      <c r="AO93" s="21">
        <v>30619</v>
      </c>
      <c r="AP93" s="21">
        <v>46596</v>
      </c>
      <c r="AQ93" s="21">
        <v>48525</v>
      </c>
      <c r="AR93" s="21">
        <v>50598</v>
      </c>
      <c r="AS93" s="21">
        <v>56207</v>
      </c>
      <c r="AT93" s="21">
        <v>53895</v>
      </c>
      <c r="AU93" s="21">
        <v>81802</v>
      </c>
      <c r="AV93" s="21">
        <v>78128</v>
      </c>
      <c r="AW93" s="21">
        <v>65343</v>
      </c>
      <c r="AX93" s="21">
        <v>82814</v>
      </c>
      <c r="AY93" s="21">
        <v>68730</v>
      </c>
      <c r="AZ93" s="21">
        <v>82564</v>
      </c>
      <c r="BA93" s="21">
        <v>61887</v>
      </c>
      <c r="BB93" s="21">
        <v>65190</v>
      </c>
      <c r="BC93" s="21">
        <v>51346</v>
      </c>
      <c r="BD93" s="21">
        <v>40929</v>
      </c>
      <c r="BE93" s="21">
        <v>38805</v>
      </c>
      <c r="BF93" s="21">
        <v>45374</v>
      </c>
      <c r="BG93" s="21">
        <v>31109</v>
      </c>
      <c r="BH93" s="21">
        <v>21202</v>
      </c>
      <c r="BI93" s="21">
        <v>31973</v>
      </c>
      <c r="BJ93" s="21">
        <v>47101</v>
      </c>
      <c r="BK93" s="21">
        <v>68267</v>
      </c>
      <c r="BL93" s="21">
        <v>48228</v>
      </c>
      <c r="BM93" s="21">
        <v>47275</v>
      </c>
    </row>
    <row r="94" spans="1:65" x14ac:dyDescent="0.2">
      <c r="A94" s="21" t="s">
        <v>1413</v>
      </c>
      <c r="B94" s="21" t="s">
        <v>1414</v>
      </c>
      <c r="C94" s="21" t="s">
        <v>307</v>
      </c>
      <c r="D94" s="21">
        <v>788</v>
      </c>
      <c r="E94" s="21">
        <v>917</v>
      </c>
      <c r="F94" s="21">
        <v>1661</v>
      </c>
      <c r="G94" s="21">
        <v>1985</v>
      </c>
      <c r="H94" s="21">
        <v>4253</v>
      </c>
      <c r="I94" s="21">
        <v>3699</v>
      </c>
      <c r="J94" s="21">
        <v>3176</v>
      </c>
      <c r="K94" s="21">
        <v>4350</v>
      </c>
      <c r="L94" s="21">
        <v>4285</v>
      </c>
      <c r="M94" s="21">
        <v>3830</v>
      </c>
      <c r="N94" s="21">
        <v>4209</v>
      </c>
      <c r="O94" s="21">
        <v>3514</v>
      </c>
      <c r="P94" s="21">
        <v>2809</v>
      </c>
      <c r="Q94" s="21">
        <v>2570</v>
      </c>
      <c r="R94" s="21">
        <v>2726</v>
      </c>
      <c r="S94" s="21">
        <v>5083</v>
      </c>
      <c r="T94" s="21">
        <v>2378</v>
      </c>
      <c r="U94" s="21">
        <v>2744</v>
      </c>
      <c r="V94" s="21">
        <v>1478</v>
      </c>
      <c r="W94" s="21">
        <v>2182</v>
      </c>
      <c r="X94" s="21">
        <v>4096</v>
      </c>
      <c r="Y94" s="21">
        <v>3060</v>
      </c>
      <c r="Z94" s="21">
        <v>3536</v>
      </c>
      <c r="AA94" s="21">
        <v>3337</v>
      </c>
      <c r="AB94" s="21">
        <v>2558</v>
      </c>
      <c r="AC94" s="21">
        <v>4965</v>
      </c>
      <c r="AD94" s="21">
        <v>4816</v>
      </c>
      <c r="AE94" s="21">
        <v>5882</v>
      </c>
      <c r="AF94" s="21">
        <v>7067</v>
      </c>
      <c r="AG94" s="21">
        <v>15135</v>
      </c>
      <c r="AH94" s="21">
        <v>16134</v>
      </c>
      <c r="AI94" s="21">
        <v>2305</v>
      </c>
      <c r="AJ94" s="21">
        <v>2826</v>
      </c>
      <c r="AK94" s="21">
        <v>3541</v>
      </c>
      <c r="AL94" s="21">
        <v>2010</v>
      </c>
      <c r="AM94" s="21">
        <v>3623</v>
      </c>
      <c r="AN94" s="21">
        <v>3302</v>
      </c>
      <c r="AO94" s="21">
        <v>8974</v>
      </c>
      <c r="AP94" s="21">
        <v>13656</v>
      </c>
      <c r="AQ94" s="21">
        <v>14222</v>
      </c>
      <c r="AR94" s="21">
        <v>14829</v>
      </c>
      <c r="AS94" s="21">
        <v>16473</v>
      </c>
      <c r="AT94" s="21">
        <v>15796</v>
      </c>
      <c r="AU94" s="21">
        <v>23975</v>
      </c>
      <c r="AV94" s="21">
        <v>22898</v>
      </c>
      <c r="AW94" s="21">
        <v>19151</v>
      </c>
      <c r="AX94" s="21">
        <v>24271</v>
      </c>
      <c r="AY94" s="21">
        <v>20144</v>
      </c>
      <c r="AZ94" s="21">
        <v>24198</v>
      </c>
      <c r="BA94" s="21">
        <v>18138</v>
      </c>
      <c r="BB94" s="21">
        <v>19106</v>
      </c>
      <c r="BC94" s="21">
        <v>15049</v>
      </c>
      <c r="BD94" s="21">
        <v>11996</v>
      </c>
      <c r="BE94" s="21">
        <v>11373</v>
      </c>
      <c r="BF94" s="21">
        <v>13298</v>
      </c>
      <c r="BG94" s="21">
        <v>9118</v>
      </c>
      <c r="BH94" s="21">
        <v>6214</v>
      </c>
      <c r="BI94" s="21">
        <v>9371</v>
      </c>
      <c r="BJ94" s="21">
        <v>13804</v>
      </c>
      <c r="BK94" s="21">
        <v>20008</v>
      </c>
      <c r="BL94" s="21">
        <v>14135</v>
      </c>
      <c r="BM94" s="21">
        <v>13855</v>
      </c>
    </row>
    <row r="95" spans="1:65" x14ac:dyDescent="0.2">
      <c r="A95" s="21" t="s">
        <v>1413</v>
      </c>
      <c r="B95" s="21" t="s">
        <v>1414</v>
      </c>
      <c r="C95" s="21" t="s">
        <v>311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>
        <v>1010171</v>
      </c>
      <c r="BA95" s="21">
        <v>1025400</v>
      </c>
      <c r="BB95" s="21">
        <v>1039062</v>
      </c>
      <c r="BC95" s="21">
        <v>1051251</v>
      </c>
      <c r="BD95" s="21">
        <v>1063033</v>
      </c>
      <c r="BE95" s="21">
        <v>1060064</v>
      </c>
      <c r="BF95" s="21">
        <v>1068422</v>
      </c>
      <c r="BG95" s="21">
        <v>1064055</v>
      </c>
      <c r="BH95" s="21">
        <v>1074333</v>
      </c>
      <c r="BI95" s="21">
        <v>1084370</v>
      </c>
      <c r="BJ95" s="21">
        <v>1094740</v>
      </c>
      <c r="BK95" s="21">
        <v>1099110</v>
      </c>
      <c r="BL95" s="21">
        <v>1115682</v>
      </c>
      <c r="BM95" s="21">
        <v>1145857</v>
      </c>
    </row>
    <row r="96" spans="1:65" x14ac:dyDescent="0.2">
      <c r="A96" s="21" t="s">
        <v>1413</v>
      </c>
      <c r="B96" s="21" t="s">
        <v>1414</v>
      </c>
      <c r="C96" s="21" t="s">
        <v>313</v>
      </c>
      <c r="D96" s="21">
        <v>18163</v>
      </c>
      <c r="E96" s="21">
        <v>10816</v>
      </c>
      <c r="F96" s="21">
        <v>7495</v>
      </c>
      <c r="G96" s="21">
        <v>7107</v>
      </c>
      <c r="H96" s="21">
        <v>21184</v>
      </c>
      <c r="I96" s="21">
        <v>12140</v>
      </c>
      <c r="J96" s="21">
        <v>14563</v>
      </c>
      <c r="K96" s="21">
        <v>13823</v>
      </c>
      <c r="L96" s="21">
        <v>12467</v>
      </c>
      <c r="M96" s="21">
        <v>16725</v>
      </c>
      <c r="N96" s="21">
        <v>21051</v>
      </c>
      <c r="O96" s="21">
        <v>24035</v>
      </c>
      <c r="P96" s="21">
        <v>35811</v>
      </c>
      <c r="Q96" s="21">
        <v>57484</v>
      </c>
      <c r="R96" s="21">
        <v>52612</v>
      </c>
      <c r="S96" s="21">
        <v>38446</v>
      </c>
      <c r="T96" s="21">
        <v>37493</v>
      </c>
      <c r="U96" s="21">
        <v>68783</v>
      </c>
      <c r="V96" s="21">
        <v>72360</v>
      </c>
      <c r="W96" s="21">
        <v>76824</v>
      </c>
      <c r="X96" s="21">
        <v>85373</v>
      </c>
      <c r="Y96" s="21">
        <v>123847</v>
      </c>
      <c r="Z96" s="21">
        <v>112092</v>
      </c>
      <c r="AA96" s="21">
        <v>131934</v>
      </c>
      <c r="AB96" s="21">
        <v>144052</v>
      </c>
      <c r="AC96" s="21">
        <v>156595</v>
      </c>
      <c r="AD96" s="21">
        <v>138912</v>
      </c>
      <c r="AE96" s="21">
        <v>178171</v>
      </c>
      <c r="AF96" s="21">
        <v>132510</v>
      </c>
      <c r="AG96" s="21">
        <v>89089</v>
      </c>
      <c r="AH96" s="21">
        <v>62936</v>
      </c>
      <c r="AI96" s="21">
        <v>74829</v>
      </c>
      <c r="AJ96" s="21">
        <v>96377</v>
      </c>
      <c r="AK96" s="21">
        <v>106992</v>
      </c>
      <c r="AL96" s="21">
        <v>159795</v>
      </c>
      <c r="AM96" s="21">
        <v>146216</v>
      </c>
      <c r="AN96" s="21">
        <v>148410</v>
      </c>
      <c r="AO96" s="21">
        <v>146823</v>
      </c>
      <c r="AP96" s="21">
        <v>134819</v>
      </c>
      <c r="AQ96" s="21">
        <v>147449</v>
      </c>
      <c r="AR96" s="21">
        <v>165797</v>
      </c>
      <c r="AS96" s="21">
        <v>131363</v>
      </c>
      <c r="AT96" s="21">
        <v>125491</v>
      </c>
      <c r="AU96" s="21">
        <v>103706</v>
      </c>
      <c r="AV96" s="21">
        <v>116725</v>
      </c>
      <c r="AW96" s="21">
        <v>149887</v>
      </c>
      <c r="AX96" s="21">
        <v>145663</v>
      </c>
      <c r="AY96" s="21">
        <v>175362</v>
      </c>
      <c r="AZ96" s="21">
        <v>194550</v>
      </c>
      <c r="BA96" s="21">
        <v>178074</v>
      </c>
      <c r="BB96" s="21">
        <v>153824</v>
      </c>
      <c r="BC96" s="21">
        <v>178447</v>
      </c>
      <c r="BD96" s="21">
        <v>202185</v>
      </c>
      <c r="BE96" s="21">
        <v>236278</v>
      </c>
      <c r="BF96" s="21">
        <v>226933</v>
      </c>
      <c r="BG96" s="21">
        <v>257928</v>
      </c>
      <c r="BH96" s="21">
        <v>248108</v>
      </c>
      <c r="BI96" s="21">
        <v>224117</v>
      </c>
      <c r="BJ96" s="21">
        <v>198785</v>
      </c>
      <c r="BK96" s="21">
        <v>201487</v>
      </c>
      <c r="BL96" s="21">
        <v>209664</v>
      </c>
      <c r="BM96" s="21">
        <v>181406</v>
      </c>
    </row>
    <row r="97" spans="1:65" x14ac:dyDescent="0.2">
      <c r="A97" s="21" t="s">
        <v>1413</v>
      </c>
      <c r="B97" s="21" t="s">
        <v>1414</v>
      </c>
      <c r="C97" s="21" t="s">
        <v>317</v>
      </c>
      <c r="D97" s="21">
        <v>5323</v>
      </c>
      <c r="E97" s="21">
        <v>3170</v>
      </c>
      <c r="F97" s="21">
        <v>2197</v>
      </c>
      <c r="G97" s="21">
        <v>2083</v>
      </c>
      <c r="H97" s="21">
        <v>6209</v>
      </c>
      <c r="I97" s="21">
        <v>3558</v>
      </c>
      <c r="J97" s="21">
        <v>4268</v>
      </c>
      <c r="K97" s="21">
        <v>4051</v>
      </c>
      <c r="L97" s="21">
        <v>3654</v>
      </c>
      <c r="M97" s="21">
        <v>4902</v>
      </c>
      <c r="N97" s="21">
        <v>6170</v>
      </c>
      <c r="O97" s="21">
        <v>7044</v>
      </c>
      <c r="P97" s="21">
        <v>10495</v>
      </c>
      <c r="Q97" s="21">
        <v>16848</v>
      </c>
      <c r="R97" s="21">
        <v>15420</v>
      </c>
      <c r="S97" s="21">
        <v>11268</v>
      </c>
      <c r="T97" s="21">
        <v>10988</v>
      </c>
      <c r="U97" s="21">
        <v>20159</v>
      </c>
      <c r="V97" s="21">
        <v>21208</v>
      </c>
      <c r="W97" s="21">
        <v>22516</v>
      </c>
      <c r="X97" s="21">
        <v>25021</v>
      </c>
      <c r="Y97" s="21">
        <v>36298</v>
      </c>
      <c r="Z97" s="21">
        <v>32852</v>
      </c>
      <c r="AA97" s="21">
        <v>38668</v>
      </c>
      <c r="AB97" s="21">
        <v>42219</v>
      </c>
      <c r="AC97" s="21">
        <v>45895</v>
      </c>
      <c r="AD97" s="21">
        <v>40713</v>
      </c>
      <c r="AE97" s="21">
        <v>52219</v>
      </c>
      <c r="AF97" s="21">
        <v>38837</v>
      </c>
      <c r="AG97" s="21">
        <v>26110</v>
      </c>
      <c r="AH97" s="21">
        <v>18445</v>
      </c>
      <c r="AI97" s="21">
        <v>21931</v>
      </c>
      <c r="AJ97" s="21">
        <v>28247</v>
      </c>
      <c r="AK97" s="21">
        <v>31358</v>
      </c>
      <c r="AL97" s="21">
        <v>46833</v>
      </c>
      <c r="AM97" s="21">
        <v>42854</v>
      </c>
      <c r="AN97" s="21">
        <v>43497</v>
      </c>
      <c r="AO97" s="21">
        <v>43031</v>
      </c>
      <c r="AP97" s="21">
        <v>39513</v>
      </c>
      <c r="AQ97" s="21">
        <v>43215</v>
      </c>
      <c r="AR97" s="21">
        <v>48592</v>
      </c>
      <c r="AS97" s="21">
        <v>38500</v>
      </c>
      <c r="AT97" s="21">
        <v>36779</v>
      </c>
      <c r="AU97" s="21">
        <v>30395</v>
      </c>
      <c r="AV97" s="21">
        <v>34210</v>
      </c>
      <c r="AW97" s="21">
        <v>43929</v>
      </c>
      <c r="AX97" s="21">
        <v>42691</v>
      </c>
      <c r="AY97" s="21">
        <v>51396</v>
      </c>
      <c r="AZ97" s="21">
        <v>57019</v>
      </c>
      <c r="BA97" s="21">
        <v>52191</v>
      </c>
      <c r="BB97" s="21">
        <v>45083</v>
      </c>
      <c r="BC97" s="21">
        <v>52300</v>
      </c>
      <c r="BD97" s="21">
        <v>59257</v>
      </c>
      <c r="BE97" s="21">
        <v>69249</v>
      </c>
      <c r="BF97" s="21">
        <v>66510</v>
      </c>
      <c r="BG97" s="21">
        <v>75594</v>
      </c>
      <c r="BH97" s="21">
        <v>72716</v>
      </c>
      <c r="BI97" s="21">
        <v>65685</v>
      </c>
      <c r="BJ97" s="21">
        <v>58261</v>
      </c>
      <c r="BK97" s="21">
        <v>59052</v>
      </c>
      <c r="BL97" s="21">
        <v>61449</v>
      </c>
      <c r="BM97" s="21">
        <v>53167</v>
      </c>
    </row>
    <row r="98" spans="1:65" x14ac:dyDescent="0.2">
      <c r="A98" s="21" t="s">
        <v>1413</v>
      </c>
      <c r="B98" s="21" t="s">
        <v>1414</v>
      </c>
      <c r="C98" s="21" t="s">
        <v>320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</row>
    <row r="99" spans="1:65" x14ac:dyDescent="0.2">
      <c r="A99" s="21" t="s">
        <v>1413</v>
      </c>
      <c r="B99" s="21" t="s">
        <v>1414</v>
      </c>
      <c r="C99" s="21" t="s">
        <v>322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</row>
    <row r="100" spans="1:65" x14ac:dyDescent="0.2">
      <c r="A100" s="21" t="s">
        <v>1413</v>
      </c>
      <c r="B100" s="21" t="s">
        <v>1414</v>
      </c>
      <c r="C100" s="21" t="s">
        <v>324</v>
      </c>
      <c r="D100" s="21">
        <v>15474</v>
      </c>
      <c r="E100" s="21">
        <v>7689</v>
      </c>
      <c r="F100" s="21">
        <v>1829</v>
      </c>
      <c r="G100" s="21">
        <v>334</v>
      </c>
      <c r="H100" s="21">
        <v>6671</v>
      </c>
      <c r="I100" s="21">
        <v>-482</v>
      </c>
      <c r="J100" s="21">
        <v>3725</v>
      </c>
      <c r="K100" s="21">
        <v>-1020</v>
      </c>
      <c r="L100" s="21">
        <v>-2152</v>
      </c>
      <c r="M100" s="21">
        <v>3656</v>
      </c>
      <c r="N100" s="21">
        <v>6688</v>
      </c>
      <c r="O100" s="21">
        <v>12046</v>
      </c>
      <c r="P100" s="21">
        <v>26227</v>
      </c>
      <c r="Q100" s="21">
        <v>48715</v>
      </c>
      <c r="R100" s="21">
        <v>43311</v>
      </c>
      <c r="S100" s="21">
        <v>21103</v>
      </c>
      <c r="T100" s="21">
        <v>29378</v>
      </c>
      <c r="U100" s="21">
        <v>59422</v>
      </c>
      <c r="V100" s="21">
        <v>67318</v>
      </c>
      <c r="W100" s="21">
        <v>69381</v>
      </c>
      <c r="X100" s="21">
        <v>71399</v>
      </c>
      <c r="Y100" s="21">
        <v>113406</v>
      </c>
      <c r="Z100" s="21">
        <v>100026</v>
      </c>
      <c r="AA100" s="21">
        <v>120547</v>
      </c>
      <c r="AB100" s="21">
        <v>135323</v>
      </c>
      <c r="AC100" s="21">
        <v>139655</v>
      </c>
      <c r="AD100" s="21">
        <v>122481</v>
      </c>
      <c r="AE100" s="21">
        <v>158101</v>
      </c>
      <c r="AF100" s="21">
        <v>108399</v>
      </c>
      <c r="AG100" s="21">
        <v>37450</v>
      </c>
      <c r="AH100" s="21">
        <v>7888</v>
      </c>
      <c r="AI100" s="21">
        <v>66965</v>
      </c>
      <c r="AJ100" s="21">
        <v>86737</v>
      </c>
      <c r="AK100" s="21">
        <v>94910</v>
      </c>
      <c r="AL100" s="21">
        <v>152937</v>
      </c>
      <c r="AM100" s="21">
        <v>133856</v>
      </c>
      <c r="AN100" s="21">
        <v>137144</v>
      </c>
      <c r="AO100" s="21">
        <v>116203</v>
      </c>
      <c r="AP100" s="21">
        <v>88224</v>
      </c>
      <c r="AQ100" s="21">
        <v>98924</v>
      </c>
      <c r="AR100" s="21">
        <v>115199</v>
      </c>
      <c r="AS100" s="21">
        <v>75156</v>
      </c>
      <c r="AT100" s="21">
        <v>71596</v>
      </c>
      <c r="AU100" s="21">
        <v>21905</v>
      </c>
      <c r="AV100" s="21">
        <v>38597</v>
      </c>
      <c r="AW100" s="21">
        <v>84544</v>
      </c>
      <c r="AX100" s="21">
        <v>62849</v>
      </c>
      <c r="AY100" s="21">
        <v>106632</v>
      </c>
      <c r="AZ100" s="21">
        <v>111986</v>
      </c>
      <c r="BA100" s="21">
        <v>116188</v>
      </c>
      <c r="BB100" s="21">
        <v>88634</v>
      </c>
      <c r="BC100" s="21">
        <v>127101</v>
      </c>
      <c r="BD100" s="21">
        <v>161256</v>
      </c>
      <c r="BE100" s="21">
        <v>197472</v>
      </c>
      <c r="BF100" s="21">
        <v>181559</v>
      </c>
      <c r="BG100" s="21">
        <v>226819</v>
      </c>
      <c r="BH100" s="21">
        <v>226906</v>
      </c>
      <c r="BI100" s="21">
        <v>192144</v>
      </c>
      <c r="BJ100" s="21">
        <v>151684</v>
      </c>
      <c r="BK100" s="21">
        <v>133220</v>
      </c>
      <c r="BL100" s="21">
        <v>161436</v>
      </c>
      <c r="BM100" s="21">
        <v>134131</v>
      </c>
    </row>
    <row r="101" spans="1:65" x14ac:dyDescent="0.2">
      <c r="A101" s="21" t="s">
        <v>1413</v>
      </c>
      <c r="B101" s="21" t="s">
        <v>1414</v>
      </c>
      <c r="C101" s="21" t="s">
        <v>326</v>
      </c>
      <c r="D101" s="21">
        <v>4535</v>
      </c>
      <c r="E101" s="21">
        <v>2254</v>
      </c>
      <c r="F101" s="21">
        <v>536</v>
      </c>
      <c r="G101" s="21">
        <v>98</v>
      </c>
      <c r="H101" s="21">
        <v>1955</v>
      </c>
      <c r="I101" s="21">
        <v>-141</v>
      </c>
      <c r="J101" s="21">
        <v>1092</v>
      </c>
      <c r="K101" s="21">
        <v>-299</v>
      </c>
      <c r="L101" s="21">
        <v>-631</v>
      </c>
      <c r="M101" s="21">
        <v>1072</v>
      </c>
      <c r="N101" s="21">
        <v>1960</v>
      </c>
      <c r="O101" s="21">
        <v>3530</v>
      </c>
      <c r="P101" s="21">
        <v>7687</v>
      </c>
      <c r="Q101" s="21">
        <v>14278</v>
      </c>
      <c r="R101" s="21">
        <v>12694</v>
      </c>
      <c r="S101" s="21">
        <v>6185</v>
      </c>
      <c r="T101" s="21">
        <v>8610</v>
      </c>
      <c r="U101" s="21">
        <v>17416</v>
      </c>
      <c r="V101" s="21">
        <v>19730</v>
      </c>
      <c r="W101" s="21">
        <v>20334</v>
      </c>
      <c r="X101" s="21">
        <v>20926</v>
      </c>
      <c r="Y101" s="21">
        <v>33237</v>
      </c>
      <c r="Z101" s="21">
        <v>29316</v>
      </c>
      <c r="AA101" s="21">
        <v>35330</v>
      </c>
      <c r="AB101" s="21">
        <v>39661</v>
      </c>
      <c r="AC101" s="21">
        <v>40931</v>
      </c>
      <c r="AD101" s="21">
        <v>35897</v>
      </c>
      <c r="AE101" s="21">
        <v>46337</v>
      </c>
      <c r="AF101" s="21">
        <v>31770</v>
      </c>
      <c r="AG101" s="21">
        <v>10976</v>
      </c>
      <c r="AH101" s="21">
        <v>2312</v>
      </c>
      <c r="AI101" s="21">
        <v>19626</v>
      </c>
      <c r="AJ101" s="21">
        <v>25421</v>
      </c>
      <c r="AK101" s="21">
        <v>27817</v>
      </c>
      <c r="AL101" s="21">
        <v>44823</v>
      </c>
      <c r="AM101" s="21">
        <v>39231</v>
      </c>
      <c r="AN101" s="21">
        <v>40195</v>
      </c>
      <c r="AO101" s="21">
        <v>34057</v>
      </c>
      <c r="AP101" s="21">
        <v>25857</v>
      </c>
      <c r="AQ101" s="21">
        <v>28993</v>
      </c>
      <c r="AR101" s="21">
        <v>33763</v>
      </c>
      <c r="AS101" s="21">
        <v>22027</v>
      </c>
      <c r="AT101" s="21">
        <v>20984</v>
      </c>
      <c r="AU101" s="21">
        <v>6420</v>
      </c>
      <c r="AV101" s="21">
        <v>11312</v>
      </c>
      <c r="AW101" s="21">
        <v>24778</v>
      </c>
      <c r="AX101" s="21">
        <v>18420</v>
      </c>
      <c r="AY101" s="21">
        <v>31252</v>
      </c>
      <c r="AZ101" s="21">
        <v>32821</v>
      </c>
      <c r="BA101" s="21">
        <v>34053</v>
      </c>
      <c r="BB101" s="21">
        <v>25977</v>
      </c>
      <c r="BC101" s="21">
        <v>37251</v>
      </c>
      <c r="BD101" s="21">
        <v>47261</v>
      </c>
      <c r="BE101" s="21">
        <v>57876</v>
      </c>
      <c r="BF101" s="21">
        <v>53212</v>
      </c>
      <c r="BG101" s="21">
        <v>66477</v>
      </c>
      <c r="BH101" s="21">
        <v>66502</v>
      </c>
      <c r="BI101" s="21">
        <v>56314</v>
      </c>
      <c r="BJ101" s="21">
        <v>44456</v>
      </c>
      <c r="BK101" s="21">
        <v>39044</v>
      </c>
      <c r="BL101" s="21">
        <v>47314</v>
      </c>
      <c r="BM101" s="21">
        <v>39312</v>
      </c>
    </row>
    <row r="102" spans="1:65" x14ac:dyDescent="0.2">
      <c r="A102" s="21" t="s">
        <v>1413</v>
      </c>
      <c r="B102" s="21" t="s">
        <v>1414</v>
      </c>
      <c r="C102" s="21" t="s">
        <v>327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6559</v>
      </c>
      <c r="Z102" s="21">
        <v>17999</v>
      </c>
      <c r="AA102" s="21">
        <v>33561</v>
      </c>
      <c r="AB102" s="21">
        <v>40953</v>
      </c>
      <c r="AC102" s="21">
        <v>49509</v>
      </c>
      <c r="AD102" s="21">
        <v>57178</v>
      </c>
      <c r="AE102" s="21">
        <v>65794</v>
      </c>
      <c r="AF102" s="21">
        <v>66825</v>
      </c>
      <c r="AG102" s="21">
        <v>67814</v>
      </c>
      <c r="AH102" s="21">
        <v>60254</v>
      </c>
      <c r="AI102" s="21">
        <v>69774</v>
      </c>
      <c r="AJ102" s="21">
        <v>79277</v>
      </c>
      <c r="AK102" s="21">
        <v>93188</v>
      </c>
      <c r="AL102" s="21">
        <v>104446</v>
      </c>
      <c r="AM102" s="21">
        <v>112145</v>
      </c>
      <c r="AN102" s="21">
        <v>80484</v>
      </c>
      <c r="AO102" s="21">
        <v>101196</v>
      </c>
      <c r="AP102" s="21">
        <v>112221</v>
      </c>
      <c r="AQ102" s="21">
        <v>117411</v>
      </c>
      <c r="AR102" s="21">
        <v>134597</v>
      </c>
      <c r="AS102" s="21">
        <v>140409</v>
      </c>
      <c r="AT102" s="21">
        <v>167052</v>
      </c>
      <c r="AU102" s="21">
        <v>227531</v>
      </c>
      <c r="AV102" s="21">
        <v>286229</v>
      </c>
      <c r="AW102" s="21">
        <v>327770</v>
      </c>
      <c r="AX102" s="21">
        <v>442403</v>
      </c>
      <c r="AY102" s="21">
        <v>557570</v>
      </c>
      <c r="AZ102" s="21">
        <v>785807</v>
      </c>
      <c r="BA102" s="21">
        <v>893957</v>
      </c>
      <c r="BB102" s="21">
        <v>1041483</v>
      </c>
      <c r="BC102" s="21">
        <v>1045041</v>
      </c>
      <c r="BD102" s="21">
        <v>1044666</v>
      </c>
      <c r="BE102" s="21">
        <v>1071703</v>
      </c>
      <c r="BF102" s="21">
        <v>1093418</v>
      </c>
      <c r="BG102" s="21">
        <v>1109733</v>
      </c>
      <c r="BH102" s="21">
        <v>1143028</v>
      </c>
      <c r="BI102" s="21">
        <v>1155526</v>
      </c>
      <c r="BJ102" s="21">
        <v>1152372</v>
      </c>
      <c r="BK102" s="21">
        <v>1161542</v>
      </c>
      <c r="BL102" s="21">
        <v>1004238</v>
      </c>
      <c r="BM102" s="21">
        <v>1109441</v>
      </c>
    </row>
    <row r="103" spans="1:65" x14ac:dyDescent="0.2">
      <c r="A103" s="21" t="s">
        <v>1413</v>
      </c>
      <c r="B103" s="21" t="s">
        <v>1414</v>
      </c>
      <c r="C103" s="21" t="s">
        <v>331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60</v>
      </c>
      <c r="Z103" s="21">
        <v>155</v>
      </c>
      <c r="AA103" s="21">
        <v>279</v>
      </c>
      <c r="AB103" s="21">
        <v>366</v>
      </c>
      <c r="AC103" s="21">
        <v>361</v>
      </c>
      <c r="AD103" s="21">
        <v>489</v>
      </c>
      <c r="AE103" s="21">
        <v>567</v>
      </c>
      <c r="AF103" s="21">
        <v>646</v>
      </c>
      <c r="AG103" s="21">
        <v>566</v>
      </c>
      <c r="AH103" s="21">
        <v>506</v>
      </c>
      <c r="AI103" s="21">
        <v>483</v>
      </c>
      <c r="AJ103" s="21">
        <v>480</v>
      </c>
      <c r="AK103" s="21">
        <v>293</v>
      </c>
      <c r="AL103" s="21">
        <v>218</v>
      </c>
      <c r="AM103" s="21">
        <v>176</v>
      </c>
      <c r="AN103" s="21">
        <v>206</v>
      </c>
      <c r="AO103" s="21">
        <v>672</v>
      </c>
      <c r="AP103" s="21">
        <v>618</v>
      </c>
      <c r="AQ103" s="21">
        <v>259</v>
      </c>
      <c r="AR103" s="21">
        <v>402</v>
      </c>
      <c r="AS103" s="21">
        <v>420</v>
      </c>
      <c r="AT103" s="21">
        <v>540</v>
      </c>
      <c r="AU103" s="21">
        <v>1088</v>
      </c>
      <c r="AV103" s="21">
        <v>903</v>
      </c>
      <c r="AW103" s="21">
        <v>586</v>
      </c>
      <c r="AX103" s="21">
        <v>1109</v>
      </c>
      <c r="AY103" s="21">
        <v>1349</v>
      </c>
      <c r="AZ103" s="21">
        <v>2099</v>
      </c>
      <c r="BA103" s="21">
        <v>2802</v>
      </c>
      <c r="BB103" s="21">
        <v>3259</v>
      </c>
      <c r="BC103" s="21">
        <v>2863</v>
      </c>
      <c r="BD103" s="21">
        <v>2552</v>
      </c>
      <c r="BE103" s="21">
        <v>2639</v>
      </c>
      <c r="BF103" s="21">
        <v>3706</v>
      </c>
      <c r="BG103" s="21">
        <v>25701</v>
      </c>
      <c r="BH103" s="21">
        <v>25772</v>
      </c>
      <c r="BI103" s="21">
        <v>25129</v>
      </c>
      <c r="BJ103" s="21">
        <v>25495</v>
      </c>
      <c r="BK103" s="21">
        <v>25962</v>
      </c>
      <c r="BL103" s="21">
        <v>26261</v>
      </c>
      <c r="BM103" s="21">
        <v>26690</v>
      </c>
    </row>
    <row r="104" spans="1:65" x14ac:dyDescent="0.2">
      <c r="A104" s="21" t="s">
        <v>1413</v>
      </c>
      <c r="B104" s="21" t="s">
        <v>1414</v>
      </c>
      <c r="C104" s="21" t="s">
        <v>337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241</v>
      </c>
      <c r="Z104" s="21">
        <v>466</v>
      </c>
      <c r="AA104" s="21">
        <v>460</v>
      </c>
      <c r="AB104" s="21">
        <v>821</v>
      </c>
      <c r="AC104" s="21">
        <v>1089</v>
      </c>
      <c r="AD104" s="21">
        <v>1133</v>
      </c>
      <c r="AE104" s="21">
        <v>1259</v>
      </c>
      <c r="AF104" s="21">
        <v>1129</v>
      </c>
      <c r="AG104" s="21">
        <v>1200</v>
      </c>
      <c r="AH104" s="21">
        <v>980</v>
      </c>
      <c r="AI104" s="21">
        <v>1284</v>
      </c>
      <c r="AJ104" s="21">
        <v>1583</v>
      </c>
      <c r="AK104" s="21">
        <v>1565</v>
      </c>
      <c r="AL104" s="21">
        <v>1772</v>
      </c>
      <c r="AM104" s="21">
        <v>1849</v>
      </c>
      <c r="AN104" s="21">
        <v>1202</v>
      </c>
      <c r="AO104" s="21">
        <v>1829</v>
      </c>
      <c r="AP104" s="21">
        <v>1744</v>
      </c>
      <c r="AQ104" s="21">
        <v>1463</v>
      </c>
      <c r="AR104" s="21">
        <v>1535</v>
      </c>
      <c r="AS104" s="21">
        <v>2912</v>
      </c>
      <c r="AT104" s="21">
        <v>3600</v>
      </c>
      <c r="AU104" s="21">
        <v>4744</v>
      </c>
      <c r="AV104" s="21">
        <v>6197</v>
      </c>
      <c r="AW104" s="21">
        <v>6792</v>
      </c>
      <c r="AX104" s="21">
        <v>9108</v>
      </c>
      <c r="AY104" s="21">
        <v>9678</v>
      </c>
      <c r="AZ104" s="21">
        <v>11713</v>
      </c>
      <c r="BA104" s="21">
        <v>12894</v>
      </c>
      <c r="BB104" s="21">
        <v>16476</v>
      </c>
      <c r="BC104" s="21">
        <v>16731</v>
      </c>
      <c r="BD104" s="21">
        <v>16629</v>
      </c>
      <c r="BE104" s="21">
        <v>17483</v>
      </c>
      <c r="BF104" s="21">
        <v>14164</v>
      </c>
      <c r="BG104" s="21">
        <v>17621</v>
      </c>
      <c r="BH104" s="21">
        <v>18081</v>
      </c>
      <c r="BI104" s="21">
        <v>18471</v>
      </c>
      <c r="BJ104" s="21">
        <v>18765</v>
      </c>
      <c r="BK104" s="21">
        <v>18775</v>
      </c>
      <c r="BL104" s="21">
        <v>19045</v>
      </c>
      <c r="BM104" s="21">
        <v>18822</v>
      </c>
    </row>
    <row r="105" spans="1:65" x14ac:dyDescent="0.2">
      <c r="A105" s="21" t="s">
        <v>1413</v>
      </c>
      <c r="B105" s="21" t="s">
        <v>1414</v>
      </c>
      <c r="C105" s="21" t="s">
        <v>341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5860</v>
      </c>
      <c r="Z105" s="21">
        <v>15784</v>
      </c>
      <c r="AA105" s="21">
        <v>28843</v>
      </c>
      <c r="AB105" s="21">
        <v>35162</v>
      </c>
      <c r="AC105" s="21">
        <v>42191</v>
      </c>
      <c r="AD105" s="21">
        <v>48299</v>
      </c>
      <c r="AE105" s="21">
        <v>55105</v>
      </c>
      <c r="AF105" s="21">
        <v>55458</v>
      </c>
      <c r="AG105" s="21">
        <v>55798</v>
      </c>
      <c r="AH105" s="21">
        <v>49127</v>
      </c>
      <c r="AI105" s="21">
        <v>56460</v>
      </c>
      <c r="AJ105" s="21">
        <v>63665</v>
      </c>
      <c r="AK105" s="21">
        <v>74016</v>
      </c>
      <c r="AL105" s="21">
        <v>81955</v>
      </c>
      <c r="AM105" s="21">
        <v>85627</v>
      </c>
      <c r="AN105" s="21">
        <v>60897</v>
      </c>
      <c r="AO105" s="21">
        <v>79931</v>
      </c>
      <c r="AP105" s="21">
        <v>86451</v>
      </c>
      <c r="AQ105" s="21">
        <v>89834</v>
      </c>
      <c r="AR105" s="21">
        <v>99179</v>
      </c>
      <c r="AS105" s="21">
        <v>107582</v>
      </c>
      <c r="AT105" s="21">
        <v>130036</v>
      </c>
      <c r="AU105" s="21">
        <v>167976</v>
      </c>
      <c r="AV105" s="21">
        <v>200975</v>
      </c>
      <c r="AW105" s="21">
        <v>227117</v>
      </c>
      <c r="AX105" s="21">
        <v>279906</v>
      </c>
      <c r="AY105" s="21">
        <v>368222</v>
      </c>
      <c r="AZ105" s="21">
        <v>517598</v>
      </c>
      <c r="BA105" s="21">
        <v>601686</v>
      </c>
      <c r="BB105" s="21">
        <v>725970</v>
      </c>
      <c r="BC105" s="21">
        <v>753993</v>
      </c>
      <c r="BD105" s="21">
        <v>709127</v>
      </c>
      <c r="BE105" s="21">
        <v>711235</v>
      </c>
      <c r="BF105" s="21">
        <v>764221</v>
      </c>
      <c r="BG105" s="21">
        <v>788345</v>
      </c>
      <c r="BH105" s="21">
        <v>818059</v>
      </c>
      <c r="BI105" s="21">
        <v>844342</v>
      </c>
      <c r="BJ105" s="21">
        <v>851961</v>
      </c>
      <c r="BK105" s="21">
        <v>831945</v>
      </c>
      <c r="BL105" s="21">
        <v>731951</v>
      </c>
      <c r="BM105" s="21">
        <v>786485</v>
      </c>
    </row>
    <row r="106" spans="1:65" x14ac:dyDescent="0.2">
      <c r="A106" s="21" t="s">
        <v>1413</v>
      </c>
      <c r="B106" s="21" t="s">
        <v>1414</v>
      </c>
      <c r="C106" s="21" t="s">
        <v>343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6860</v>
      </c>
      <c r="Z106" s="21">
        <v>18620</v>
      </c>
      <c r="AA106" s="21">
        <v>34300</v>
      </c>
      <c r="AB106" s="21">
        <v>42140</v>
      </c>
      <c r="AC106" s="21">
        <v>50960</v>
      </c>
      <c r="AD106" s="21">
        <v>58800</v>
      </c>
      <c r="AE106" s="21">
        <v>67620</v>
      </c>
      <c r="AF106" s="21">
        <v>68600</v>
      </c>
      <c r="AG106" s="21">
        <v>69580</v>
      </c>
      <c r="AH106" s="21">
        <v>61740</v>
      </c>
      <c r="AI106" s="21">
        <v>71540</v>
      </c>
      <c r="AJ106" s="21">
        <v>81340</v>
      </c>
      <c r="AK106" s="21">
        <v>95047</v>
      </c>
      <c r="AL106" s="21">
        <v>106436</v>
      </c>
      <c r="AM106" s="21">
        <v>114170</v>
      </c>
      <c r="AN106" s="21">
        <v>81892</v>
      </c>
      <c r="AO106" s="21">
        <v>103696</v>
      </c>
      <c r="AP106" s="21">
        <v>114583</v>
      </c>
      <c r="AQ106" s="21">
        <v>119133</v>
      </c>
      <c r="AR106" s="21">
        <v>136533</v>
      </c>
      <c r="AS106" s="21">
        <v>143740</v>
      </c>
      <c r="AT106" s="21">
        <v>171191</v>
      </c>
      <c r="AU106" s="21">
        <v>233363</v>
      </c>
      <c r="AV106" s="21">
        <v>293328</v>
      </c>
      <c r="AW106" s="21">
        <v>335148</v>
      </c>
      <c r="AX106" s="21">
        <v>452620</v>
      </c>
      <c r="AY106" s="21">
        <v>568597</v>
      </c>
      <c r="AZ106" s="21">
        <v>799619</v>
      </c>
      <c r="BA106" s="21">
        <v>909653</v>
      </c>
      <c r="BB106" s="21">
        <v>1061218</v>
      </c>
      <c r="BC106" s="21">
        <v>1064634</v>
      </c>
      <c r="BD106" s="21">
        <v>1063847</v>
      </c>
      <c r="BE106" s="21">
        <v>1091826</v>
      </c>
      <c r="BF106" s="21">
        <v>1111288</v>
      </c>
      <c r="BG106" s="21">
        <v>1153054</v>
      </c>
      <c r="BH106" s="21">
        <v>1186881</v>
      </c>
      <c r="BI106" s="21">
        <v>1199125</v>
      </c>
      <c r="BJ106" s="21">
        <v>1196632</v>
      </c>
      <c r="BK106" s="21">
        <v>1206278</v>
      </c>
      <c r="BL106" s="21">
        <v>1049544</v>
      </c>
      <c r="BM106" s="21">
        <v>1154953</v>
      </c>
    </row>
    <row r="107" spans="1:65" x14ac:dyDescent="0.2">
      <c r="A107" s="21" t="s">
        <v>1413</v>
      </c>
      <c r="B107" s="21" t="s">
        <v>1414</v>
      </c>
      <c r="C107" s="21" t="s">
        <v>347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1891</v>
      </c>
      <c r="Z107" s="21">
        <v>5190</v>
      </c>
      <c r="AA107" s="21">
        <v>9677</v>
      </c>
      <c r="AB107" s="21">
        <v>11808</v>
      </c>
      <c r="AC107" s="21">
        <v>14275</v>
      </c>
      <c r="AD107" s="21">
        <v>16486</v>
      </c>
      <c r="AE107" s="21">
        <v>18971</v>
      </c>
      <c r="AF107" s="21">
        <v>19268</v>
      </c>
      <c r="AG107" s="21">
        <v>19553</v>
      </c>
      <c r="AH107" s="21">
        <v>17373</v>
      </c>
      <c r="AI107" s="21">
        <v>20118</v>
      </c>
      <c r="AJ107" s="21">
        <v>22858</v>
      </c>
      <c r="AK107" s="21">
        <v>26869</v>
      </c>
      <c r="AL107" s="21">
        <v>30115</v>
      </c>
      <c r="AM107" s="21">
        <v>32335</v>
      </c>
      <c r="AN107" s="21">
        <v>23206</v>
      </c>
      <c r="AO107" s="21">
        <v>29178</v>
      </c>
      <c r="AP107" s="21">
        <v>32357</v>
      </c>
      <c r="AQ107" s="21">
        <v>33853</v>
      </c>
      <c r="AR107" s="21">
        <v>38809</v>
      </c>
      <c r="AS107" s="21">
        <v>40485</v>
      </c>
      <c r="AT107" s="21">
        <v>48166</v>
      </c>
      <c r="AU107" s="21">
        <v>65605</v>
      </c>
      <c r="AV107" s="21">
        <v>82529</v>
      </c>
      <c r="AW107" s="21">
        <v>94507</v>
      </c>
      <c r="AX107" s="21">
        <v>127559</v>
      </c>
      <c r="AY107" s="21">
        <v>160765</v>
      </c>
      <c r="AZ107" s="21">
        <v>226574</v>
      </c>
      <c r="BA107" s="21">
        <v>258242</v>
      </c>
      <c r="BB107" s="21">
        <v>300462</v>
      </c>
      <c r="BC107" s="21">
        <v>301334</v>
      </c>
      <c r="BD107" s="21">
        <v>301181</v>
      </c>
      <c r="BE107" s="21">
        <v>308859</v>
      </c>
      <c r="BF107" s="21">
        <v>314948</v>
      </c>
      <c r="BG107" s="21">
        <v>319588</v>
      </c>
      <c r="BH107" s="21">
        <v>329188</v>
      </c>
      <c r="BI107" s="21">
        <v>332342</v>
      </c>
      <c r="BJ107" s="21">
        <v>330643</v>
      </c>
      <c r="BK107" s="21">
        <v>333619</v>
      </c>
      <c r="BL107" s="21">
        <v>288892</v>
      </c>
      <c r="BM107" s="21">
        <v>318927</v>
      </c>
    </row>
    <row r="108" spans="1:65" x14ac:dyDescent="0.2">
      <c r="A108" s="21" t="s">
        <v>1413</v>
      </c>
      <c r="B108" s="21" t="s">
        <v>1414</v>
      </c>
      <c r="C108" s="21" t="s">
        <v>349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17</v>
      </c>
      <c r="Z108" s="21">
        <v>45</v>
      </c>
      <c r="AA108" s="21">
        <v>80</v>
      </c>
      <c r="AB108" s="21">
        <v>106</v>
      </c>
      <c r="AC108" s="21">
        <v>104</v>
      </c>
      <c r="AD108" s="21">
        <v>141</v>
      </c>
      <c r="AE108" s="21">
        <v>163</v>
      </c>
      <c r="AF108" s="21">
        <v>186</v>
      </c>
      <c r="AG108" s="21">
        <v>163</v>
      </c>
      <c r="AH108" s="21">
        <v>146</v>
      </c>
      <c r="AI108" s="21">
        <v>139</v>
      </c>
      <c r="AJ108" s="21">
        <v>138</v>
      </c>
      <c r="AK108" s="21">
        <v>84</v>
      </c>
      <c r="AL108" s="21">
        <v>63</v>
      </c>
      <c r="AM108" s="21">
        <v>51</v>
      </c>
      <c r="AN108" s="21">
        <v>59</v>
      </c>
      <c r="AO108" s="21">
        <v>194</v>
      </c>
      <c r="AP108" s="21">
        <v>178</v>
      </c>
      <c r="AQ108" s="21">
        <v>75</v>
      </c>
      <c r="AR108" s="21">
        <v>116</v>
      </c>
      <c r="AS108" s="21">
        <v>121</v>
      </c>
      <c r="AT108" s="21">
        <v>156</v>
      </c>
      <c r="AU108" s="21">
        <v>314</v>
      </c>
      <c r="AV108" s="21">
        <v>260</v>
      </c>
      <c r="AW108" s="21">
        <v>169</v>
      </c>
      <c r="AX108" s="21">
        <v>320</v>
      </c>
      <c r="AY108" s="21">
        <v>389</v>
      </c>
      <c r="AZ108" s="21">
        <v>605</v>
      </c>
      <c r="BA108" s="21">
        <v>810</v>
      </c>
      <c r="BB108" s="21">
        <v>940</v>
      </c>
      <c r="BC108" s="21">
        <v>826</v>
      </c>
      <c r="BD108" s="21">
        <v>736</v>
      </c>
      <c r="BE108" s="21">
        <v>761</v>
      </c>
      <c r="BF108" s="21">
        <v>1068</v>
      </c>
      <c r="BG108" s="21">
        <v>7401</v>
      </c>
      <c r="BH108" s="21">
        <v>7422</v>
      </c>
      <c r="BI108" s="21">
        <v>7227</v>
      </c>
      <c r="BJ108" s="21">
        <v>7315</v>
      </c>
      <c r="BK108" s="21">
        <v>7457</v>
      </c>
      <c r="BL108" s="21">
        <v>7555</v>
      </c>
      <c r="BM108" s="21">
        <v>7673</v>
      </c>
    </row>
    <row r="109" spans="1:65" x14ac:dyDescent="0.2">
      <c r="A109" s="21" t="s">
        <v>1413</v>
      </c>
      <c r="B109" s="21" t="s">
        <v>1414</v>
      </c>
      <c r="C109" s="21" t="s">
        <v>351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69</v>
      </c>
      <c r="Z109" s="21">
        <v>134</v>
      </c>
      <c r="AA109" s="21">
        <v>133</v>
      </c>
      <c r="AB109" s="21">
        <v>237</v>
      </c>
      <c r="AC109" s="21">
        <v>314</v>
      </c>
      <c r="AD109" s="21">
        <v>327</v>
      </c>
      <c r="AE109" s="21">
        <v>363</v>
      </c>
      <c r="AF109" s="21">
        <v>326</v>
      </c>
      <c r="AG109" s="21">
        <v>346</v>
      </c>
      <c r="AH109" s="21">
        <v>283</v>
      </c>
      <c r="AI109" s="21">
        <v>370</v>
      </c>
      <c r="AJ109" s="21">
        <v>456</v>
      </c>
      <c r="AK109" s="21">
        <v>451</v>
      </c>
      <c r="AL109" s="21">
        <v>511</v>
      </c>
      <c r="AM109" s="21">
        <v>533</v>
      </c>
      <c r="AN109" s="21">
        <v>346</v>
      </c>
      <c r="AO109" s="21">
        <v>527</v>
      </c>
      <c r="AP109" s="21">
        <v>503</v>
      </c>
      <c r="AQ109" s="21">
        <v>422</v>
      </c>
      <c r="AR109" s="21">
        <v>443</v>
      </c>
      <c r="AS109" s="21">
        <v>839</v>
      </c>
      <c r="AT109" s="21">
        <v>1038</v>
      </c>
      <c r="AU109" s="21">
        <v>1368</v>
      </c>
      <c r="AV109" s="21">
        <v>1787</v>
      </c>
      <c r="AW109" s="21">
        <v>1958</v>
      </c>
      <c r="AX109" s="21">
        <v>2626</v>
      </c>
      <c r="AY109" s="21">
        <v>2791</v>
      </c>
      <c r="AZ109" s="21">
        <v>3377</v>
      </c>
      <c r="BA109" s="21">
        <v>3725</v>
      </c>
      <c r="BB109" s="21">
        <v>4753</v>
      </c>
      <c r="BC109" s="21">
        <v>4824</v>
      </c>
      <c r="BD109" s="21">
        <v>4794</v>
      </c>
      <c r="BE109" s="21">
        <v>5039</v>
      </c>
      <c r="BF109" s="21">
        <v>4080</v>
      </c>
      <c r="BG109" s="21">
        <v>5075</v>
      </c>
      <c r="BH109" s="21">
        <v>5207</v>
      </c>
      <c r="BI109" s="21">
        <v>5312</v>
      </c>
      <c r="BJ109" s="21">
        <v>5384</v>
      </c>
      <c r="BK109" s="21">
        <v>5392</v>
      </c>
      <c r="BL109" s="21">
        <v>5479</v>
      </c>
      <c r="BM109" s="21">
        <v>5411</v>
      </c>
    </row>
    <row r="110" spans="1:65" x14ac:dyDescent="0.2">
      <c r="A110" s="21" t="s">
        <v>1413</v>
      </c>
      <c r="B110" s="21" t="s">
        <v>1414</v>
      </c>
      <c r="C110" s="21" t="s">
        <v>355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3.5640000000000001</v>
      </c>
      <c r="Z110" s="21">
        <v>3.5640000000000001</v>
      </c>
      <c r="AA110" s="21">
        <v>3.5640000000000001</v>
      </c>
      <c r="AB110" s="21">
        <v>3.5640000000000001</v>
      </c>
      <c r="AC110" s="21">
        <v>3.5640000000000001</v>
      </c>
      <c r="AD110" s="21">
        <v>3.5640000000000001</v>
      </c>
      <c r="AE110" s="21">
        <v>3.5640000000000001</v>
      </c>
      <c r="AF110" s="21">
        <v>3.5640000000000001</v>
      </c>
      <c r="AG110" s="21">
        <v>3.5640000000000001</v>
      </c>
      <c r="AH110" s="21">
        <v>3.5640000000000001</v>
      </c>
      <c r="AI110" s="21">
        <v>3.5640000000000001</v>
      </c>
      <c r="AJ110" s="21">
        <v>3.5640000000000001</v>
      </c>
      <c r="AK110" s="21">
        <v>3.5640000000000001</v>
      </c>
      <c r="AL110" s="21">
        <v>3.5640000000000001</v>
      </c>
      <c r="AM110" s="21">
        <v>3.5640000000000001</v>
      </c>
      <c r="AN110" s="21">
        <v>3.5640000000000001</v>
      </c>
      <c r="AO110" s="21">
        <v>3.5640000000000001</v>
      </c>
      <c r="AP110" s="21">
        <v>3.5640000000000001</v>
      </c>
      <c r="AQ110" s="21">
        <v>3.5640000000000001</v>
      </c>
      <c r="AR110" s="21">
        <v>3.5640000000000001</v>
      </c>
      <c r="AS110" s="21">
        <v>3.5640000000000001</v>
      </c>
      <c r="AT110" s="21">
        <v>3.5640000000000001</v>
      </c>
      <c r="AU110" s="21">
        <v>3.5640000000000001</v>
      </c>
      <c r="AV110" s="21">
        <v>3.5640000000000001</v>
      </c>
      <c r="AW110" s="21">
        <v>3.5640000000000001</v>
      </c>
      <c r="AX110" s="21">
        <v>3.5640000000000001</v>
      </c>
      <c r="AY110" s="21">
        <v>3.5640000000000001</v>
      </c>
      <c r="AZ110" s="21">
        <v>3.5640000000000001</v>
      </c>
      <c r="BA110" s="21">
        <v>3.5640000000000001</v>
      </c>
      <c r="BB110" s="21">
        <v>3.5619999999999998</v>
      </c>
      <c r="BC110" s="21">
        <v>3.5609999999999999</v>
      </c>
      <c r="BD110" s="21">
        <v>3.56</v>
      </c>
      <c r="BE110" s="21">
        <v>3.56</v>
      </c>
      <c r="BF110" s="21">
        <v>3.5590000000000002</v>
      </c>
      <c r="BG110" s="21">
        <v>3.5579999999999998</v>
      </c>
      <c r="BH110" s="21">
        <v>3.5579999999999998</v>
      </c>
      <c r="BI110" s="21">
        <v>3.556</v>
      </c>
      <c r="BJ110" s="21">
        <v>3.5529999999999999</v>
      </c>
      <c r="BK110" s="21">
        <v>3.5550000000000002</v>
      </c>
      <c r="BL110" s="21">
        <v>3.5569999999999999</v>
      </c>
      <c r="BM110" s="21">
        <v>3.5550000000000002</v>
      </c>
    </row>
    <row r="111" spans="1:65" x14ac:dyDescent="0.2">
      <c r="A111" s="21" t="s">
        <v>1413</v>
      </c>
      <c r="B111" s="21" t="s">
        <v>1414</v>
      </c>
      <c r="C111" s="21" t="s">
        <v>357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1978</v>
      </c>
      <c r="Z111" s="21">
        <v>5369</v>
      </c>
      <c r="AA111" s="21">
        <v>9890</v>
      </c>
      <c r="AB111" s="21">
        <v>12150</v>
      </c>
      <c r="AC111" s="21">
        <v>14693</v>
      </c>
      <c r="AD111" s="21">
        <v>16954</v>
      </c>
      <c r="AE111" s="21">
        <v>19497</v>
      </c>
      <c r="AF111" s="21">
        <v>19780</v>
      </c>
      <c r="AG111" s="21">
        <v>20062</v>
      </c>
      <c r="AH111" s="21">
        <v>17802</v>
      </c>
      <c r="AI111" s="21">
        <v>20627</v>
      </c>
      <c r="AJ111" s="21">
        <v>23453</v>
      </c>
      <c r="AK111" s="21">
        <v>27405</v>
      </c>
      <c r="AL111" s="21">
        <v>30689</v>
      </c>
      <c r="AM111" s="21">
        <v>32919</v>
      </c>
      <c r="AN111" s="21">
        <v>23612</v>
      </c>
      <c r="AO111" s="21">
        <v>29899</v>
      </c>
      <c r="AP111" s="21">
        <v>33038</v>
      </c>
      <c r="AQ111" s="21">
        <v>34350</v>
      </c>
      <c r="AR111" s="21">
        <v>39367</v>
      </c>
      <c r="AS111" s="21">
        <v>41445</v>
      </c>
      <c r="AT111" s="21">
        <v>49360</v>
      </c>
      <c r="AU111" s="21">
        <v>67286</v>
      </c>
      <c r="AV111" s="21">
        <v>84576</v>
      </c>
      <c r="AW111" s="21">
        <v>96634</v>
      </c>
      <c r="AX111" s="21">
        <v>130505</v>
      </c>
      <c r="AY111" s="21">
        <v>163945</v>
      </c>
      <c r="AZ111" s="21">
        <v>230556</v>
      </c>
      <c r="BA111" s="21">
        <v>262776</v>
      </c>
      <c r="BB111" s="21">
        <v>306155</v>
      </c>
      <c r="BC111" s="21">
        <v>306984</v>
      </c>
      <c r="BD111" s="21">
        <v>306711</v>
      </c>
      <c r="BE111" s="21">
        <v>314658</v>
      </c>
      <c r="BF111" s="21">
        <v>320095</v>
      </c>
      <c r="BG111" s="21">
        <v>332064</v>
      </c>
      <c r="BH111" s="21">
        <v>341817</v>
      </c>
      <c r="BI111" s="21">
        <v>344882</v>
      </c>
      <c r="BJ111" s="21">
        <v>343342</v>
      </c>
      <c r="BK111" s="21">
        <v>346468</v>
      </c>
      <c r="BL111" s="21">
        <v>301925</v>
      </c>
      <c r="BM111" s="21">
        <v>332010</v>
      </c>
    </row>
    <row r="112" spans="1:65" x14ac:dyDescent="0.2">
      <c r="A112" s="21" t="s">
        <v>1413</v>
      </c>
      <c r="B112" s="21" t="s">
        <v>1414</v>
      </c>
      <c r="C112" s="21" t="s">
        <v>359</v>
      </c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>
        <v>887849</v>
      </c>
      <c r="BC112" s="21">
        <v>963463</v>
      </c>
      <c r="BD112" s="21">
        <v>967432</v>
      </c>
      <c r="BE112" s="21">
        <v>1010788</v>
      </c>
      <c r="BF112" s="21">
        <v>1057816</v>
      </c>
      <c r="BG112" s="21">
        <v>1091028</v>
      </c>
      <c r="BH112" s="21">
        <v>1150498</v>
      </c>
      <c r="BI112" s="21">
        <v>1259906</v>
      </c>
      <c r="BJ112" s="21">
        <v>1502628</v>
      </c>
      <c r="BK112" s="21">
        <v>1560923</v>
      </c>
      <c r="BL112" s="21">
        <v>1749770</v>
      </c>
      <c r="BM112" s="21">
        <v>1835425</v>
      </c>
    </row>
    <row r="113" spans="1:65" x14ac:dyDescent="0.2">
      <c r="A113" s="21" t="s">
        <v>1413</v>
      </c>
      <c r="B113" s="21" t="s">
        <v>1414</v>
      </c>
      <c r="C113" s="21" t="s">
        <v>361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>
        <v>319026</v>
      </c>
      <c r="BC113" s="21">
        <v>346196</v>
      </c>
      <c r="BD113" s="21">
        <v>347622</v>
      </c>
      <c r="BE113" s="21">
        <v>363201</v>
      </c>
      <c r="BF113" s="21">
        <v>380099</v>
      </c>
      <c r="BG113" s="21">
        <v>392033</v>
      </c>
      <c r="BH113" s="21">
        <v>413402</v>
      </c>
      <c r="BI113" s="21">
        <v>452715</v>
      </c>
      <c r="BJ113" s="21">
        <v>539931</v>
      </c>
      <c r="BK113" s="21">
        <v>560878</v>
      </c>
      <c r="BL113" s="21">
        <v>628735</v>
      </c>
      <c r="BM113" s="21">
        <v>659513</v>
      </c>
    </row>
    <row r="114" spans="1:65" x14ac:dyDescent="0.2">
      <c r="A114" s="21" t="s">
        <v>1413</v>
      </c>
      <c r="B114" s="21" t="s">
        <v>1414</v>
      </c>
      <c r="C114" s="21" t="s">
        <v>362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>
        <v>887849</v>
      </c>
      <c r="BC114" s="21">
        <v>963463</v>
      </c>
      <c r="BD114" s="21">
        <v>967432</v>
      </c>
      <c r="BE114" s="21">
        <v>1010788</v>
      </c>
      <c r="BF114" s="21">
        <v>1057816</v>
      </c>
      <c r="BG114" s="21">
        <v>1091028</v>
      </c>
      <c r="BH114" s="21">
        <v>1150498</v>
      </c>
      <c r="BI114" s="21">
        <v>1259906</v>
      </c>
      <c r="BJ114" s="21">
        <v>1502628</v>
      </c>
      <c r="BK114" s="21">
        <v>1560923</v>
      </c>
      <c r="BL114" s="21">
        <v>1749770</v>
      </c>
      <c r="BM114" s="21">
        <v>1835425</v>
      </c>
    </row>
    <row r="115" spans="1:65" x14ac:dyDescent="0.2">
      <c r="A115" s="21" t="s">
        <v>1413</v>
      </c>
      <c r="B115" s="21" t="s">
        <v>1414</v>
      </c>
      <c r="C115" s="21" t="s">
        <v>364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>
        <v>319026</v>
      </c>
      <c r="BC115" s="21">
        <v>346196</v>
      </c>
      <c r="BD115" s="21">
        <v>347622</v>
      </c>
      <c r="BE115" s="21">
        <v>363201</v>
      </c>
      <c r="BF115" s="21">
        <v>380099</v>
      </c>
      <c r="BG115" s="21">
        <v>392033</v>
      </c>
      <c r="BH115" s="21">
        <v>413402</v>
      </c>
      <c r="BI115" s="21">
        <v>452715</v>
      </c>
      <c r="BJ115" s="21">
        <v>539931</v>
      </c>
      <c r="BK115" s="21">
        <v>560878</v>
      </c>
      <c r="BL115" s="21">
        <v>628735</v>
      </c>
      <c r="BM115" s="21">
        <v>659513</v>
      </c>
    </row>
    <row r="116" spans="1:65" x14ac:dyDescent="0.2">
      <c r="A116" s="21" t="s">
        <v>1413</v>
      </c>
      <c r="B116" s="21" t="s">
        <v>1414</v>
      </c>
      <c r="C116" s="21" t="s">
        <v>365</v>
      </c>
      <c r="D116" s="21">
        <v>10460</v>
      </c>
      <c r="E116" s="21">
        <v>10315</v>
      </c>
      <c r="F116" s="21">
        <v>10166</v>
      </c>
      <c r="G116" s="21">
        <v>9955</v>
      </c>
      <c r="H116" s="21">
        <v>10011</v>
      </c>
      <c r="I116" s="21">
        <v>9974</v>
      </c>
      <c r="J116" s="21">
        <v>9642</v>
      </c>
      <c r="K116" s="21">
        <v>10010</v>
      </c>
      <c r="L116" s="21">
        <v>10215</v>
      </c>
      <c r="M116" s="21">
        <v>10420</v>
      </c>
      <c r="N116" s="21">
        <v>10627</v>
      </c>
      <c r="O116" s="21">
        <v>10463</v>
      </c>
      <c r="P116" s="21">
        <v>10372</v>
      </c>
      <c r="Q116" s="21">
        <v>10533</v>
      </c>
      <c r="R116" s="21">
        <v>9721</v>
      </c>
      <c r="S116" s="21">
        <v>10150</v>
      </c>
      <c r="T116" s="21">
        <v>10060</v>
      </c>
      <c r="U116" s="21">
        <v>10429</v>
      </c>
      <c r="V116" s="21">
        <v>10027</v>
      </c>
      <c r="W116" s="21">
        <v>10117</v>
      </c>
      <c r="X116" s="21">
        <v>11069</v>
      </c>
      <c r="Y116" s="21">
        <v>10871</v>
      </c>
      <c r="Z116" s="21">
        <v>11002</v>
      </c>
      <c r="AA116" s="21">
        <v>12675</v>
      </c>
      <c r="AB116" s="21">
        <v>14293</v>
      </c>
      <c r="AC116" s="21">
        <v>14148</v>
      </c>
      <c r="AD116" s="21">
        <v>15058</v>
      </c>
      <c r="AE116" s="21">
        <v>15565</v>
      </c>
      <c r="AF116" s="21">
        <v>15930</v>
      </c>
      <c r="AG116" s="21">
        <v>16275</v>
      </c>
      <c r="AH116" s="21">
        <v>16212</v>
      </c>
      <c r="AI116" s="21">
        <v>16234</v>
      </c>
      <c r="AJ116" s="21">
        <v>16055</v>
      </c>
      <c r="AK116" s="21">
        <v>16278</v>
      </c>
      <c r="AL116" s="21">
        <v>17039</v>
      </c>
      <c r="AM116" s="21">
        <v>16971</v>
      </c>
      <c r="AN116" s="21">
        <v>16797</v>
      </c>
      <c r="AO116" s="21">
        <v>16745</v>
      </c>
      <c r="AP116" s="21">
        <v>16929</v>
      </c>
      <c r="AQ116" s="21">
        <v>17489</v>
      </c>
      <c r="AR116" s="21">
        <v>18362</v>
      </c>
      <c r="AS116" s="21">
        <v>18714</v>
      </c>
      <c r="AT116" s="21">
        <v>18866</v>
      </c>
      <c r="AU116" s="21">
        <v>23482</v>
      </c>
      <c r="AV116" s="21">
        <v>24647</v>
      </c>
      <c r="AW116" s="21">
        <v>25612</v>
      </c>
      <c r="AX116" s="21">
        <v>25104</v>
      </c>
      <c r="AY116" s="21">
        <v>27885</v>
      </c>
      <c r="AZ116" s="21">
        <v>26113</v>
      </c>
      <c r="BA116" s="21">
        <v>26504</v>
      </c>
      <c r="BB116" s="21">
        <v>26315</v>
      </c>
      <c r="BC116" s="21">
        <v>26177</v>
      </c>
      <c r="BD116" s="21">
        <v>24976</v>
      </c>
      <c r="BE116" s="21">
        <v>26017</v>
      </c>
      <c r="BF116" s="21">
        <v>26469</v>
      </c>
      <c r="BG116" s="21">
        <v>26056</v>
      </c>
      <c r="BH116" s="21">
        <v>25579</v>
      </c>
      <c r="BI116" s="21">
        <v>25667</v>
      </c>
      <c r="BJ116" s="21">
        <v>26152</v>
      </c>
      <c r="BK116" s="21">
        <v>26041</v>
      </c>
      <c r="BL116" s="21">
        <v>22341</v>
      </c>
      <c r="BM116" s="21">
        <v>21613</v>
      </c>
    </row>
    <row r="117" spans="1:65" x14ac:dyDescent="0.2">
      <c r="A117" s="21" t="s">
        <v>1413</v>
      </c>
      <c r="B117" s="21" t="s">
        <v>1414</v>
      </c>
      <c r="C117" s="21" t="s">
        <v>369</v>
      </c>
      <c r="D117" s="21">
        <v>3066</v>
      </c>
      <c r="E117" s="21">
        <v>3023</v>
      </c>
      <c r="F117" s="21">
        <v>2980</v>
      </c>
      <c r="G117" s="21">
        <v>2918</v>
      </c>
      <c r="H117" s="21">
        <v>2934</v>
      </c>
      <c r="I117" s="21">
        <v>2923</v>
      </c>
      <c r="J117" s="21">
        <v>2826</v>
      </c>
      <c r="K117" s="21">
        <v>2934</v>
      </c>
      <c r="L117" s="21">
        <v>2994</v>
      </c>
      <c r="M117" s="21">
        <v>3054</v>
      </c>
      <c r="N117" s="21">
        <v>3114</v>
      </c>
      <c r="O117" s="21">
        <v>3066</v>
      </c>
      <c r="P117" s="21">
        <v>3040</v>
      </c>
      <c r="Q117" s="21">
        <v>3087</v>
      </c>
      <c r="R117" s="21">
        <v>2849</v>
      </c>
      <c r="S117" s="21">
        <v>2975</v>
      </c>
      <c r="T117" s="21">
        <v>2948</v>
      </c>
      <c r="U117" s="21">
        <v>3056</v>
      </c>
      <c r="V117" s="21">
        <v>2939</v>
      </c>
      <c r="W117" s="21">
        <v>2965</v>
      </c>
      <c r="X117" s="21">
        <v>3244</v>
      </c>
      <c r="Y117" s="21">
        <v>3186</v>
      </c>
      <c r="Z117" s="21">
        <v>3225</v>
      </c>
      <c r="AA117" s="21">
        <v>3715</v>
      </c>
      <c r="AB117" s="21">
        <v>4189</v>
      </c>
      <c r="AC117" s="21">
        <v>4147</v>
      </c>
      <c r="AD117" s="21">
        <v>4413</v>
      </c>
      <c r="AE117" s="21">
        <v>4562</v>
      </c>
      <c r="AF117" s="21">
        <v>4669</v>
      </c>
      <c r="AG117" s="21">
        <v>4770</v>
      </c>
      <c r="AH117" s="21">
        <v>4751</v>
      </c>
      <c r="AI117" s="21">
        <v>4758</v>
      </c>
      <c r="AJ117" s="21">
        <v>4705</v>
      </c>
      <c r="AK117" s="21">
        <v>4771</v>
      </c>
      <c r="AL117" s="21">
        <v>4994</v>
      </c>
      <c r="AM117" s="21">
        <v>4974</v>
      </c>
      <c r="AN117" s="21">
        <v>4923</v>
      </c>
      <c r="AO117" s="21">
        <v>4908</v>
      </c>
      <c r="AP117" s="21">
        <v>4962</v>
      </c>
      <c r="AQ117" s="21">
        <v>5126</v>
      </c>
      <c r="AR117" s="21">
        <v>5382</v>
      </c>
      <c r="AS117" s="21">
        <v>5485</v>
      </c>
      <c r="AT117" s="21">
        <v>5529</v>
      </c>
      <c r="AU117" s="21">
        <v>6882</v>
      </c>
      <c r="AV117" s="21">
        <v>7224</v>
      </c>
      <c r="AW117" s="21">
        <v>7506</v>
      </c>
      <c r="AX117" s="21">
        <v>7358</v>
      </c>
      <c r="AY117" s="21">
        <v>8173</v>
      </c>
      <c r="AZ117" s="21">
        <v>7653</v>
      </c>
      <c r="BA117" s="21">
        <v>7768</v>
      </c>
      <c r="BB117" s="21">
        <v>7712</v>
      </c>
      <c r="BC117" s="21">
        <v>7672</v>
      </c>
      <c r="BD117" s="21">
        <v>7320</v>
      </c>
      <c r="BE117" s="21">
        <v>7625</v>
      </c>
      <c r="BF117" s="21">
        <v>7758</v>
      </c>
      <c r="BG117" s="21">
        <v>7637</v>
      </c>
      <c r="BH117" s="21">
        <v>7497</v>
      </c>
      <c r="BI117" s="21">
        <v>7523</v>
      </c>
      <c r="BJ117" s="21">
        <v>7665</v>
      </c>
      <c r="BK117" s="21">
        <v>7632</v>
      </c>
      <c r="BL117" s="21">
        <v>6548</v>
      </c>
      <c r="BM117" s="21">
        <v>6334</v>
      </c>
    </row>
    <row r="118" spans="1:65" x14ac:dyDescent="0.2">
      <c r="A118" s="21" t="s">
        <v>1413</v>
      </c>
      <c r="B118" s="21" t="s">
        <v>1414</v>
      </c>
      <c r="C118" s="21" t="s">
        <v>372</v>
      </c>
      <c r="D118" s="21">
        <v>542999</v>
      </c>
      <c r="E118" s="21">
        <v>572043</v>
      </c>
      <c r="F118" s="21">
        <v>620863</v>
      </c>
      <c r="G118" s="21">
        <v>687563</v>
      </c>
      <c r="H118" s="21">
        <v>737790</v>
      </c>
      <c r="I118" s="21">
        <v>788603</v>
      </c>
      <c r="J118" s="21">
        <v>859233</v>
      </c>
      <c r="K118" s="21">
        <v>925179</v>
      </c>
      <c r="L118" s="21">
        <v>1013959</v>
      </c>
      <c r="M118" s="21">
        <v>1107733</v>
      </c>
      <c r="N118" s="21">
        <v>1201163</v>
      </c>
      <c r="O118" s="21">
        <v>1288009</v>
      </c>
      <c r="P118" s="21">
        <v>1407566</v>
      </c>
      <c r="Q118" s="21">
        <v>1516652</v>
      </c>
      <c r="R118" s="21">
        <v>1501335</v>
      </c>
      <c r="S118" s="21">
        <v>1597825</v>
      </c>
      <c r="T118" s="21">
        <v>1677942</v>
      </c>
      <c r="U118" s="21">
        <v>1753866</v>
      </c>
      <c r="V118" s="21">
        <v>1813271</v>
      </c>
      <c r="W118" s="21">
        <v>1854121</v>
      </c>
      <c r="X118" s="21">
        <v>1906093</v>
      </c>
      <c r="Y118" s="21">
        <v>2033237</v>
      </c>
      <c r="Z118" s="21">
        <v>2077046</v>
      </c>
      <c r="AA118" s="21">
        <v>2116437</v>
      </c>
      <c r="AB118" s="21">
        <v>2264475</v>
      </c>
      <c r="AC118" s="21">
        <v>2351282</v>
      </c>
      <c r="AD118" s="21">
        <v>2438628</v>
      </c>
      <c r="AE118" s="21">
        <v>2538757</v>
      </c>
      <c r="AF118" s="21">
        <v>2675108</v>
      </c>
      <c r="AG118" s="21">
        <v>2766641</v>
      </c>
      <c r="AH118" s="21">
        <v>2860153</v>
      </c>
      <c r="AI118" s="21">
        <v>2918093</v>
      </c>
      <c r="AJ118" s="21">
        <v>2900225</v>
      </c>
      <c r="AK118" s="21">
        <v>3018755</v>
      </c>
      <c r="AL118" s="21">
        <v>3115518</v>
      </c>
      <c r="AM118" s="21">
        <v>3252038</v>
      </c>
      <c r="AN118" s="21">
        <v>3343968</v>
      </c>
      <c r="AO118" s="21">
        <v>3502847</v>
      </c>
      <c r="AP118" s="21">
        <v>3677989</v>
      </c>
      <c r="AQ118" s="21">
        <v>3766240</v>
      </c>
      <c r="AR118" s="21">
        <v>3955691</v>
      </c>
      <c r="AS118" s="21">
        <v>4062865</v>
      </c>
      <c r="AT118" s="21">
        <v>4109820</v>
      </c>
      <c r="AU118" s="21">
        <v>4090059</v>
      </c>
      <c r="AV118" s="21">
        <v>4198209</v>
      </c>
      <c r="AW118" s="21">
        <v>4350570</v>
      </c>
      <c r="AX118" s="21">
        <v>4434725</v>
      </c>
      <c r="AY118" s="21">
        <v>4559507</v>
      </c>
      <c r="AZ118" s="21">
        <v>4558887</v>
      </c>
      <c r="BA118" s="21">
        <v>4458981</v>
      </c>
      <c r="BB118" s="21">
        <v>4538640</v>
      </c>
      <c r="BC118" s="21">
        <v>4531332</v>
      </c>
      <c r="BD118" s="21">
        <v>4528069</v>
      </c>
      <c r="BE118" s="21">
        <v>4562113</v>
      </c>
      <c r="BF118" s="21">
        <v>4613564</v>
      </c>
      <c r="BG118" s="21">
        <v>4642884</v>
      </c>
      <c r="BH118" s="21">
        <v>4664857</v>
      </c>
      <c r="BI118" s="21">
        <v>4616053</v>
      </c>
      <c r="BJ118" s="21">
        <v>4714548</v>
      </c>
      <c r="BK118" s="21">
        <v>4643311</v>
      </c>
      <c r="BL118" s="21">
        <v>4392744</v>
      </c>
      <c r="BM118" s="21">
        <v>4532636</v>
      </c>
    </row>
    <row r="119" spans="1:65" x14ac:dyDescent="0.2">
      <c r="A119" s="21" t="s">
        <v>1413</v>
      </c>
      <c r="B119" s="21" t="s">
        <v>1414</v>
      </c>
      <c r="C119" s="21" t="s">
        <v>376</v>
      </c>
      <c r="D119" s="21">
        <v>159144</v>
      </c>
      <c r="E119" s="21">
        <v>167656</v>
      </c>
      <c r="F119" s="21">
        <v>181965</v>
      </c>
      <c r="G119" s="21">
        <v>201513</v>
      </c>
      <c r="H119" s="21">
        <v>216234</v>
      </c>
      <c r="I119" s="21">
        <v>231126</v>
      </c>
      <c r="J119" s="21">
        <v>251827</v>
      </c>
      <c r="K119" s="21">
        <v>271154</v>
      </c>
      <c r="L119" s="21">
        <v>297174</v>
      </c>
      <c r="M119" s="21">
        <v>324658</v>
      </c>
      <c r="N119" s="21">
        <v>352041</v>
      </c>
      <c r="O119" s="21">
        <v>377494</v>
      </c>
      <c r="P119" s="21">
        <v>412534</v>
      </c>
      <c r="Q119" s="21">
        <v>444505</v>
      </c>
      <c r="R119" s="21">
        <v>440016</v>
      </c>
      <c r="S119" s="21">
        <v>468296</v>
      </c>
      <c r="T119" s="21">
        <v>491777</v>
      </c>
      <c r="U119" s="21">
        <v>514029</v>
      </c>
      <c r="V119" s="21">
        <v>531439</v>
      </c>
      <c r="W119" s="21">
        <v>543412</v>
      </c>
      <c r="X119" s="21">
        <v>558644</v>
      </c>
      <c r="Y119" s="21">
        <v>595908</v>
      </c>
      <c r="Z119" s="21">
        <v>608747</v>
      </c>
      <c r="AA119" s="21">
        <v>620292</v>
      </c>
      <c r="AB119" s="21">
        <v>663680</v>
      </c>
      <c r="AC119" s="21">
        <v>689121</v>
      </c>
      <c r="AD119" s="21">
        <v>714721</v>
      </c>
      <c r="AE119" s="21">
        <v>744067</v>
      </c>
      <c r="AF119" s="21">
        <v>784029</v>
      </c>
      <c r="AG119" s="21">
        <v>810856</v>
      </c>
      <c r="AH119" s="21">
        <v>838263</v>
      </c>
      <c r="AI119" s="21">
        <v>855244</v>
      </c>
      <c r="AJ119" s="21">
        <v>850007</v>
      </c>
      <c r="AK119" s="21">
        <v>884746</v>
      </c>
      <c r="AL119" s="21">
        <v>913106</v>
      </c>
      <c r="AM119" s="21">
        <v>953118</v>
      </c>
      <c r="AN119" s="21">
        <v>980061</v>
      </c>
      <c r="AO119" s="21">
        <v>1026626</v>
      </c>
      <c r="AP119" s="21">
        <v>1077957</v>
      </c>
      <c r="AQ119" s="21">
        <v>1103822</v>
      </c>
      <c r="AR119" s="21">
        <v>1159347</v>
      </c>
      <c r="AS119" s="21">
        <v>1190758</v>
      </c>
      <c r="AT119" s="21">
        <v>1204519</v>
      </c>
      <c r="AU119" s="21">
        <v>1198728</v>
      </c>
      <c r="AV119" s="21">
        <v>1230425</v>
      </c>
      <c r="AW119" s="21">
        <v>1275079</v>
      </c>
      <c r="AX119" s="21">
        <v>1299744</v>
      </c>
      <c r="AY119" s="21">
        <v>1336315</v>
      </c>
      <c r="AZ119" s="21">
        <v>1336133</v>
      </c>
      <c r="BA119" s="21">
        <v>1306853</v>
      </c>
      <c r="BB119" s="21">
        <v>1330199</v>
      </c>
      <c r="BC119" s="21">
        <v>1328057</v>
      </c>
      <c r="BD119" s="21">
        <v>1327101</v>
      </c>
      <c r="BE119" s="21">
        <v>1337079</v>
      </c>
      <c r="BF119" s="21">
        <v>1352158</v>
      </c>
      <c r="BG119" s="21">
        <v>1360752</v>
      </c>
      <c r="BH119" s="21">
        <v>1367191</v>
      </c>
      <c r="BI119" s="21">
        <v>1352888</v>
      </c>
      <c r="BJ119" s="21">
        <v>1381755</v>
      </c>
      <c r="BK119" s="21">
        <v>1360877</v>
      </c>
      <c r="BL119" s="21">
        <v>1287440</v>
      </c>
      <c r="BM119" s="21">
        <v>1328439</v>
      </c>
    </row>
    <row r="120" spans="1:65" x14ac:dyDescent="0.2">
      <c r="A120" s="21" t="s">
        <v>1413</v>
      </c>
      <c r="B120" s="21" t="s">
        <v>1414</v>
      </c>
      <c r="C120" s="21" t="s">
        <v>379</v>
      </c>
      <c r="D120" s="21">
        <v>1106859</v>
      </c>
      <c r="E120" s="21">
        <v>1149250</v>
      </c>
      <c r="F120" s="21">
        <v>1227821</v>
      </c>
      <c r="G120" s="21">
        <v>1287790</v>
      </c>
      <c r="H120" s="21">
        <v>1382027</v>
      </c>
      <c r="I120" s="21">
        <v>1462817</v>
      </c>
      <c r="J120" s="21">
        <v>1581815</v>
      </c>
      <c r="K120" s="21">
        <v>1654872</v>
      </c>
      <c r="L120" s="21">
        <v>1778105</v>
      </c>
      <c r="M120" s="21">
        <v>1908623</v>
      </c>
      <c r="N120" s="21">
        <v>1947755</v>
      </c>
      <c r="O120" s="21">
        <v>2011197</v>
      </c>
      <c r="P120" s="21">
        <v>2187017</v>
      </c>
      <c r="Q120" s="21">
        <v>2340923</v>
      </c>
      <c r="R120" s="21">
        <v>2336794</v>
      </c>
      <c r="S120" s="21">
        <v>2346363</v>
      </c>
      <c r="T120" s="21">
        <v>2572883</v>
      </c>
      <c r="U120" s="21">
        <v>2681959</v>
      </c>
      <c r="V120" s="21">
        <v>2760575</v>
      </c>
      <c r="W120" s="21">
        <v>2872573</v>
      </c>
      <c r="X120" s="21">
        <v>2781005</v>
      </c>
      <c r="Y120" s="21">
        <v>2817436</v>
      </c>
      <c r="Z120" s="21">
        <v>2541765</v>
      </c>
      <c r="AA120" s="21">
        <v>2647710</v>
      </c>
      <c r="AB120" s="21">
        <v>2858697</v>
      </c>
      <c r="AC120" s="21">
        <v>2855066</v>
      </c>
      <c r="AD120" s="21">
        <v>2833770</v>
      </c>
      <c r="AE120" s="21">
        <v>2928291</v>
      </c>
      <c r="AF120" s="21">
        <v>3058852</v>
      </c>
      <c r="AG120" s="21">
        <v>3158347</v>
      </c>
      <c r="AH120" s="21">
        <v>3226120</v>
      </c>
      <c r="AI120" s="21">
        <v>3229743</v>
      </c>
      <c r="AJ120" s="21">
        <v>3318900</v>
      </c>
      <c r="AK120" s="21">
        <v>3334084</v>
      </c>
      <c r="AL120" s="21">
        <v>3439232</v>
      </c>
      <c r="AM120" s="21">
        <v>3455310</v>
      </c>
      <c r="AN120" s="21">
        <v>3526750</v>
      </c>
      <c r="AO120" s="21">
        <v>3542328</v>
      </c>
      <c r="AP120" s="21">
        <v>3586705</v>
      </c>
      <c r="AQ120" s="21">
        <v>3610635</v>
      </c>
      <c r="AR120" s="21">
        <v>3631185</v>
      </c>
      <c r="AS120" s="21">
        <v>3400431</v>
      </c>
      <c r="AT120" s="21">
        <v>3378691</v>
      </c>
      <c r="AU120" s="21">
        <v>3454218</v>
      </c>
      <c r="AV120" s="21">
        <v>3472903</v>
      </c>
      <c r="AW120" s="21">
        <v>3477360</v>
      </c>
      <c r="AX120" s="21">
        <v>3450547</v>
      </c>
      <c r="AY120" s="21">
        <v>3506963</v>
      </c>
      <c r="AZ120" s="21">
        <v>3444469</v>
      </c>
      <c r="BA120" s="21">
        <v>3130225</v>
      </c>
      <c r="BB120" s="21">
        <v>3313807</v>
      </c>
      <c r="BC120" s="21">
        <v>3382369</v>
      </c>
      <c r="BD120" s="21">
        <v>3363256</v>
      </c>
      <c r="BE120" s="21">
        <v>3362021</v>
      </c>
      <c r="BF120" s="21">
        <v>3403730</v>
      </c>
      <c r="BG120" s="21">
        <v>3365964</v>
      </c>
      <c r="BH120" s="21">
        <v>3332552</v>
      </c>
      <c r="BI120" s="21">
        <v>3358425</v>
      </c>
      <c r="BJ120" s="21">
        <v>3414295</v>
      </c>
      <c r="BK120" s="21">
        <v>3420028</v>
      </c>
      <c r="BL120" s="21">
        <v>3272388</v>
      </c>
      <c r="BM120" s="21">
        <v>3414093</v>
      </c>
    </row>
    <row r="121" spans="1:65" x14ac:dyDescent="0.2">
      <c r="A121" s="21" t="s">
        <v>1413</v>
      </c>
      <c r="B121" s="21" t="s">
        <v>1414</v>
      </c>
      <c r="C121" s="21" t="s">
        <v>383</v>
      </c>
      <c r="D121" s="21">
        <v>324402</v>
      </c>
      <c r="E121" s="21">
        <v>336826</v>
      </c>
      <c r="F121" s="21">
        <v>359854</v>
      </c>
      <c r="G121" s="21">
        <v>377430</v>
      </c>
      <c r="H121" s="21">
        <v>405049</v>
      </c>
      <c r="I121" s="21">
        <v>428727</v>
      </c>
      <c r="J121" s="21">
        <v>463603</v>
      </c>
      <c r="K121" s="21">
        <v>485015</v>
      </c>
      <c r="L121" s="21">
        <v>521133</v>
      </c>
      <c r="M121" s="21">
        <v>559385</v>
      </c>
      <c r="N121" s="21">
        <v>570854</v>
      </c>
      <c r="O121" s="21">
        <v>589448</v>
      </c>
      <c r="P121" s="21">
        <v>640978</v>
      </c>
      <c r="Q121" s="21">
        <v>686085</v>
      </c>
      <c r="R121" s="21">
        <v>684875</v>
      </c>
      <c r="S121" s="21">
        <v>687680</v>
      </c>
      <c r="T121" s="21">
        <v>754069</v>
      </c>
      <c r="U121" s="21">
        <v>786037</v>
      </c>
      <c r="V121" s="21">
        <v>809078</v>
      </c>
      <c r="W121" s="21">
        <v>841903</v>
      </c>
      <c r="X121" s="21">
        <v>815066</v>
      </c>
      <c r="Y121" s="21">
        <v>825743</v>
      </c>
      <c r="Z121" s="21">
        <v>744949</v>
      </c>
      <c r="AA121" s="21">
        <v>775999</v>
      </c>
      <c r="AB121" s="21">
        <v>837836</v>
      </c>
      <c r="AC121" s="21">
        <v>836772</v>
      </c>
      <c r="AD121" s="21">
        <v>830531</v>
      </c>
      <c r="AE121" s="21">
        <v>858233</v>
      </c>
      <c r="AF121" s="21">
        <v>896498</v>
      </c>
      <c r="AG121" s="21">
        <v>925659</v>
      </c>
      <c r="AH121" s="21">
        <v>945522</v>
      </c>
      <c r="AI121" s="21">
        <v>946583</v>
      </c>
      <c r="AJ121" s="21">
        <v>972714</v>
      </c>
      <c r="AK121" s="21">
        <v>977164</v>
      </c>
      <c r="AL121" s="21">
        <v>1007981</v>
      </c>
      <c r="AM121" s="21">
        <v>1012693</v>
      </c>
      <c r="AN121" s="21">
        <v>1033631</v>
      </c>
      <c r="AO121" s="21">
        <v>1038197</v>
      </c>
      <c r="AP121" s="21">
        <v>1051203</v>
      </c>
      <c r="AQ121" s="21">
        <v>1058217</v>
      </c>
      <c r="AR121" s="21">
        <v>1064239</v>
      </c>
      <c r="AS121" s="21">
        <v>996609</v>
      </c>
      <c r="AT121" s="21">
        <v>990238</v>
      </c>
      <c r="AU121" s="21">
        <v>1012373</v>
      </c>
      <c r="AV121" s="21">
        <v>1017850</v>
      </c>
      <c r="AW121" s="21">
        <v>1019156</v>
      </c>
      <c r="AX121" s="21">
        <v>1011298</v>
      </c>
      <c r="AY121" s="21">
        <v>1027832</v>
      </c>
      <c r="AZ121" s="21">
        <v>1009516</v>
      </c>
      <c r="BA121" s="21">
        <v>917416</v>
      </c>
      <c r="BB121" s="21">
        <v>971221</v>
      </c>
      <c r="BC121" s="21">
        <v>991316</v>
      </c>
      <c r="BD121" s="21">
        <v>985714</v>
      </c>
      <c r="BE121" s="21">
        <v>985352</v>
      </c>
      <c r="BF121" s="21">
        <v>997576</v>
      </c>
      <c r="BG121" s="21">
        <v>986508</v>
      </c>
      <c r="BH121" s="21">
        <v>976715</v>
      </c>
      <c r="BI121" s="21">
        <v>984298</v>
      </c>
      <c r="BJ121" s="21">
        <v>1000673</v>
      </c>
      <c r="BK121" s="21">
        <v>1002353</v>
      </c>
      <c r="BL121" s="21">
        <v>959082</v>
      </c>
      <c r="BM121" s="21">
        <v>1000613</v>
      </c>
    </row>
    <row r="122" spans="1:65" x14ac:dyDescent="0.2">
      <c r="A122" s="21" t="s">
        <v>1413</v>
      </c>
      <c r="B122" s="21" t="s">
        <v>1414</v>
      </c>
      <c r="C122" s="21" t="s">
        <v>388</v>
      </c>
      <c r="D122" s="21">
        <v>687393</v>
      </c>
      <c r="E122" s="21">
        <v>731686</v>
      </c>
      <c r="F122" s="21">
        <v>794320</v>
      </c>
      <c r="G122" s="21">
        <v>855568</v>
      </c>
      <c r="H122" s="21">
        <v>927525</v>
      </c>
      <c r="I122" s="21">
        <v>992935</v>
      </c>
      <c r="J122" s="21">
        <v>1081223</v>
      </c>
      <c r="K122" s="21">
        <v>1160469</v>
      </c>
      <c r="L122" s="21">
        <v>1301916</v>
      </c>
      <c r="M122" s="21">
        <v>1456024</v>
      </c>
      <c r="N122" s="21">
        <v>1590983</v>
      </c>
      <c r="O122" s="21">
        <v>1704403</v>
      </c>
      <c r="P122" s="21">
        <v>1837735</v>
      </c>
      <c r="Q122" s="21">
        <v>1976337</v>
      </c>
      <c r="R122" s="21">
        <v>1972763</v>
      </c>
      <c r="S122" s="21">
        <v>2006735</v>
      </c>
      <c r="T122" s="21">
        <v>2069215</v>
      </c>
      <c r="U122" s="21">
        <v>2201555</v>
      </c>
      <c r="V122" s="21">
        <v>2301276</v>
      </c>
      <c r="W122" s="21">
        <v>2329778</v>
      </c>
      <c r="X122" s="21">
        <v>2448086</v>
      </c>
      <c r="Y122" s="21">
        <v>2464367</v>
      </c>
      <c r="Z122" s="21">
        <v>2489120</v>
      </c>
      <c r="AA122" s="21">
        <v>2562235</v>
      </c>
      <c r="AB122" s="21">
        <v>2661673</v>
      </c>
      <c r="AC122" s="21">
        <v>2708902</v>
      </c>
      <c r="AD122" s="21">
        <v>2794729</v>
      </c>
      <c r="AE122" s="21">
        <v>2901600</v>
      </c>
      <c r="AF122" s="21">
        <v>3046459</v>
      </c>
      <c r="AG122" s="21">
        <v>3089650</v>
      </c>
      <c r="AH122" s="21">
        <v>3152752</v>
      </c>
      <c r="AI122" s="21">
        <v>3259884</v>
      </c>
      <c r="AJ122" s="21">
        <v>3193423</v>
      </c>
      <c r="AK122" s="21">
        <v>3394192</v>
      </c>
      <c r="AL122" s="21">
        <v>3440939</v>
      </c>
      <c r="AM122" s="21">
        <v>3557015</v>
      </c>
      <c r="AN122" s="21">
        <v>3693530</v>
      </c>
      <c r="AO122" s="21">
        <v>3670903</v>
      </c>
      <c r="AP122" s="21">
        <v>3855932</v>
      </c>
      <c r="AQ122" s="21">
        <v>3906478</v>
      </c>
      <c r="AR122" s="21">
        <v>4068627</v>
      </c>
      <c r="AS122" s="21">
        <v>4099882</v>
      </c>
      <c r="AT122" s="21">
        <v>4316794</v>
      </c>
      <c r="AU122" s="21">
        <v>4353111</v>
      </c>
      <c r="AV122" s="21">
        <v>4408241</v>
      </c>
      <c r="AW122" s="21">
        <v>4637683</v>
      </c>
      <c r="AX122" s="21">
        <v>4611386</v>
      </c>
      <c r="AY122" s="21">
        <v>4750326</v>
      </c>
      <c r="AZ122" s="21">
        <v>4710818</v>
      </c>
      <c r="BA122" s="21">
        <v>4656555</v>
      </c>
      <c r="BB122" s="21">
        <v>4932757</v>
      </c>
      <c r="BC122" s="21">
        <v>4854597</v>
      </c>
      <c r="BD122" s="21">
        <v>4689844</v>
      </c>
      <c r="BE122" s="21">
        <v>4759099</v>
      </c>
      <c r="BF122" s="21">
        <v>4801395</v>
      </c>
      <c r="BG122" s="21">
        <v>4790777</v>
      </c>
      <c r="BH122" s="21">
        <v>4814530</v>
      </c>
      <c r="BI122" s="21">
        <v>4703946</v>
      </c>
      <c r="BJ122" s="21">
        <v>5012546</v>
      </c>
      <c r="BK122" s="21">
        <v>4914266</v>
      </c>
      <c r="BL122" s="21">
        <v>4997232</v>
      </c>
      <c r="BM122" s="21">
        <v>5017301</v>
      </c>
    </row>
    <row r="123" spans="1:65" x14ac:dyDescent="0.2">
      <c r="A123" s="21" t="s">
        <v>1413</v>
      </c>
      <c r="B123" s="21" t="s">
        <v>1414</v>
      </c>
      <c r="C123" s="21" t="s">
        <v>392</v>
      </c>
      <c r="D123" s="21">
        <v>201463</v>
      </c>
      <c r="E123" s="21">
        <v>214445</v>
      </c>
      <c r="F123" s="21">
        <v>232802</v>
      </c>
      <c r="G123" s="21">
        <v>250753</v>
      </c>
      <c r="H123" s="21">
        <v>271842</v>
      </c>
      <c r="I123" s="21">
        <v>291013</v>
      </c>
      <c r="J123" s="21">
        <v>316888</v>
      </c>
      <c r="K123" s="21">
        <v>340114</v>
      </c>
      <c r="L123" s="21">
        <v>381570</v>
      </c>
      <c r="M123" s="21">
        <v>426736</v>
      </c>
      <c r="N123" s="21">
        <v>466291</v>
      </c>
      <c r="O123" s="21">
        <v>499532</v>
      </c>
      <c r="P123" s="21">
        <v>538609</v>
      </c>
      <c r="Q123" s="21">
        <v>579231</v>
      </c>
      <c r="R123" s="21">
        <v>578184</v>
      </c>
      <c r="S123" s="21">
        <v>588140</v>
      </c>
      <c r="T123" s="21">
        <v>606452</v>
      </c>
      <c r="U123" s="21">
        <v>645239</v>
      </c>
      <c r="V123" s="21">
        <v>674466</v>
      </c>
      <c r="W123" s="21">
        <v>682819</v>
      </c>
      <c r="X123" s="21">
        <v>717493</v>
      </c>
      <c r="Y123" s="21">
        <v>722265</v>
      </c>
      <c r="Z123" s="21">
        <v>729519</v>
      </c>
      <c r="AA123" s="21">
        <v>750948</v>
      </c>
      <c r="AB123" s="21">
        <v>780092</v>
      </c>
      <c r="AC123" s="21">
        <v>793934</v>
      </c>
      <c r="AD123" s="21">
        <v>819088</v>
      </c>
      <c r="AE123" s="21">
        <v>850410</v>
      </c>
      <c r="AF123" s="21">
        <v>892866</v>
      </c>
      <c r="AG123" s="21">
        <v>905525</v>
      </c>
      <c r="AH123" s="21">
        <v>924019</v>
      </c>
      <c r="AI123" s="21">
        <v>955417</v>
      </c>
      <c r="AJ123" s="21">
        <v>935939</v>
      </c>
      <c r="AK123" s="21">
        <v>994781</v>
      </c>
      <c r="AL123" s="21">
        <v>1008482</v>
      </c>
      <c r="AM123" s="21">
        <v>1042501</v>
      </c>
      <c r="AN123" s="21">
        <v>1082512</v>
      </c>
      <c r="AO123" s="21">
        <v>1075880</v>
      </c>
      <c r="AP123" s="21">
        <v>1130109</v>
      </c>
      <c r="AQ123" s="21">
        <v>1144923</v>
      </c>
      <c r="AR123" s="21">
        <v>1192446</v>
      </c>
      <c r="AS123" s="21">
        <v>1201607</v>
      </c>
      <c r="AT123" s="21">
        <v>1265180</v>
      </c>
      <c r="AU123" s="21">
        <v>1275824</v>
      </c>
      <c r="AV123" s="21">
        <v>1291982</v>
      </c>
      <c r="AW123" s="21">
        <v>1359227</v>
      </c>
      <c r="AX123" s="21">
        <v>1351520</v>
      </c>
      <c r="AY123" s="21">
        <v>1392241</v>
      </c>
      <c r="AZ123" s="21">
        <v>1380662</v>
      </c>
      <c r="BA123" s="21">
        <v>1364758</v>
      </c>
      <c r="BB123" s="21">
        <v>1445708</v>
      </c>
      <c r="BC123" s="21">
        <v>1422801</v>
      </c>
      <c r="BD123" s="21">
        <v>1374515</v>
      </c>
      <c r="BE123" s="21">
        <v>1394812</v>
      </c>
      <c r="BF123" s="21">
        <v>1407208</v>
      </c>
      <c r="BG123" s="21">
        <v>1404096</v>
      </c>
      <c r="BH123" s="21">
        <v>1411058</v>
      </c>
      <c r="BI123" s="21">
        <v>1378648</v>
      </c>
      <c r="BJ123" s="21">
        <v>1469093</v>
      </c>
      <c r="BK123" s="21">
        <v>1440289</v>
      </c>
      <c r="BL123" s="21">
        <v>1464605</v>
      </c>
      <c r="BM123" s="21">
        <v>1470487</v>
      </c>
    </row>
    <row r="124" spans="1:65" x14ac:dyDescent="0.2">
      <c r="A124" s="21" t="s">
        <v>1413</v>
      </c>
      <c r="B124" s="21" t="s">
        <v>1414</v>
      </c>
      <c r="C124" s="21" t="s">
        <v>397</v>
      </c>
      <c r="D124" s="21">
        <v>1115</v>
      </c>
      <c r="E124" s="21">
        <v>1167</v>
      </c>
      <c r="F124" s="21">
        <v>1248</v>
      </c>
      <c r="G124" s="21">
        <v>1325</v>
      </c>
      <c r="H124" s="21">
        <v>1417</v>
      </c>
      <c r="I124" s="21">
        <v>1498</v>
      </c>
      <c r="J124" s="21">
        <v>1612</v>
      </c>
      <c r="K124" s="21">
        <v>1712</v>
      </c>
      <c r="L124" s="21">
        <v>1901</v>
      </c>
      <c r="M124" s="21">
        <v>2105</v>
      </c>
      <c r="N124" s="21">
        <v>2274</v>
      </c>
      <c r="O124" s="21">
        <v>2406</v>
      </c>
      <c r="P124" s="21">
        <v>2566</v>
      </c>
      <c r="Q124" s="21">
        <v>2733</v>
      </c>
      <c r="R124" s="21">
        <v>2704</v>
      </c>
      <c r="S124" s="21">
        <v>2723</v>
      </c>
      <c r="T124" s="21">
        <v>2781</v>
      </c>
      <c r="U124" s="21">
        <v>2930</v>
      </c>
      <c r="V124" s="21">
        <v>3030</v>
      </c>
      <c r="W124" s="21">
        <v>3034</v>
      </c>
      <c r="X124" s="21">
        <v>3158</v>
      </c>
      <c r="Y124" s="21">
        <v>3148</v>
      </c>
      <c r="Z124" s="21">
        <v>3149</v>
      </c>
      <c r="AA124" s="21">
        <v>3212</v>
      </c>
      <c r="AB124" s="21">
        <v>3308</v>
      </c>
      <c r="AC124" s="21">
        <v>3337</v>
      </c>
      <c r="AD124" s="21">
        <v>3411</v>
      </c>
      <c r="AE124" s="21">
        <v>3510</v>
      </c>
      <c r="AF124" s="21">
        <v>3652</v>
      </c>
      <c r="AG124" s="21">
        <v>3669</v>
      </c>
      <c r="AH124" s="21">
        <v>3702</v>
      </c>
      <c r="AI124" s="21">
        <v>3777</v>
      </c>
      <c r="AJ124" s="21">
        <v>3649</v>
      </c>
      <c r="AK124" s="21">
        <v>3827</v>
      </c>
      <c r="AL124" s="21">
        <v>3833</v>
      </c>
      <c r="AM124" s="21">
        <v>3915</v>
      </c>
      <c r="AN124" s="21">
        <v>4018</v>
      </c>
      <c r="AO124" s="21">
        <v>3946</v>
      </c>
      <c r="AP124" s="21">
        <v>4097</v>
      </c>
      <c r="AQ124" s="21">
        <v>4103</v>
      </c>
      <c r="AR124" s="21">
        <v>4226</v>
      </c>
      <c r="AS124" s="21">
        <v>4217</v>
      </c>
      <c r="AT124" s="21">
        <v>4399</v>
      </c>
      <c r="AU124" s="21">
        <v>4398</v>
      </c>
      <c r="AV124" s="21">
        <v>4412</v>
      </c>
      <c r="AW124" s="21">
        <v>4599</v>
      </c>
      <c r="AX124" s="21">
        <v>4530</v>
      </c>
      <c r="AY124" s="21">
        <v>4622</v>
      </c>
      <c r="AZ124" s="21">
        <v>4540</v>
      </c>
      <c r="BA124" s="21">
        <v>4449</v>
      </c>
      <c r="BB124" s="21">
        <v>4674</v>
      </c>
      <c r="BC124" s="21">
        <v>4566</v>
      </c>
      <c r="BD124" s="21">
        <v>4379</v>
      </c>
      <c r="BE124" s="21">
        <v>4413</v>
      </c>
      <c r="BF124" s="21">
        <v>4420</v>
      </c>
      <c r="BG124" s="21">
        <v>4378</v>
      </c>
      <c r="BH124" s="21">
        <v>4368</v>
      </c>
      <c r="BI124" s="21">
        <v>4240</v>
      </c>
      <c r="BJ124" s="21">
        <v>4495</v>
      </c>
      <c r="BK124" s="21">
        <v>4387</v>
      </c>
      <c r="BL124" s="21">
        <v>4418</v>
      </c>
      <c r="BM124" s="21">
        <v>4429</v>
      </c>
    </row>
    <row r="125" spans="1:65" x14ac:dyDescent="0.2">
      <c r="A125" s="21" t="s">
        <v>1413</v>
      </c>
      <c r="B125" s="21" t="s">
        <v>1414</v>
      </c>
      <c r="C125" s="21" t="s">
        <v>402</v>
      </c>
      <c r="D125" s="21">
        <v>2347711</v>
      </c>
      <c r="E125" s="21">
        <v>2463294</v>
      </c>
      <c r="F125" s="21">
        <v>2653170</v>
      </c>
      <c r="G125" s="21">
        <v>2840876</v>
      </c>
      <c r="H125" s="21">
        <v>3057353</v>
      </c>
      <c r="I125" s="21">
        <v>3254329</v>
      </c>
      <c r="J125" s="21">
        <v>3531913</v>
      </c>
      <c r="K125" s="21">
        <v>3750529</v>
      </c>
      <c r="L125" s="21">
        <v>4104196</v>
      </c>
      <c r="M125" s="21">
        <v>4482799</v>
      </c>
      <c r="N125" s="21">
        <v>4750527</v>
      </c>
      <c r="O125" s="21">
        <v>5014071</v>
      </c>
      <c r="P125" s="21">
        <v>5442688</v>
      </c>
      <c r="Q125" s="21">
        <v>5844445</v>
      </c>
      <c r="R125" s="21">
        <v>5820612</v>
      </c>
      <c r="S125" s="21">
        <v>5961073</v>
      </c>
      <c r="T125" s="21">
        <v>6330100</v>
      </c>
      <c r="U125" s="21">
        <v>6647808</v>
      </c>
      <c r="V125" s="21">
        <v>6885149</v>
      </c>
      <c r="W125" s="21">
        <v>7066590</v>
      </c>
      <c r="X125" s="21">
        <v>7146253</v>
      </c>
      <c r="Y125" s="21">
        <v>7325911</v>
      </c>
      <c r="Z125" s="21">
        <v>7118934</v>
      </c>
      <c r="AA125" s="21">
        <v>7339057</v>
      </c>
      <c r="AB125" s="21">
        <v>7799137</v>
      </c>
      <c r="AC125" s="21">
        <v>7929399</v>
      </c>
      <c r="AD125" s="21">
        <v>8082185</v>
      </c>
      <c r="AE125" s="21">
        <v>8384213</v>
      </c>
      <c r="AF125" s="21">
        <v>8796349</v>
      </c>
      <c r="AG125" s="21">
        <v>9030913</v>
      </c>
      <c r="AH125" s="21">
        <v>9255237</v>
      </c>
      <c r="AI125" s="21">
        <v>9423954</v>
      </c>
      <c r="AJ125" s="21">
        <v>9428603</v>
      </c>
      <c r="AK125" s="21">
        <v>9763310</v>
      </c>
      <c r="AL125" s="21">
        <v>10012728</v>
      </c>
      <c r="AM125" s="21">
        <v>10281334</v>
      </c>
      <c r="AN125" s="21">
        <v>10581045</v>
      </c>
      <c r="AO125" s="21">
        <v>10732823</v>
      </c>
      <c r="AP125" s="21">
        <v>11137555</v>
      </c>
      <c r="AQ125" s="21">
        <v>11300841</v>
      </c>
      <c r="AR125" s="21">
        <v>11673865</v>
      </c>
      <c r="AS125" s="21">
        <v>11581891</v>
      </c>
      <c r="AT125" s="21">
        <v>11824170</v>
      </c>
      <c r="AU125" s="21">
        <v>11920869</v>
      </c>
      <c r="AV125" s="21">
        <v>12104000</v>
      </c>
      <c r="AW125" s="21">
        <v>12491225</v>
      </c>
      <c r="AX125" s="21">
        <v>12521763</v>
      </c>
      <c r="AY125" s="21">
        <v>12844681</v>
      </c>
      <c r="AZ125" s="21">
        <v>12740287</v>
      </c>
      <c r="BA125" s="21">
        <v>12272265</v>
      </c>
      <c r="BB125" s="21">
        <v>12811519</v>
      </c>
      <c r="BC125" s="21">
        <v>12794475</v>
      </c>
      <c r="BD125" s="21">
        <v>12606145</v>
      </c>
      <c r="BE125" s="21">
        <v>12709249</v>
      </c>
      <c r="BF125" s="21">
        <v>12845157</v>
      </c>
      <c r="BG125" s="21">
        <v>12825682</v>
      </c>
      <c r="BH125" s="21">
        <v>12837519</v>
      </c>
      <c r="BI125" s="21">
        <v>12704091</v>
      </c>
      <c r="BJ125" s="21">
        <v>13167540</v>
      </c>
      <c r="BK125" s="21">
        <v>13003645</v>
      </c>
      <c r="BL125" s="21">
        <v>12684705</v>
      </c>
      <c r="BM125" s="21">
        <v>12985643</v>
      </c>
    </row>
    <row r="126" spans="1:65" x14ac:dyDescent="0.2">
      <c r="A126" s="21" t="s">
        <v>1413</v>
      </c>
      <c r="B126" s="21" t="s">
        <v>1414</v>
      </c>
      <c r="C126" s="21" t="s">
        <v>406</v>
      </c>
      <c r="D126" s="21">
        <v>688075</v>
      </c>
      <c r="E126" s="21">
        <v>721950</v>
      </c>
      <c r="F126" s="21">
        <v>777600</v>
      </c>
      <c r="G126" s="21">
        <v>832613</v>
      </c>
      <c r="H126" s="21">
        <v>896059</v>
      </c>
      <c r="I126" s="21">
        <v>953789</v>
      </c>
      <c r="J126" s="21">
        <v>1035145</v>
      </c>
      <c r="K126" s="21">
        <v>1099217</v>
      </c>
      <c r="L126" s="21">
        <v>1202871</v>
      </c>
      <c r="M126" s="21">
        <v>1313833</v>
      </c>
      <c r="N126" s="21">
        <v>1392300</v>
      </c>
      <c r="O126" s="21">
        <v>1469540</v>
      </c>
      <c r="P126" s="21">
        <v>1595161</v>
      </c>
      <c r="Q126" s="21">
        <v>1712909</v>
      </c>
      <c r="R126" s="21">
        <v>1705924</v>
      </c>
      <c r="S126" s="21">
        <v>1747091</v>
      </c>
      <c r="T126" s="21">
        <v>1855246</v>
      </c>
      <c r="U126" s="21">
        <v>1948361</v>
      </c>
      <c r="V126" s="21">
        <v>2017922</v>
      </c>
      <c r="W126" s="21">
        <v>2071099</v>
      </c>
      <c r="X126" s="21">
        <v>2094447</v>
      </c>
      <c r="Y126" s="21">
        <v>2147102</v>
      </c>
      <c r="Z126" s="21">
        <v>2086440</v>
      </c>
      <c r="AA126" s="21">
        <v>2150955</v>
      </c>
      <c r="AB126" s="21">
        <v>2285796</v>
      </c>
      <c r="AC126" s="21">
        <v>2323974</v>
      </c>
      <c r="AD126" s="21">
        <v>2368753</v>
      </c>
      <c r="AE126" s="21">
        <v>2457272</v>
      </c>
      <c r="AF126" s="21">
        <v>2578063</v>
      </c>
      <c r="AG126" s="21">
        <v>2646809</v>
      </c>
      <c r="AH126" s="21">
        <v>2712555</v>
      </c>
      <c r="AI126" s="21">
        <v>2762003</v>
      </c>
      <c r="AJ126" s="21">
        <v>2763365</v>
      </c>
      <c r="AK126" s="21">
        <v>2861462</v>
      </c>
      <c r="AL126" s="21">
        <v>2934563</v>
      </c>
      <c r="AM126" s="21">
        <v>3013287</v>
      </c>
      <c r="AN126" s="21">
        <v>3101127</v>
      </c>
      <c r="AO126" s="21">
        <v>3145610</v>
      </c>
      <c r="AP126" s="21">
        <v>3264231</v>
      </c>
      <c r="AQ126" s="21">
        <v>3312087</v>
      </c>
      <c r="AR126" s="21">
        <v>3421414</v>
      </c>
      <c r="AS126" s="21">
        <v>3394458</v>
      </c>
      <c r="AT126" s="21">
        <v>3465466</v>
      </c>
      <c r="AU126" s="21">
        <v>3493807</v>
      </c>
      <c r="AV126" s="21">
        <v>3547479</v>
      </c>
      <c r="AW126" s="21">
        <v>3660969</v>
      </c>
      <c r="AX126" s="21">
        <v>3669919</v>
      </c>
      <c r="AY126" s="21">
        <v>3764561</v>
      </c>
      <c r="AZ126" s="21">
        <v>3733965</v>
      </c>
      <c r="BA126" s="21">
        <v>3596795</v>
      </c>
      <c r="BB126" s="21">
        <v>3754841</v>
      </c>
      <c r="BC126" s="21">
        <v>3749846</v>
      </c>
      <c r="BD126" s="21">
        <v>3694650</v>
      </c>
      <c r="BE126" s="21">
        <v>3724868</v>
      </c>
      <c r="BF126" s="21">
        <v>3764700</v>
      </c>
      <c r="BG126" s="21">
        <v>3758992</v>
      </c>
      <c r="BH126" s="21">
        <v>3762462</v>
      </c>
      <c r="BI126" s="21">
        <v>3723356</v>
      </c>
      <c r="BJ126" s="21">
        <v>3859185</v>
      </c>
      <c r="BK126" s="21">
        <v>3811150</v>
      </c>
      <c r="BL126" s="21">
        <v>3717674</v>
      </c>
      <c r="BM126" s="21">
        <v>3805874</v>
      </c>
    </row>
    <row r="127" spans="1:65" x14ac:dyDescent="0.2">
      <c r="A127" s="21" t="s">
        <v>1413</v>
      </c>
      <c r="B127" s="21" t="s">
        <v>1414</v>
      </c>
      <c r="C127" s="21" t="s">
        <v>409</v>
      </c>
      <c r="D127" s="21">
        <v>3808</v>
      </c>
      <c r="E127" s="21">
        <v>3930</v>
      </c>
      <c r="F127" s="21">
        <v>4169</v>
      </c>
      <c r="G127" s="21">
        <v>4400</v>
      </c>
      <c r="H127" s="21">
        <v>4670</v>
      </c>
      <c r="I127" s="21">
        <v>4909</v>
      </c>
      <c r="J127" s="21">
        <v>5266</v>
      </c>
      <c r="K127" s="21">
        <v>5532</v>
      </c>
      <c r="L127" s="21">
        <v>5993</v>
      </c>
      <c r="M127" s="21">
        <v>6482</v>
      </c>
      <c r="N127" s="21">
        <v>6790</v>
      </c>
      <c r="O127" s="21">
        <v>7077</v>
      </c>
      <c r="P127" s="21">
        <v>7600</v>
      </c>
      <c r="Q127" s="21">
        <v>8083</v>
      </c>
      <c r="R127" s="21">
        <v>7977</v>
      </c>
      <c r="S127" s="21">
        <v>8089</v>
      </c>
      <c r="T127" s="21">
        <v>8509</v>
      </c>
      <c r="U127" s="21">
        <v>8847</v>
      </c>
      <c r="V127" s="21">
        <v>9066</v>
      </c>
      <c r="W127" s="21">
        <v>9203</v>
      </c>
      <c r="X127" s="21">
        <v>9218</v>
      </c>
      <c r="Y127" s="21">
        <v>9357</v>
      </c>
      <c r="Z127" s="21">
        <v>9006</v>
      </c>
      <c r="AA127" s="21">
        <v>9200</v>
      </c>
      <c r="AB127" s="21">
        <v>9693</v>
      </c>
      <c r="AC127" s="21">
        <v>9768</v>
      </c>
      <c r="AD127" s="21">
        <v>9864</v>
      </c>
      <c r="AE127" s="21">
        <v>10142</v>
      </c>
      <c r="AF127" s="21">
        <v>10544</v>
      </c>
      <c r="AG127" s="21">
        <v>10724</v>
      </c>
      <c r="AH127" s="21">
        <v>10867</v>
      </c>
      <c r="AI127" s="21">
        <v>10918</v>
      </c>
      <c r="AJ127" s="21">
        <v>10773</v>
      </c>
      <c r="AK127" s="21">
        <v>11009</v>
      </c>
      <c r="AL127" s="21">
        <v>11153</v>
      </c>
      <c r="AM127" s="21">
        <v>11316</v>
      </c>
      <c r="AN127" s="21">
        <v>11511</v>
      </c>
      <c r="AO127" s="21">
        <v>11537</v>
      </c>
      <c r="AP127" s="21">
        <v>11833</v>
      </c>
      <c r="AQ127" s="21">
        <v>11870</v>
      </c>
      <c r="AR127" s="21">
        <v>12126</v>
      </c>
      <c r="AS127" s="21">
        <v>11912</v>
      </c>
      <c r="AT127" s="21">
        <v>12049</v>
      </c>
      <c r="AU127" s="21">
        <v>12043</v>
      </c>
      <c r="AV127" s="21">
        <v>12115</v>
      </c>
      <c r="AW127" s="21">
        <v>12388</v>
      </c>
      <c r="AX127" s="21">
        <v>12299</v>
      </c>
      <c r="AY127" s="21">
        <v>12497</v>
      </c>
      <c r="AZ127" s="21">
        <v>12279</v>
      </c>
      <c r="BA127" s="21">
        <v>11725</v>
      </c>
      <c r="BB127" s="21">
        <v>12139</v>
      </c>
      <c r="BC127" s="21">
        <v>12035</v>
      </c>
      <c r="BD127" s="21">
        <v>11771</v>
      </c>
      <c r="BE127" s="21">
        <v>11785</v>
      </c>
      <c r="BF127" s="21">
        <v>11824</v>
      </c>
      <c r="BG127" s="21">
        <v>11720</v>
      </c>
      <c r="BH127" s="21">
        <v>11646</v>
      </c>
      <c r="BI127" s="21">
        <v>11452</v>
      </c>
      <c r="BJ127" s="21">
        <v>11808</v>
      </c>
      <c r="BK127" s="21">
        <v>11608</v>
      </c>
      <c r="BL127" s="21">
        <v>11214</v>
      </c>
      <c r="BM127" s="21">
        <v>11462</v>
      </c>
    </row>
    <row r="128" spans="1:65" x14ac:dyDescent="0.2">
      <c r="A128" s="21" t="s">
        <v>1413</v>
      </c>
      <c r="B128" s="21" t="s">
        <v>1414</v>
      </c>
      <c r="C128" s="21" t="s">
        <v>411</v>
      </c>
      <c r="D128" s="21">
        <v>2347711</v>
      </c>
      <c r="E128" s="21">
        <v>2463294</v>
      </c>
      <c r="F128" s="21">
        <v>2653170</v>
      </c>
      <c r="G128" s="21">
        <v>2840876</v>
      </c>
      <c r="H128" s="21">
        <v>3057353</v>
      </c>
      <c r="I128" s="21">
        <v>3254329</v>
      </c>
      <c r="J128" s="21">
        <v>3531913</v>
      </c>
      <c r="K128" s="21">
        <v>3750529</v>
      </c>
      <c r="L128" s="21">
        <v>4104196</v>
      </c>
      <c r="M128" s="21">
        <v>4482799</v>
      </c>
      <c r="N128" s="21">
        <v>4750527</v>
      </c>
      <c r="O128" s="21">
        <v>5014071</v>
      </c>
      <c r="P128" s="21">
        <v>5442688</v>
      </c>
      <c r="Q128" s="21">
        <v>5844445</v>
      </c>
      <c r="R128" s="21">
        <v>5820612</v>
      </c>
      <c r="S128" s="21">
        <v>5961073</v>
      </c>
      <c r="T128" s="21">
        <v>6330100</v>
      </c>
      <c r="U128" s="21">
        <v>6647808</v>
      </c>
      <c r="V128" s="21">
        <v>6885149</v>
      </c>
      <c r="W128" s="21">
        <v>7066590</v>
      </c>
      <c r="X128" s="21">
        <v>7146253</v>
      </c>
      <c r="Y128" s="21">
        <v>7325911</v>
      </c>
      <c r="Z128" s="21">
        <v>7118934</v>
      </c>
      <c r="AA128" s="21">
        <v>7339057</v>
      </c>
      <c r="AB128" s="21">
        <v>7799137</v>
      </c>
      <c r="AC128" s="21">
        <v>7929399</v>
      </c>
      <c r="AD128" s="21">
        <v>8082185</v>
      </c>
      <c r="AE128" s="21">
        <v>8384213</v>
      </c>
      <c r="AF128" s="21">
        <v>8796349</v>
      </c>
      <c r="AG128" s="21">
        <v>9030913</v>
      </c>
      <c r="AH128" s="21">
        <v>9255237</v>
      </c>
      <c r="AI128" s="21">
        <v>9423954</v>
      </c>
      <c r="AJ128" s="21">
        <v>9428603</v>
      </c>
      <c r="AK128" s="21">
        <v>9763310</v>
      </c>
      <c r="AL128" s="21">
        <v>10012728</v>
      </c>
      <c r="AM128" s="21">
        <v>10281334</v>
      </c>
      <c r="AN128" s="21">
        <v>10581045</v>
      </c>
      <c r="AO128" s="21">
        <v>10732823</v>
      </c>
      <c r="AP128" s="21">
        <v>11137555</v>
      </c>
      <c r="AQ128" s="21">
        <v>11300841</v>
      </c>
      <c r="AR128" s="21">
        <v>11673865</v>
      </c>
      <c r="AS128" s="21">
        <v>11581891</v>
      </c>
      <c r="AT128" s="21">
        <v>11824170</v>
      </c>
      <c r="AU128" s="21">
        <v>11920869</v>
      </c>
      <c r="AV128" s="21">
        <v>12104000</v>
      </c>
      <c r="AW128" s="21">
        <v>12491225</v>
      </c>
      <c r="AX128" s="21">
        <v>12521763</v>
      </c>
      <c r="AY128" s="21">
        <v>12844681</v>
      </c>
      <c r="AZ128" s="21">
        <v>12740287</v>
      </c>
      <c r="BA128" s="21">
        <v>12272265</v>
      </c>
      <c r="BB128" s="21">
        <v>12811519</v>
      </c>
      <c r="BC128" s="21">
        <v>12794475</v>
      </c>
      <c r="BD128" s="21">
        <v>12606145</v>
      </c>
      <c r="BE128" s="21">
        <v>12709249</v>
      </c>
      <c r="BF128" s="21">
        <v>12845157</v>
      </c>
      <c r="BG128" s="21">
        <v>12825682</v>
      </c>
      <c r="BH128" s="21">
        <v>12837519</v>
      </c>
      <c r="BI128" s="21">
        <v>12704091</v>
      </c>
      <c r="BJ128" s="21">
        <v>13167540</v>
      </c>
      <c r="BK128" s="21">
        <v>13003645</v>
      </c>
      <c r="BL128" s="21">
        <v>12684705</v>
      </c>
      <c r="BM128" s="21">
        <v>12985643</v>
      </c>
    </row>
    <row r="129" spans="1:65" x14ac:dyDescent="0.2">
      <c r="A129" s="21" t="s">
        <v>1413</v>
      </c>
      <c r="B129" s="21" t="s">
        <v>1414</v>
      </c>
      <c r="C129" s="21" t="s">
        <v>415</v>
      </c>
      <c r="D129" s="21">
        <v>688075</v>
      </c>
      <c r="E129" s="21">
        <v>721950</v>
      </c>
      <c r="F129" s="21">
        <v>777600</v>
      </c>
      <c r="G129" s="21">
        <v>832613</v>
      </c>
      <c r="H129" s="21">
        <v>896059</v>
      </c>
      <c r="I129" s="21">
        <v>953789</v>
      </c>
      <c r="J129" s="21">
        <v>1035145</v>
      </c>
      <c r="K129" s="21">
        <v>1099217</v>
      </c>
      <c r="L129" s="21">
        <v>1202871</v>
      </c>
      <c r="M129" s="21">
        <v>1313833</v>
      </c>
      <c r="N129" s="21">
        <v>1392300</v>
      </c>
      <c r="O129" s="21">
        <v>1469540</v>
      </c>
      <c r="P129" s="21">
        <v>1595161</v>
      </c>
      <c r="Q129" s="21">
        <v>1712909</v>
      </c>
      <c r="R129" s="21">
        <v>1705924</v>
      </c>
      <c r="S129" s="21">
        <v>1747091</v>
      </c>
      <c r="T129" s="21">
        <v>1855246</v>
      </c>
      <c r="U129" s="21">
        <v>1948361</v>
      </c>
      <c r="V129" s="21">
        <v>2017922</v>
      </c>
      <c r="W129" s="21">
        <v>2071099</v>
      </c>
      <c r="X129" s="21">
        <v>2094447</v>
      </c>
      <c r="Y129" s="21">
        <v>2147102</v>
      </c>
      <c r="Z129" s="21">
        <v>2086440</v>
      </c>
      <c r="AA129" s="21">
        <v>2150955</v>
      </c>
      <c r="AB129" s="21">
        <v>2285796</v>
      </c>
      <c r="AC129" s="21">
        <v>2323974</v>
      </c>
      <c r="AD129" s="21">
        <v>2368753</v>
      </c>
      <c r="AE129" s="21">
        <v>2457272</v>
      </c>
      <c r="AF129" s="21">
        <v>2578063</v>
      </c>
      <c r="AG129" s="21">
        <v>2646809</v>
      </c>
      <c r="AH129" s="21">
        <v>2712555</v>
      </c>
      <c r="AI129" s="21">
        <v>2762003</v>
      </c>
      <c r="AJ129" s="21">
        <v>2763365</v>
      </c>
      <c r="AK129" s="21">
        <v>2861462</v>
      </c>
      <c r="AL129" s="21">
        <v>2934563</v>
      </c>
      <c r="AM129" s="21">
        <v>3013287</v>
      </c>
      <c r="AN129" s="21">
        <v>3101127</v>
      </c>
      <c r="AO129" s="21">
        <v>3145610</v>
      </c>
      <c r="AP129" s="21">
        <v>3264231</v>
      </c>
      <c r="AQ129" s="21">
        <v>3312087</v>
      </c>
      <c r="AR129" s="21">
        <v>3421414</v>
      </c>
      <c r="AS129" s="21">
        <v>3394458</v>
      </c>
      <c r="AT129" s="21">
        <v>3465466</v>
      </c>
      <c r="AU129" s="21">
        <v>3493807</v>
      </c>
      <c r="AV129" s="21">
        <v>3547479</v>
      </c>
      <c r="AW129" s="21">
        <v>3660969</v>
      </c>
      <c r="AX129" s="21">
        <v>3669919</v>
      </c>
      <c r="AY129" s="21">
        <v>3764561</v>
      </c>
      <c r="AZ129" s="21">
        <v>3733965</v>
      </c>
      <c r="BA129" s="21">
        <v>3596795</v>
      </c>
      <c r="BB129" s="21">
        <v>3754841</v>
      </c>
      <c r="BC129" s="21">
        <v>3749846</v>
      </c>
      <c r="BD129" s="21">
        <v>3694650</v>
      </c>
      <c r="BE129" s="21">
        <v>3724868</v>
      </c>
      <c r="BF129" s="21">
        <v>3764700</v>
      </c>
      <c r="BG129" s="21">
        <v>3758992</v>
      </c>
      <c r="BH129" s="21">
        <v>3762462</v>
      </c>
      <c r="BI129" s="21">
        <v>3723356</v>
      </c>
      <c r="BJ129" s="21">
        <v>3859185</v>
      </c>
      <c r="BK129" s="21">
        <v>3811150</v>
      </c>
      <c r="BL129" s="21">
        <v>3717674</v>
      </c>
      <c r="BM129" s="21">
        <v>3805874</v>
      </c>
    </row>
    <row r="130" spans="1:65" x14ac:dyDescent="0.2">
      <c r="A130" s="21" t="s">
        <v>1413</v>
      </c>
      <c r="B130" s="21" t="s">
        <v>1414</v>
      </c>
      <c r="C130" s="21" t="s">
        <v>418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>
        <v>5269</v>
      </c>
      <c r="BC130" s="21">
        <v>5267</v>
      </c>
      <c r="BD130" s="21">
        <v>4572</v>
      </c>
      <c r="BE130" s="21">
        <v>755</v>
      </c>
      <c r="BF130" s="21">
        <v>950</v>
      </c>
      <c r="BG130" s="21">
        <v>816</v>
      </c>
      <c r="BH130" s="21">
        <v>646</v>
      </c>
      <c r="BI130" s="21">
        <v>658</v>
      </c>
      <c r="BJ130" s="21">
        <v>219</v>
      </c>
      <c r="BK130" s="21">
        <v>309</v>
      </c>
      <c r="BL130" s="21">
        <v>551</v>
      </c>
      <c r="BM130" s="21">
        <v>675</v>
      </c>
    </row>
    <row r="131" spans="1:65" x14ac:dyDescent="0.2">
      <c r="A131" s="21" t="s">
        <v>1413</v>
      </c>
      <c r="B131" s="21" t="s">
        <v>1414</v>
      </c>
      <c r="C131" s="21" t="s">
        <v>420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>
        <v>2163</v>
      </c>
      <c r="BC131" s="21">
        <v>2162</v>
      </c>
      <c r="BD131" s="21">
        <v>1877</v>
      </c>
      <c r="BE131" s="21">
        <v>310</v>
      </c>
      <c r="BF131" s="21">
        <v>390</v>
      </c>
      <c r="BG131" s="21">
        <v>335</v>
      </c>
      <c r="BH131" s="21">
        <v>265</v>
      </c>
      <c r="BI131" s="21">
        <v>270</v>
      </c>
      <c r="BJ131" s="21">
        <v>90</v>
      </c>
      <c r="BK131" s="21">
        <v>127</v>
      </c>
      <c r="BL131" s="21">
        <v>226</v>
      </c>
      <c r="BM131" s="21">
        <v>277</v>
      </c>
    </row>
    <row r="132" spans="1:65" x14ac:dyDescent="0.2">
      <c r="A132" s="21" t="s">
        <v>1413</v>
      </c>
      <c r="B132" s="21" t="s">
        <v>1414</v>
      </c>
      <c r="C132" s="21" t="s">
        <v>421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>
        <v>5269</v>
      </c>
      <c r="BC132" s="21">
        <v>5267</v>
      </c>
      <c r="BD132" s="21">
        <v>4572</v>
      </c>
      <c r="BE132" s="21">
        <v>755</v>
      </c>
      <c r="BF132" s="21">
        <v>950</v>
      </c>
      <c r="BG132" s="21">
        <v>816</v>
      </c>
      <c r="BH132" s="21">
        <v>646</v>
      </c>
      <c r="BI132" s="21">
        <v>658</v>
      </c>
      <c r="BJ132" s="21">
        <v>219</v>
      </c>
      <c r="BK132" s="21">
        <v>309</v>
      </c>
      <c r="BL132" s="21">
        <v>551</v>
      </c>
      <c r="BM132" s="21">
        <v>675</v>
      </c>
    </row>
    <row r="133" spans="1:65" x14ac:dyDescent="0.2">
      <c r="A133" s="21" t="s">
        <v>1413</v>
      </c>
      <c r="B133" s="21" t="s">
        <v>1414</v>
      </c>
      <c r="C133" s="21" t="s">
        <v>423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>
        <v>2163</v>
      </c>
      <c r="BC133" s="21">
        <v>2162</v>
      </c>
      <c r="BD133" s="21">
        <v>1877</v>
      </c>
      <c r="BE133" s="21">
        <v>310</v>
      </c>
      <c r="BF133" s="21">
        <v>390</v>
      </c>
      <c r="BG133" s="21">
        <v>335</v>
      </c>
      <c r="BH133" s="21">
        <v>265</v>
      </c>
      <c r="BI133" s="21">
        <v>270</v>
      </c>
      <c r="BJ133" s="21">
        <v>90</v>
      </c>
      <c r="BK133" s="21">
        <v>127</v>
      </c>
      <c r="BL133" s="21">
        <v>226</v>
      </c>
      <c r="BM133" s="21">
        <v>277</v>
      </c>
    </row>
    <row r="134" spans="1:65" x14ac:dyDescent="0.2">
      <c r="A134" s="21" t="s">
        <v>1413</v>
      </c>
      <c r="B134" s="21" t="s">
        <v>1414</v>
      </c>
      <c r="C134" s="21" t="s">
        <v>424</v>
      </c>
      <c r="D134" s="21">
        <v>10.76</v>
      </c>
      <c r="E134" s="21">
        <v>10.65</v>
      </c>
      <c r="F134" s="21">
        <v>10.558</v>
      </c>
      <c r="G134" s="21">
        <v>10.481999999999999</v>
      </c>
      <c r="H134" s="21">
        <v>10.462</v>
      </c>
      <c r="I134" s="21">
        <v>10.452999999999999</v>
      </c>
      <c r="J134" s="21">
        <v>10.414999999999999</v>
      </c>
      <c r="K134" s="21">
        <v>10.432</v>
      </c>
      <c r="L134" s="21">
        <v>10.398</v>
      </c>
      <c r="M134" s="21">
        <v>10.446999999999999</v>
      </c>
      <c r="N134" s="21">
        <v>10.494</v>
      </c>
      <c r="O134" s="21">
        <v>10.478</v>
      </c>
      <c r="P134" s="21">
        <v>10.379</v>
      </c>
      <c r="Q134" s="21">
        <v>10.388999999999999</v>
      </c>
      <c r="R134" s="21">
        <v>10.442</v>
      </c>
      <c r="S134" s="21">
        <v>10.406000000000001</v>
      </c>
      <c r="T134" s="21">
        <v>10.372999999999999</v>
      </c>
      <c r="U134" s="21">
        <v>10.435</v>
      </c>
      <c r="V134" s="21">
        <v>10.361000000000001</v>
      </c>
      <c r="W134" s="21">
        <v>10.353</v>
      </c>
      <c r="X134" s="21">
        <v>10.388</v>
      </c>
      <c r="Y134" s="21">
        <v>10.452999999999999</v>
      </c>
      <c r="Z134" s="21">
        <v>10.454000000000001</v>
      </c>
      <c r="AA134" s="21">
        <v>10.52</v>
      </c>
      <c r="AB134" s="21">
        <v>10.44</v>
      </c>
      <c r="AC134" s="21">
        <v>10.446999999999999</v>
      </c>
      <c r="AD134" s="21">
        <v>10.446</v>
      </c>
      <c r="AE134" s="21">
        <v>10.419</v>
      </c>
      <c r="AF134" s="21">
        <v>10.324</v>
      </c>
      <c r="AG134" s="21">
        <v>10.432</v>
      </c>
      <c r="AH134" s="21">
        <v>10.401999999999999</v>
      </c>
      <c r="AI134" s="21">
        <v>10.436</v>
      </c>
      <c r="AJ134" s="21">
        <v>10.342000000000001</v>
      </c>
      <c r="AK134" s="21">
        <v>10.308999999999999</v>
      </c>
      <c r="AL134" s="21">
        <v>10.316000000000001</v>
      </c>
      <c r="AM134" s="21">
        <v>10.311999999999999</v>
      </c>
      <c r="AN134" s="21">
        <v>10.34</v>
      </c>
      <c r="AO134" s="21">
        <v>10.212999999999999</v>
      </c>
      <c r="AP134" s="21">
        <v>10.196999999999999</v>
      </c>
      <c r="AQ134" s="21">
        <v>10.226000000000001</v>
      </c>
      <c r="AR134" s="21">
        <v>10.201000000000001</v>
      </c>
      <c r="AS134" s="21">
        <v>10.333</v>
      </c>
      <c r="AT134" s="21">
        <v>10.173</v>
      </c>
      <c r="AU134" s="21">
        <v>10.125</v>
      </c>
      <c r="AV134" s="21">
        <v>10.016</v>
      </c>
      <c r="AW134" s="21">
        <v>9.9990000000000006</v>
      </c>
      <c r="AX134" s="21">
        <v>9.9190000000000005</v>
      </c>
      <c r="AY134" s="21">
        <v>9.8840000000000003</v>
      </c>
      <c r="AZ134" s="21">
        <v>9.8539999999999992</v>
      </c>
      <c r="BA134" s="21">
        <v>9.76</v>
      </c>
      <c r="BB134" s="21">
        <v>9.7560000000000002</v>
      </c>
      <c r="BC134" s="21">
        <v>9.7159999999999993</v>
      </c>
      <c r="BD134" s="21">
        <v>9.516</v>
      </c>
      <c r="BE134" s="21">
        <v>9.5410000000000004</v>
      </c>
      <c r="BF134" s="21">
        <v>9.5090000000000003</v>
      </c>
      <c r="BG134" s="21">
        <v>9.3140000000000001</v>
      </c>
      <c r="BH134" s="21">
        <v>9.2279999999999998</v>
      </c>
      <c r="BI134" s="21">
        <v>9.2080000000000002</v>
      </c>
      <c r="BJ134" s="21">
        <v>9.0980000000000008</v>
      </c>
      <c r="BK134" s="21">
        <v>8.8989999999999991</v>
      </c>
      <c r="BL134" s="21">
        <v>8.7669999999999995</v>
      </c>
      <c r="BM134" s="21">
        <v>8.8439999999999994</v>
      </c>
    </row>
    <row r="135" spans="1:65" x14ac:dyDescent="0.2">
      <c r="A135" s="21" t="s">
        <v>1413</v>
      </c>
      <c r="B135" s="21" t="s">
        <v>1414</v>
      </c>
      <c r="C135" s="21" t="s">
        <v>427</v>
      </c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>
        <v>769945</v>
      </c>
      <c r="BA135" s="21">
        <v>773937</v>
      </c>
      <c r="BB135" s="21">
        <v>780260</v>
      </c>
      <c r="BC135" s="21">
        <v>786247</v>
      </c>
      <c r="BD135" s="21">
        <v>781158</v>
      </c>
      <c r="BE135" s="21">
        <v>774327</v>
      </c>
      <c r="BF135" s="21">
        <v>774294</v>
      </c>
      <c r="BG135" s="21">
        <v>758476</v>
      </c>
      <c r="BH135" s="21">
        <v>750282</v>
      </c>
      <c r="BI135" s="21">
        <v>748241</v>
      </c>
      <c r="BJ135" s="21">
        <v>747785</v>
      </c>
      <c r="BK135" s="21">
        <v>739125</v>
      </c>
      <c r="BL135" s="21">
        <v>731207</v>
      </c>
      <c r="BM135" s="21">
        <v>731789</v>
      </c>
    </row>
    <row r="136" spans="1:65" x14ac:dyDescent="0.2">
      <c r="A136" s="21" t="s">
        <v>1413</v>
      </c>
      <c r="B136" s="21" t="s">
        <v>1414</v>
      </c>
      <c r="C136" s="21" t="s">
        <v>429</v>
      </c>
      <c r="D136" s="21">
        <v>42083902</v>
      </c>
      <c r="E136" s="21">
        <v>42704559</v>
      </c>
      <c r="F136" s="21">
        <v>44627400</v>
      </c>
      <c r="G136" s="21">
        <v>46470718</v>
      </c>
      <c r="H136" s="21">
        <v>48494993</v>
      </c>
      <c r="I136" s="21">
        <v>50527367</v>
      </c>
      <c r="J136" s="21">
        <v>53460558</v>
      </c>
      <c r="K136" s="21">
        <v>55139222</v>
      </c>
      <c r="L136" s="21">
        <v>58489657</v>
      </c>
      <c r="M136" s="21">
        <v>61326650</v>
      </c>
      <c r="N136" s="21">
        <v>63404057</v>
      </c>
      <c r="O136" s="21">
        <v>64476796</v>
      </c>
      <c r="P136" s="21">
        <v>67685221</v>
      </c>
      <c r="Q136" s="21">
        <v>70354027</v>
      </c>
      <c r="R136" s="21">
        <v>67857280</v>
      </c>
      <c r="S136" s="21">
        <v>65345011</v>
      </c>
      <c r="T136" s="21">
        <v>69099003</v>
      </c>
      <c r="U136" s="21">
        <v>70976813</v>
      </c>
      <c r="V136" s="21">
        <v>71881184</v>
      </c>
      <c r="W136" s="21">
        <v>72867854</v>
      </c>
      <c r="X136" s="21">
        <v>69812418</v>
      </c>
      <c r="Y136" s="21">
        <v>67555477</v>
      </c>
      <c r="Z136" s="21">
        <v>63793964</v>
      </c>
      <c r="AA136" s="21">
        <v>63060674</v>
      </c>
      <c r="AB136" s="21">
        <v>66384740</v>
      </c>
      <c r="AC136" s="21">
        <v>66107397</v>
      </c>
      <c r="AD136" s="21">
        <v>65978279</v>
      </c>
      <c r="AE136" s="21">
        <v>68423683</v>
      </c>
      <c r="AF136" s="21">
        <v>71559100</v>
      </c>
      <c r="AG136" s="21">
        <v>72857627</v>
      </c>
      <c r="AH136" s="21">
        <v>72301158</v>
      </c>
      <c r="AI136" s="21">
        <v>71822126</v>
      </c>
      <c r="AJ136" s="21">
        <v>73345161</v>
      </c>
      <c r="AK136" s="21">
        <v>74710100</v>
      </c>
      <c r="AL136" s="21">
        <v>76176875</v>
      </c>
      <c r="AM136" s="21">
        <v>77226112</v>
      </c>
      <c r="AN136" s="21">
        <v>79768878</v>
      </c>
      <c r="AO136" s="21">
        <v>80931627</v>
      </c>
      <c r="AP136" s="21">
        <v>81286078</v>
      </c>
      <c r="AQ136" s="21">
        <v>82301903</v>
      </c>
      <c r="AR136" s="21">
        <v>84612876</v>
      </c>
      <c r="AS136" s="21">
        <v>82770890</v>
      </c>
      <c r="AT136" s="21">
        <v>83599295</v>
      </c>
      <c r="AU136" s="21">
        <v>83909170</v>
      </c>
      <c r="AV136" s="21">
        <v>85677710</v>
      </c>
      <c r="AW136" s="21">
        <v>85632050</v>
      </c>
      <c r="AX136" s="21">
        <v>84473648</v>
      </c>
      <c r="AY136" s="21">
        <v>85827701</v>
      </c>
      <c r="AZ136" s="21">
        <v>83051474</v>
      </c>
      <c r="BA136" s="21">
        <v>77868164</v>
      </c>
      <c r="BB136" s="21">
        <v>80711267</v>
      </c>
      <c r="BC136" s="21">
        <v>79268449</v>
      </c>
      <c r="BD136" s="21">
        <v>77293973</v>
      </c>
      <c r="BE136" s="21">
        <v>79208532</v>
      </c>
      <c r="BF136" s="21">
        <v>80010104</v>
      </c>
      <c r="BG136" s="21">
        <v>79079337</v>
      </c>
      <c r="BH136" s="21">
        <v>78313136</v>
      </c>
      <c r="BI136" s="21">
        <v>77911754</v>
      </c>
      <c r="BJ136" s="21">
        <v>81279836</v>
      </c>
      <c r="BK136" s="21">
        <v>80397213</v>
      </c>
      <c r="BL136" s="21">
        <v>73065281</v>
      </c>
      <c r="BM136" s="21">
        <v>77406947</v>
      </c>
    </row>
    <row r="137" spans="1:65" x14ac:dyDescent="0.2">
      <c r="A137" s="21" t="s">
        <v>1413</v>
      </c>
      <c r="B137" s="21" t="s">
        <v>1414</v>
      </c>
      <c r="C137" s="21" t="s">
        <v>431</v>
      </c>
      <c r="D137" s="21">
        <v>0</v>
      </c>
      <c r="E137" s="21">
        <v>0</v>
      </c>
      <c r="F137" s="21">
        <v>0</v>
      </c>
      <c r="G137" s="21">
        <v>115571</v>
      </c>
      <c r="H137" s="21">
        <v>129012</v>
      </c>
      <c r="I137" s="21">
        <v>123438</v>
      </c>
      <c r="J137" s="21">
        <v>209154</v>
      </c>
      <c r="K137" s="21">
        <v>264232</v>
      </c>
      <c r="L137" s="21">
        <v>291883</v>
      </c>
      <c r="M137" s="21">
        <v>302122</v>
      </c>
      <c r="N137" s="21">
        <v>300600</v>
      </c>
      <c r="O137" s="21">
        <v>298197</v>
      </c>
      <c r="P137" s="21">
        <v>304778</v>
      </c>
      <c r="Q137" s="21">
        <v>298202</v>
      </c>
      <c r="R137" s="21">
        <v>324741</v>
      </c>
      <c r="S137" s="21">
        <v>280831</v>
      </c>
      <c r="T137" s="21">
        <v>384663</v>
      </c>
      <c r="U137" s="21">
        <v>389806</v>
      </c>
      <c r="V137" s="21">
        <v>393038</v>
      </c>
      <c r="W137" s="21">
        <v>455070</v>
      </c>
      <c r="X137" s="21">
        <v>474797</v>
      </c>
      <c r="Y137" s="21">
        <v>440517</v>
      </c>
      <c r="Z137" s="21">
        <v>316129</v>
      </c>
      <c r="AA137" s="21">
        <v>283744</v>
      </c>
      <c r="AB137" s="21">
        <v>276108</v>
      </c>
      <c r="AC137" s="21">
        <v>235798</v>
      </c>
      <c r="AD137" s="21">
        <v>341382</v>
      </c>
      <c r="AE137" s="21">
        <v>347900</v>
      </c>
      <c r="AF137" s="21">
        <v>355583</v>
      </c>
      <c r="AG137" s="21">
        <v>388583</v>
      </c>
      <c r="AH137" s="21">
        <v>347801</v>
      </c>
      <c r="AI137" s="21">
        <v>298947</v>
      </c>
      <c r="AJ137" s="21">
        <v>377127</v>
      </c>
      <c r="AK137" s="21">
        <v>350593</v>
      </c>
      <c r="AL137" s="21">
        <v>398339</v>
      </c>
      <c r="AM137" s="21">
        <v>372965</v>
      </c>
      <c r="AN137" s="21">
        <v>479310</v>
      </c>
      <c r="AO137" s="21">
        <v>536377</v>
      </c>
      <c r="AP137" s="21">
        <v>583992</v>
      </c>
      <c r="AQ137" s="21">
        <v>502076</v>
      </c>
      <c r="AR137" s="21">
        <v>613533</v>
      </c>
      <c r="AS137" s="21">
        <v>493716</v>
      </c>
      <c r="AT137" s="21">
        <v>582554</v>
      </c>
      <c r="AU137" s="21">
        <v>612956</v>
      </c>
      <c r="AV137" s="21">
        <v>749430</v>
      </c>
      <c r="AW137" s="21">
        <v>698666</v>
      </c>
      <c r="AX137" s="21">
        <v>628852</v>
      </c>
      <c r="AY137" s="21">
        <v>562454</v>
      </c>
      <c r="AZ137" s="21">
        <v>477174</v>
      </c>
      <c r="BA137" s="21">
        <v>471869</v>
      </c>
      <c r="BB137" s="21">
        <v>490573</v>
      </c>
      <c r="BC137" s="21">
        <v>487319</v>
      </c>
      <c r="BD137" s="21">
        <v>453921</v>
      </c>
      <c r="BE137" s="21">
        <v>517836</v>
      </c>
      <c r="BF137" s="21">
        <v>442606</v>
      </c>
      <c r="BG137" s="21">
        <v>428058</v>
      </c>
      <c r="BH137" s="21">
        <v>420024</v>
      </c>
      <c r="BI137" s="21">
        <v>436177</v>
      </c>
      <c r="BJ137" s="21">
        <v>447088</v>
      </c>
      <c r="BK137" s="21">
        <v>396691</v>
      </c>
      <c r="BL137" s="21">
        <v>354607</v>
      </c>
      <c r="BM137" s="21">
        <v>354817</v>
      </c>
    </row>
    <row r="138" spans="1:65" x14ac:dyDescent="0.2">
      <c r="A138" s="21" t="s">
        <v>1413</v>
      </c>
      <c r="B138" s="21" t="s">
        <v>1414</v>
      </c>
      <c r="C138" s="21" t="s">
        <v>435</v>
      </c>
      <c r="D138" s="21">
        <v>0</v>
      </c>
      <c r="E138" s="21">
        <v>0</v>
      </c>
      <c r="F138" s="21">
        <v>0</v>
      </c>
      <c r="G138" s="21">
        <v>22022</v>
      </c>
      <c r="H138" s="21">
        <v>24583</v>
      </c>
      <c r="I138" s="21">
        <v>23521</v>
      </c>
      <c r="J138" s="21">
        <v>39854</v>
      </c>
      <c r="K138" s="21">
        <v>50349</v>
      </c>
      <c r="L138" s="21">
        <v>55618</v>
      </c>
      <c r="M138" s="21">
        <v>57569</v>
      </c>
      <c r="N138" s="21">
        <v>57279</v>
      </c>
      <c r="O138" s="21">
        <v>56821</v>
      </c>
      <c r="P138" s="21">
        <v>58075</v>
      </c>
      <c r="Q138" s="21">
        <v>56822</v>
      </c>
      <c r="R138" s="21">
        <v>61879</v>
      </c>
      <c r="S138" s="21">
        <v>53512</v>
      </c>
      <c r="T138" s="21">
        <v>73297</v>
      </c>
      <c r="U138" s="21">
        <v>74277</v>
      </c>
      <c r="V138" s="21">
        <v>74893</v>
      </c>
      <c r="W138" s="21">
        <v>86713</v>
      </c>
      <c r="X138" s="21">
        <v>90472</v>
      </c>
      <c r="Y138" s="21">
        <v>83940</v>
      </c>
      <c r="Z138" s="21">
        <v>60238</v>
      </c>
      <c r="AA138" s="21">
        <v>54067</v>
      </c>
      <c r="AB138" s="21">
        <v>52612</v>
      </c>
      <c r="AC138" s="21">
        <v>44931</v>
      </c>
      <c r="AD138" s="21">
        <v>65050</v>
      </c>
      <c r="AE138" s="21">
        <v>66292</v>
      </c>
      <c r="AF138" s="21">
        <v>67756</v>
      </c>
      <c r="AG138" s="21">
        <v>74044</v>
      </c>
      <c r="AH138" s="21">
        <v>66273</v>
      </c>
      <c r="AI138" s="21">
        <v>56964</v>
      </c>
      <c r="AJ138" s="21">
        <v>71861</v>
      </c>
      <c r="AK138" s="21">
        <v>66805</v>
      </c>
      <c r="AL138" s="21">
        <v>75903</v>
      </c>
      <c r="AM138" s="21">
        <v>71068</v>
      </c>
      <c r="AN138" s="21">
        <v>91332</v>
      </c>
      <c r="AO138" s="21">
        <v>102206</v>
      </c>
      <c r="AP138" s="21">
        <v>111279</v>
      </c>
      <c r="AQ138" s="21">
        <v>95670</v>
      </c>
      <c r="AR138" s="21">
        <v>116908</v>
      </c>
      <c r="AS138" s="21">
        <v>94077</v>
      </c>
      <c r="AT138" s="21">
        <v>111005</v>
      </c>
      <c r="AU138" s="21">
        <v>116798</v>
      </c>
      <c r="AV138" s="21">
        <v>142803</v>
      </c>
      <c r="AW138" s="21">
        <v>133130</v>
      </c>
      <c r="AX138" s="21">
        <v>119827</v>
      </c>
      <c r="AY138" s="21">
        <v>107175</v>
      </c>
      <c r="AZ138" s="21">
        <v>90925</v>
      </c>
      <c r="BA138" s="21">
        <v>89914</v>
      </c>
      <c r="BB138" s="21">
        <v>93478</v>
      </c>
      <c r="BC138" s="21">
        <v>92858</v>
      </c>
      <c r="BD138" s="21">
        <v>86494</v>
      </c>
      <c r="BE138" s="21">
        <v>98673</v>
      </c>
      <c r="BF138" s="21">
        <v>84338</v>
      </c>
      <c r="BG138" s="21">
        <v>81566</v>
      </c>
      <c r="BH138" s="21">
        <v>80035</v>
      </c>
      <c r="BI138" s="21">
        <v>83113</v>
      </c>
      <c r="BJ138" s="21">
        <v>85192</v>
      </c>
      <c r="BK138" s="21">
        <v>75589</v>
      </c>
      <c r="BL138" s="21">
        <v>67570</v>
      </c>
      <c r="BM138" s="21">
        <v>67610</v>
      </c>
    </row>
    <row r="139" spans="1:65" x14ac:dyDescent="0.2">
      <c r="A139" s="21" t="s">
        <v>1413</v>
      </c>
      <c r="B139" s="21" t="s">
        <v>1414</v>
      </c>
      <c r="C139" s="21" t="s">
        <v>438</v>
      </c>
      <c r="D139" s="21">
        <v>0</v>
      </c>
      <c r="E139" s="21">
        <v>0</v>
      </c>
      <c r="F139" s="21">
        <v>0</v>
      </c>
      <c r="G139" s="21">
        <v>131785</v>
      </c>
      <c r="H139" s="21">
        <v>147477</v>
      </c>
      <c r="I139" s="21">
        <v>130643</v>
      </c>
      <c r="J139" s="21">
        <v>139066</v>
      </c>
      <c r="K139" s="21">
        <v>140115</v>
      </c>
      <c r="L139" s="21">
        <v>160036</v>
      </c>
      <c r="M139" s="21">
        <v>157823</v>
      </c>
      <c r="N139" s="21">
        <v>182556</v>
      </c>
      <c r="O139" s="21">
        <v>218705</v>
      </c>
      <c r="P139" s="21">
        <v>296749</v>
      </c>
      <c r="Q139" s="21">
        <v>353455</v>
      </c>
      <c r="R139" s="21">
        <v>327447</v>
      </c>
      <c r="S139" s="21">
        <v>276909</v>
      </c>
      <c r="T139" s="21">
        <v>361797</v>
      </c>
      <c r="U139" s="21">
        <v>571858</v>
      </c>
      <c r="V139" s="21">
        <v>711582</v>
      </c>
      <c r="W139" s="21">
        <v>846361</v>
      </c>
      <c r="X139" s="21">
        <v>858821</v>
      </c>
      <c r="Y139" s="21">
        <v>727665</v>
      </c>
      <c r="Z139" s="21">
        <v>521833</v>
      </c>
      <c r="AA139" s="21">
        <v>511720</v>
      </c>
      <c r="AB139" s="21">
        <v>470013</v>
      </c>
      <c r="AC139" s="21">
        <v>505261</v>
      </c>
      <c r="AD139" s="21">
        <v>610186</v>
      </c>
      <c r="AE139" s="21">
        <v>555297</v>
      </c>
      <c r="AF139" s="21">
        <v>583117</v>
      </c>
      <c r="AG139" s="21">
        <v>545453</v>
      </c>
      <c r="AH139" s="21">
        <v>753924</v>
      </c>
      <c r="AI139" s="21">
        <v>827296</v>
      </c>
      <c r="AJ139" s="21">
        <v>814516</v>
      </c>
      <c r="AK139" s="21">
        <v>844077</v>
      </c>
      <c r="AL139" s="21">
        <v>838643</v>
      </c>
      <c r="AM139" s="21">
        <v>801013</v>
      </c>
      <c r="AN139" s="21">
        <v>729645</v>
      </c>
      <c r="AO139" s="21">
        <v>861244</v>
      </c>
      <c r="AP139" s="21">
        <v>818669</v>
      </c>
      <c r="AQ139" s="21">
        <v>811143</v>
      </c>
      <c r="AR139" s="21">
        <v>722154</v>
      </c>
      <c r="AS139" s="21">
        <v>662454</v>
      </c>
      <c r="AT139" s="21">
        <v>632065</v>
      </c>
      <c r="AU139" s="21">
        <v>699379</v>
      </c>
      <c r="AV139" s="21">
        <v>779490</v>
      </c>
      <c r="AW139" s="21">
        <v>707982</v>
      </c>
      <c r="AX139" s="21">
        <v>790639</v>
      </c>
      <c r="AY139" s="21">
        <v>744091</v>
      </c>
      <c r="AZ139" s="21">
        <v>647763</v>
      </c>
      <c r="BA139" s="21">
        <v>424776</v>
      </c>
      <c r="BB139" s="21">
        <v>452521</v>
      </c>
      <c r="BC139" s="21">
        <v>388528</v>
      </c>
      <c r="BD139" s="21">
        <v>287242</v>
      </c>
      <c r="BE139" s="21">
        <v>223919</v>
      </c>
      <c r="BF139" s="21">
        <v>247225</v>
      </c>
      <c r="BG139" s="21">
        <v>229039</v>
      </c>
      <c r="BH139" s="21">
        <v>222457</v>
      </c>
      <c r="BI139" s="21">
        <v>262929</v>
      </c>
      <c r="BJ139" s="21">
        <v>239081</v>
      </c>
      <c r="BK139" s="21">
        <v>234089</v>
      </c>
      <c r="BL139" s="21">
        <v>217010</v>
      </c>
      <c r="BM139" s="21">
        <v>216894</v>
      </c>
    </row>
    <row r="140" spans="1:65" x14ac:dyDescent="0.2">
      <c r="A140" s="21" t="s">
        <v>1413</v>
      </c>
      <c r="B140" s="21" t="s">
        <v>1414</v>
      </c>
      <c r="C140" s="21" t="s">
        <v>442</v>
      </c>
      <c r="D140" s="21">
        <v>0</v>
      </c>
      <c r="E140" s="21">
        <v>0</v>
      </c>
      <c r="F140" s="21">
        <v>0</v>
      </c>
      <c r="G140" s="21">
        <v>22624</v>
      </c>
      <c r="H140" s="21">
        <v>25318</v>
      </c>
      <c r="I140" s="21">
        <v>22428</v>
      </c>
      <c r="J140" s="21">
        <v>23874</v>
      </c>
      <c r="K140" s="21">
        <v>24054</v>
      </c>
      <c r="L140" s="21">
        <v>27474</v>
      </c>
      <c r="M140" s="21">
        <v>27094</v>
      </c>
      <c r="N140" s="21">
        <v>31340</v>
      </c>
      <c r="O140" s="21">
        <v>37546</v>
      </c>
      <c r="P140" s="21">
        <v>50944</v>
      </c>
      <c r="Q140" s="21">
        <v>60679</v>
      </c>
      <c r="R140" s="21">
        <v>56214</v>
      </c>
      <c r="S140" s="21">
        <v>47538</v>
      </c>
      <c r="T140" s="21">
        <v>62111</v>
      </c>
      <c r="U140" s="21">
        <v>98173</v>
      </c>
      <c r="V140" s="21">
        <v>122160</v>
      </c>
      <c r="W140" s="21">
        <v>145298</v>
      </c>
      <c r="X140" s="21">
        <v>147437</v>
      </c>
      <c r="Y140" s="21">
        <v>124921</v>
      </c>
      <c r="Z140" s="21">
        <v>89585</v>
      </c>
      <c r="AA140" s="21">
        <v>87849</v>
      </c>
      <c r="AB140" s="21">
        <v>80689</v>
      </c>
      <c r="AC140" s="21">
        <v>86740</v>
      </c>
      <c r="AD140" s="21">
        <v>104753</v>
      </c>
      <c r="AE140" s="21">
        <v>95330</v>
      </c>
      <c r="AF140" s="21">
        <v>100106</v>
      </c>
      <c r="AG140" s="21">
        <v>93640</v>
      </c>
      <c r="AH140" s="21">
        <v>129429</v>
      </c>
      <c r="AI140" s="21">
        <v>142025</v>
      </c>
      <c r="AJ140" s="21">
        <v>139831</v>
      </c>
      <c r="AK140" s="21">
        <v>144906</v>
      </c>
      <c r="AL140" s="21">
        <v>143973</v>
      </c>
      <c r="AM140" s="21">
        <v>137513</v>
      </c>
      <c r="AN140" s="21">
        <v>125261</v>
      </c>
      <c r="AO140" s="21">
        <v>147853</v>
      </c>
      <c r="AP140" s="21">
        <v>140544</v>
      </c>
      <c r="AQ140" s="21">
        <v>139252</v>
      </c>
      <c r="AR140" s="21">
        <v>123975</v>
      </c>
      <c r="AS140" s="21">
        <v>113726</v>
      </c>
      <c r="AT140" s="21">
        <v>108509</v>
      </c>
      <c r="AU140" s="21">
        <v>120065</v>
      </c>
      <c r="AV140" s="21">
        <v>133818</v>
      </c>
      <c r="AW140" s="21">
        <v>121542</v>
      </c>
      <c r="AX140" s="21">
        <v>135732</v>
      </c>
      <c r="AY140" s="21">
        <v>127741</v>
      </c>
      <c r="AZ140" s="21">
        <v>111204</v>
      </c>
      <c r="BA140" s="21">
        <v>72923</v>
      </c>
      <c r="BB140" s="21">
        <v>77686</v>
      </c>
      <c r="BC140" s="21">
        <v>66700</v>
      </c>
      <c r="BD140" s="21">
        <v>49312</v>
      </c>
      <c r="BE140" s="21">
        <v>38441</v>
      </c>
      <c r="BF140" s="21">
        <v>42442</v>
      </c>
      <c r="BG140" s="21">
        <v>39320</v>
      </c>
      <c r="BH140" s="21">
        <v>38190</v>
      </c>
      <c r="BI140" s="21">
        <v>45138</v>
      </c>
      <c r="BJ140" s="21">
        <v>41044</v>
      </c>
      <c r="BK140" s="21">
        <v>40187</v>
      </c>
      <c r="BL140" s="21">
        <v>37255</v>
      </c>
      <c r="BM140" s="21">
        <v>37235</v>
      </c>
    </row>
    <row r="141" spans="1:65" x14ac:dyDescent="0.2">
      <c r="A141" s="21" t="s">
        <v>1413</v>
      </c>
      <c r="B141" s="21" t="s">
        <v>1414</v>
      </c>
      <c r="C141" s="21" t="s">
        <v>445</v>
      </c>
      <c r="D141" s="21">
        <v>0</v>
      </c>
      <c r="E141" s="21">
        <v>0</v>
      </c>
      <c r="F141" s="21">
        <v>0</v>
      </c>
      <c r="G141" s="21">
        <v>47004</v>
      </c>
      <c r="H141" s="21">
        <v>46188</v>
      </c>
      <c r="I141" s="21">
        <v>53556</v>
      </c>
      <c r="J141" s="21">
        <v>60408</v>
      </c>
      <c r="K141" s="21">
        <v>57192</v>
      </c>
      <c r="L141" s="21">
        <v>59064</v>
      </c>
      <c r="M141" s="21">
        <v>59910</v>
      </c>
      <c r="N141" s="21">
        <v>75384</v>
      </c>
      <c r="O141" s="21">
        <v>96948</v>
      </c>
      <c r="P141" s="21">
        <v>88068</v>
      </c>
      <c r="Q141" s="21">
        <v>74568</v>
      </c>
      <c r="R141" s="21">
        <v>86250</v>
      </c>
      <c r="S141" s="21">
        <v>94338</v>
      </c>
      <c r="T141" s="21">
        <v>104688</v>
      </c>
      <c r="U141" s="21">
        <v>105624</v>
      </c>
      <c r="V141" s="21">
        <v>119868</v>
      </c>
      <c r="W141" s="21">
        <v>78852</v>
      </c>
      <c r="X141" s="21">
        <v>91920</v>
      </c>
      <c r="Y141" s="21">
        <v>42756</v>
      </c>
      <c r="Z141" s="21">
        <v>44604</v>
      </c>
      <c r="AA141" s="21">
        <v>54930</v>
      </c>
      <c r="AB141" s="21">
        <v>69396</v>
      </c>
      <c r="AC141" s="21">
        <v>75690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1">
        <v>0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0</v>
      </c>
    </row>
    <row r="142" spans="1:65" x14ac:dyDescent="0.2">
      <c r="A142" s="21" t="s">
        <v>1413</v>
      </c>
      <c r="B142" s="21" t="s">
        <v>1414</v>
      </c>
      <c r="C142" s="21" t="s">
        <v>449</v>
      </c>
      <c r="D142" s="21">
        <v>0</v>
      </c>
      <c r="E142" s="21">
        <v>0</v>
      </c>
      <c r="F142" s="21">
        <v>0</v>
      </c>
      <c r="G142" s="21">
        <v>7834</v>
      </c>
      <c r="H142" s="21">
        <v>7698</v>
      </c>
      <c r="I142" s="21">
        <v>8926</v>
      </c>
      <c r="J142" s="21">
        <v>10068</v>
      </c>
      <c r="K142" s="21">
        <v>9532</v>
      </c>
      <c r="L142" s="21">
        <v>9844</v>
      </c>
      <c r="M142" s="21">
        <v>9985</v>
      </c>
      <c r="N142" s="21">
        <v>12564</v>
      </c>
      <c r="O142" s="21">
        <v>16158</v>
      </c>
      <c r="P142" s="21">
        <v>14678</v>
      </c>
      <c r="Q142" s="21">
        <v>12428</v>
      </c>
      <c r="R142" s="21">
        <v>14375</v>
      </c>
      <c r="S142" s="21">
        <v>15723</v>
      </c>
      <c r="T142" s="21">
        <v>17448</v>
      </c>
      <c r="U142" s="21">
        <v>17604</v>
      </c>
      <c r="V142" s="21">
        <v>19978</v>
      </c>
      <c r="W142" s="21">
        <v>13142</v>
      </c>
      <c r="X142" s="21">
        <v>15320</v>
      </c>
      <c r="Y142" s="21">
        <v>7126</v>
      </c>
      <c r="Z142" s="21">
        <v>7434</v>
      </c>
      <c r="AA142" s="21">
        <v>9155</v>
      </c>
      <c r="AB142" s="21">
        <v>11566</v>
      </c>
      <c r="AC142" s="21">
        <v>12615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</row>
    <row r="143" spans="1:65" x14ac:dyDescent="0.2">
      <c r="A143" s="21" t="s">
        <v>1413</v>
      </c>
      <c r="B143" s="21" t="s">
        <v>1414</v>
      </c>
      <c r="C143" s="21" t="s">
        <v>452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>
        <v>8577552</v>
      </c>
      <c r="AP143" s="21">
        <v>9062817</v>
      </c>
      <c r="AQ143" s="21">
        <v>9631172</v>
      </c>
      <c r="AR143" s="21">
        <v>10250952</v>
      </c>
      <c r="AS143" s="21">
        <v>10581929</v>
      </c>
      <c r="AT143" s="21">
        <v>10929108</v>
      </c>
      <c r="AU143" s="21">
        <v>11456450</v>
      </c>
      <c r="AV143" s="21">
        <v>12217196</v>
      </c>
      <c r="AW143" s="21">
        <v>13039197</v>
      </c>
      <c r="AX143" s="21">
        <v>13815583</v>
      </c>
      <c r="AY143" s="21">
        <v>14474228</v>
      </c>
      <c r="AZ143" s="21">
        <v>14769862</v>
      </c>
      <c r="BA143" s="21">
        <v>14478067</v>
      </c>
      <c r="BB143" s="21">
        <v>15048970</v>
      </c>
      <c r="BC143" s="21">
        <v>15599731</v>
      </c>
      <c r="BD143" s="21">
        <v>16253970</v>
      </c>
      <c r="BE143" s="21">
        <v>16843196</v>
      </c>
      <c r="BF143" s="21">
        <v>17550687</v>
      </c>
      <c r="BG143" s="21">
        <v>18206023</v>
      </c>
      <c r="BH143" s="21">
        <v>18695106</v>
      </c>
      <c r="BI143" s="21">
        <v>19477337</v>
      </c>
      <c r="BJ143" s="21">
        <v>20533058</v>
      </c>
      <c r="BK143" s="21">
        <v>21380976</v>
      </c>
      <c r="BL143" s="21">
        <v>21060474</v>
      </c>
      <c r="BM143" s="21">
        <v>23315081</v>
      </c>
    </row>
    <row r="144" spans="1:65" x14ac:dyDescent="0.2">
      <c r="A144" s="21" t="s">
        <v>1413</v>
      </c>
      <c r="B144" s="21" t="s">
        <v>1414</v>
      </c>
      <c r="C144" s="21" t="s">
        <v>454</v>
      </c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>
        <v>11529157</v>
      </c>
      <c r="AP144" s="21">
        <v>12045824</v>
      </c>
      <c r="AQ144" s="21">
        <v>12623361</v>
      </c>
      <c r="AR144" s="21">
        <v>13138035</v>
      </c>
      <c r="AS144" s="21">
        <v>13263417</v>
      </c>
      <c r="AT144" s="21">
        <v>13488357</v>
      </c>
      <c r="AU144" s="21">
        <v>13865519</v>
      </c>
      <c r="AV144" s="21">
        <v>14399696</v>
      </c>
      <c r="AW144" s="21">
        <v>14901269</v>
      </c>
      <c r="AX144" s="21">
        <v>15315943</v>
      </c>
      <c r="AY144" s="21">
        <v>15623871</v>
      </c>
      <c r="AZ144" s="21">
        <v>15642962</v>
      </c>
      <c r="BA144" s="21">
        <v>15236262</v>
      </c>
      <c r="BB144" s="21">
        <v>15648991</v>
      </c>
      <c r="BC144" s="21">
        <v>15891534</v>
      </c>
      <c r="BD144" s="21">
        <v>16253970</v>
      </c>
      <c r="BE144" s="21">
        <v>16553348</v>
      </c>
      <c r="BF144" s="21">
        <v>16932051</v>
      </c>
      <c r="BG144" s="21">
        <v>17390295</v>
      </c>
      <c r="BH144" s="21">
        <v>17680274</v>
      </c>
      <c r="BI144" s="21">
        <v>18076651</v>
      </c>
      <c r="BJ144" s="21">
        <v>18609078</v>
      </c>
      <c r="BK144" s="21">
        <v>19036052</v>
      </c>
      <c r="BL144" s="21">
        <v>18509143</v>
      </c>
      <c r="BM144" s="21">
        <v>19609812</v>
      </c>
    </row>
    <row r="145" spans="1:65" x14ac:dyDescent="0.2">
      <c r="A145" s="21" t="s">
        <v>1413</v>
      </c>
      <c r="B145" s="21" t="s">
        <v>1414</v>
      </c>
      <c r="C145" s="21" t="s">
        <v>457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2500</v>
      </c>
      <c r="AH145" s="21">
        <v>2754</v>
      </c>
      <c r="AI145" s="21">
        <v>2970</v>
      </c>
      <c r="AJ145" s="21">
        <v>3186</v>
      </c>
      <c r="AK145" s="21">
        <v>3375</v>
      </c>
      <c r="AL145" s="21">
        <v>4234</v>
      </c>
      <c r="AM145" s="21">
        <v>4512</v>
      </c>
      <c r="AN145" s="21">
        <v>5320</v>
      </c>
      <c r="AO145" s="21">
        <v>5670</v>
      </c>
      <c r="AP145" s="21">
        <v>7116</v>
      </c>
      <c r="AQ145" s="21">
        <v>7472</v>
      </c>
      <c r="AR145" s="21">
        <v>7572</v>
      </c>
      <c r="AS145" s="21">
        <v>8270</v>
      </c>
      <c r="AT145" s="21">
        <v>8753</v>
      </c>
      <c r="AU145" s="21">
        <v>11000</v>
      </c>
      <c r="AV145" s="21">
        <v>12000</v>
      </c>
      <c r="AW145" s="21">
        <v>13600</v>
      </c>
      <c r="AX145" s="21">
        <v>14000</v>
      </c>
      <c r="AY145" s="21">
        <v>14400</v>
      </c>
      <c r="AZ145" s="21">
        <v>14800</v>
      </c>
      <c r="BA145" s="21">
        <v>16700</v>
      </c>
      <c r="BB145" s="21">
        <v>18500</v>
      </c>
      <c r="BC145" s="21">
        <v>19700</v>
      </c>
      <c r="BD145" s="21">
        <v>19700</v>
      </c>
      <c r="BE145" s="21">
        <v>19700</v>
      </c>
      <c r="BF145" s="21">
        <v>19700</v>
      </c>
      <c r="BG145" s="21">
        <v>19700</v>
      </c>
      <c r="BH145" s="21">
        <v>19700</v>
      </c>
      <c r="BI145" s="21">
        <v>19700</v>
      </c>
      <c r="BJ145" s="21">
        <v>19700</v>
      </c>
      <c r="BK145" s="21">
        <v>19700</v>
      </c>
      <c r="BL145" s="21">
        <v>19700</v>
      </c>
      <c r="BM145" s="21">
        <v>19700</v>
      </c>
    </row>
    <row r="146" spans="1:65" x14ac:dyDescent="0.2">
      <c r="A146" s="21" t="s">
        <v>1413</v>
      </c>
      <c r="B146" s="21" t="s">
        <v>1414</v>
      </c>
      <c r="C146" s="21" t="s">
        <v>459</v>
      </c>
      <c r="D146" s="21">
        <v>359</v>
      </c>
      <c r="E146" s="21">
        <v>1001</v>
      </c>
      <c r="F146" s="21">
        <v>1061</v>
      </c>
      <c r="G146" s="21">
        <v>1760</v>
      </c>
      <c r="H146" s="21">
        <v>2132</v>
      </c>
      <c r="I146" s="21">
        <v>1978</v>
      </c>
      <c r="J146" s="21">
        <v>1958</v>
      </c>
      <c r="K146" s="21">
        <v>3300</v>
      </c>
      <c r="L146" s="21">
        <v>4532</v>
      </c>
      <c r="M146" s="21">
        <v>6422</v>
      </c>
      <c r="N146" s="21">
        <v>5511</v>
      </c>
      <c r="O146" s="21">
        <v>5739</v>
      </c>
      <c r="P146" s="21">
        <v>15079</v>
      </c>
      <c r="Q146" s="21">
        <v>20422</v>
      </c>
      <c r="R146" s="21">
        <v>25610</v>
      </c>
      <c r="S146" s="21">
        <v>33780</v>
      </c>
      <c r="T146" s="21">
        <v>37513</v>
      </c>
      <c r="U146" s="21">
        <v>37382</v>
      </c>
      <c r="V146" s="21">
        <v>30851</v>
      </c>
      <c r="W146" s="21">
        <v>40262</v>
      </c>
      <c r="X146" s="21">
        <v>52699</v>
      </c>
      <c r="Y146" s="21">
        <v>59437</v>
      </c>
      <c r="Z146" s="21">
        <v>50627</v>
      </c>
      <c r="AA146" s="21">
        <v>63910</v>
      </c>
      <c r="AB146" s="21">
        <v>80811</v>
      </c>
      <c r="AC146" s="21">
        <v>97421</v>
      </c>
      <c r="AD146" s="21">
        <v>107677</v>
      </c>
      <c r="AE146" s="21">
        <v>112270</v>
      </c>
      <c r="AF146" s="21">
        <v>106338</v>
      </c>
      <c r="AG146" s="21">
        <v>152239</v>
      </c>
      <c r="AH146" s="21">
        <v>160547</v>
      </c>
      <c r="AI146" s="21">
        <v>166626</v>
      </c>
      <c r="AJ146" s="21">
        <v>166899</v>
      </c>
      <c r="AK146" s="21">
        <v>173073</v>
      </c>
      <c r="AL146" s="21">
        <v>160264</v>
      </c>
      <c r="AM146" s="21">
        <v>137957</v>
      </c>
      <c r="AN146" s="21">
        <v>148159</v>
      </c>
      <c r="AO146" s="21">
        <v>150398</v>
      </c>
      <c r="AP146" s="21">
        <v>150650</v>
      </c>
      <c r="AQ146" s="21">
        <v>151621</v>
      </c>
      <c r="AR146" s="21">
        <v>143764</v>
      </c>
      <c r="AS146" s="21">
        <v>141981</v>
      </c>
      <c r="AT146" s="21">
        <v>147420</v>
      </c>
      <c r="AU146" s="21">
        <v>146045</v>
      </c>
      <c r="AV146" s="21">
        <v>148347</v>
      </c>
      <c r="AW146" s="21">
        <v>146903</v>
      </c>
      <c r="AX146" s="21">
        <v>144500</v>
      </c>
      <c r="AY146" s="21">
        <v>144674</v>
      </c>
      <c r="AZ146" s="21">
        <v>146233</v>
      </c>
      <c r="BA146" s="21">
        <v>146485</v>
      </c>
      <c r="BB146" s="21">
        <v>148479</v>
      </c>
      <c r="BC146" s="21">
        <v>148811</v>
      </c>
      <c r="BD146" s="21">
        <v>148092</v>
      </c>
      <c r="BE146" s="21">
        <v>150506</v>
      </c>
      <c r="BF146" s="21">
        <v>150974</v>
      </c>
      <c r="BG146" s="21">
        <v>148256</v>
      </c>
      <c r="BH146" s="21">
        <v>146041</v>
      </c>
      <c r="BI146" s="21">
        <v>146654</v>
      </c>
      <c r="BJ146" s="21">
        <v>145269</v>
      </c>
      <c r="BK146" s="21">
        <v>137692</v>
      </c>
      <c r="BL146" s="21">
        <v>139305</v>
      </c>
      <c r="BM146" s="21">
        <v>141284</v>
      </c>
    </row>
    <row r="147" spans="1:65" x14ac:dyDescent="0.2">
      <c r="A147" s="21" t="s">
        <v>1413</v>
      </c>
      <c r="B147" s="21" t="s">
        <v>1414</v>
      </c>
      <c r="C147" s="21" t="s">
        <v>461</v>
      </c>
      <c r="D147" s="21">
        <v>33</v>
      </c>
      <c r="E147" s="21">
        <v>94</v>
      </c>
      <c r="F147" s="21">
        <v>100</v>
      </c>
      <c r="G147" s="21">
        <v>168</v>
      </c>
      <c r="H147" s="21">
        <v>204</v>
      </c>
      <c r="I147" s="21">
        <v>189</v>
      </c>
      <c r="J147" s="21">
        <v>188</v>
      </c>
      <c r="K147" s="21">
        <v>316</v>
      </c>
      <c r="L147" s="21">
        <v>436</v>
      </c>
      <c r="M147" s="21">
        <v>615</v>
      </c>
      <c r="N147" s="21">
        <v>525</v>
      </c>
      <c r="O147" s="21">
        <v>548</v>
      </c>
      <c r="P147" s="21">
        <v>1453</v>
      </c>
      <c r="Q147" s="21">
        <v>1966</v>
      </c>
      <c r="R147" s="21">
        <v>2453</v>
      </c>
      <c r="S147" s="21">
        <v>3246</v>
      </c>
      <c r="T147" s="21">
        <v>3616</v>
      </c>
      <c r="U147" s="21">
        <v>3582</v>
      </c>
      <c r="V147" s="21">
        <v>2978</v>
      </c>
      <c r="W147" s="21">
        <v>3889</v>
      </c>
      <c r="X147" s="21">
        <v>5073</v>
      </c>
      <c r="Y147" s="21">
        <v>5686</v>
      </c>
      <c r="Z147" s="21">
        <v>4843</v>
      </c>
      <c r="AA147" s="21">
        <v>6075</v>
      </c>
      <c r="AB147" s="21">
        <v>7741</v>
      </c>
      <c r="AC147" s="21">
        <v>9325</v>
      </c>
      <c r="AD147" s="21">
        <v>10308</v>
      </c>
      <c r="AE147" s="21">
        <v>10775</v>
      </c>
      <c r="AF147" s="21">
        <v>10300</v>
      </c>
      <c r="AG147" s="21">
        <v>14593</v>
      </c>
      <c r="AH147" s="21">
        <v>15434</v>
      </c>
      <c r="AI147" s="21">
        <v>15966</v>
      </c>
      <c r="AJ147" s="21">
        <v>16138</v>
      </c>
      <c r="AK147" s="21">
        <v>16789</v>
      </c>
      <c r="AL147" s="21">
        <v>15535</v>
      </c>
      <c r="AM147" s="21">
        <v>13378</v>
      </c>
      <c r="AN147" s="21">
        <v>14329</v>
      </c>
      <c r="AO147" s="21">
        <v>14726</v>
      </c>
      <c r="AP147" s="21">
        <v>14774</v>
      </c>
      <c r="AQ147" s="21">
        <v>14827</v>
      </c>
      <c r="AR147" s="21">
        <v>14093</v>
      </c>
      <c r="AS147" s="21">
        <v>13741</v>
      </c>
      <c r="AT147" s="21">
        <v>14491</v>
      </c>
      <c r="AU147" s="21">
        <v>14424</v>
      </c>
      <c r="AV147" s="21">
        <v>14811</v>
      </c>
      <c r="AW147" s="21">
        <v>14692</v>
      </c>
      <c r="AX147" s="21">
        <v>14568</v>
      </c>
      <c r="AY147" s="21">
        <v>14637</v>
      </c>
      <c r="AZ147" s="21">
        <v>14840</v>
      </c>
      <c r="BA147" s="21">
        <v>15009</v>
      </c>
      <c r="BB147" s="21">
        <v>15219</v>
      </c>
      <c r="BC147" s="21">
        <v>15316</v>
      </c>
      <c r="BD147" s="21">
        <v>15562</v>
      </c>
      <c r="BE147" s="21">
        <v>15775</v>
      </c>
      <c r="BF147" s="21">
        <v>15877</v>
      </c>
      <c r="BG147" s="21">
        <v>15918</v>
      </c>
      <c r="BH147" s="21">
        <v>15826</v>
      </c>
      <c r="BI147" s="21">
        <v>15927</v>
      </c>
      <c r="BJ147" s="21">
        <v>15967</v>
      </c>
      <c r="BK147" s="21">
        <v>15473</v>
      </c>
      <c r="BL147" s="21">
        <v>15890</v>
      </c>
      <c r="BM147" s="21">
        <v>15975</v>
      </c>
    </row>
    <row r="148" spans="1:65" x14ac:dyDescent="0.2">
      <c r="A148" s="21" t="s">
        <v>1413</v>
      </c>
      <c r="B148" s="21" t="s">
        <v>1414</v>
      </c>
      <c r="C148" s="21" t="s">
        <v>463</v>
      </c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>
        <v>2229</v>
      </c>
      <c r="BA148" s="21">
        <v>2382</v>
      </c>
      <c r="BB148" s="21">
        <v>2405</v>
      </c>
      <c r="BC148" s="21">
        <v>2409</v>
      </c>
      <c r="BD148" s="21">
        <v>2592</v>
      </c>
      <c r="BE148" s="21">
        <v>2607</v>
      </c>
      <c r="BF148" s="21">
        <v>2514</v>
      </c>
      <c r="BG148" s="21">
        <v>2542</v>
      </c>
      <c r="BH148" s="21">
        <v>2517</v>
      </c>
      <c r="BI148" s="21">
        <v>2483</v>
      </c>
      <c r="BJ148" s="21">
        <v>2444</v>
      </c>
      <c r="BK148" s="21">
        <v>2555</v>
      </c>
      <c r="BL148" s="21">
        <v>2572</v>
      </c>
      <c r="BM148" s="21">
        <v>2597</v>
      </c>
    </row>
    <row r="149" spans="1:65" x14ac:dyDescent="0.2">
      <c r="A149" s="21" t="s">
        <v>1413</v>
      </c>
      <c r="B149" s="21" t="s">
        <v>1414</v>
      </c>
      <c r="C149" s="21" t="s">
        <v>465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1801</v>
      </c>
      <c r="AH149" s="21">
        <v>1938</v>
      </c>
      <c r="AI149" s="21">
        <v>2090</v>
      </c>
      <c r="AJ149" s="21">
        <v>2242</v>
      </c>
      <c r="AK149" s="21">
        <v>2375</v>
      </c>
      <c r="AL149" s="21">
        <v>2755</v>
      </c>
      <c r="AM149" s="21">
        <v>2961</v>
      </c>
      <c r="AN149" s="21">
        <v>2888</v>
      </c>
      <c r="AO149" s="21">
        <v>3078</v>
      </c>
      <c r="AP149" s="21">
        <v>3009</v>
      </c>
      <c r="AQ149" s="21">
        <v>4255</v>
      </c>
      <c r="AR149" s="21">
        <v>4436</v>
      </c>
      <c r="AS149" s="21">
        <v>4760</v>
      </c>
      <c r="AT149" s="21">
        <v>4787</v>
      </c>
      <c r="AU149" s="21">
        <v>3400</v>
      </c>
      <c r="AV149" s="21">
        <v>3800</v>
      </c>
      <c r="AW149" s="21">
        <v>4300</v>
      </c>
      <c r="AX149" s="21">
        <v>4400</v>
      </c>
      <c r="AY149" s="21">
        <v>4700</v>
      </c>
      <c r="AZ149" s="21">
        <v>5000</v>
      </c>
      <c r="BA149" s="21">
        <v>4200</v>
      </c>
      <c r="BB149" s="21">
        <v>4200</v>
      </c>
      <c r="BC149" s="21">
        <v>4200</v>
      </c>
      <c r="BD149" s="21">
        <v>4200</v>
      </c>
      <c r="BE149" s="21">
        <v>4200</v>
      </c>
      <c r="BF149" s="21">
        <v>4200</v>
      </c>
      <c r="BG149" s="21">
        <v>4200</v>
      </c>
      <c r="BH149" s="21">
        <v>4200</v>
      </c>
      <c r="BI149" s="21">
        <v>4200</v>
      </c>
      <c r="BJ149" s="21">
        <v>4200</v>
      </c>
      <c r="BK149" s="21">
        <v>4200</v>
      </c>
      <c r="BL149" s="21">
        <v>4200</v>
      </c>
      <c r="BM149" s="21">
        <v>4200</v>
      </c>
    </row>
    <row r="150" spans="1:65" x14ac:dyDescent="0.2">
      <c r="A150" s="21" t="s">
        <v>1413</v>
      </c>
      <c r="B150" s="21" t="s">
        <v>1414</v>
      </c>
      <c r="C150" s="21" t="s">
        <v>467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5008</v>
      </c>
      <c r="AH150" s="21">
        <v>5508</v>
      </c>
      <c r="AI150" s="21">
        <v>5940</v>
      </c>
      <c r="AJ150" s="21">
        <v>6372</v>
      </c>
      <c r="AK150" s="21">
        <v>6750</v>
      </c>
      <c r="AL150" s="21">
        <v>6225</v>
      </c>
      <c r="AM150" s="21">
        <v>6627</v>
      </c>
      <c r="AN150" s="21">
        <v>6992</v>
      </c>
      <c r="AO150" s="21">
        <v>7452</v>
      </c>
      <c r="AP150" s="21">
        <v>7705</v>
      </c>
      <c r="AQ150" s="21">
        <v>8538</v>
      </c>
      <c r="AR150" s="21">
        <v>8627</v>
      </c>
      <c r="AS150" s="21">
        <v>9450</v>
      </c>
      <c r="AT150" s="21">
        <v>10204</v>
      </c>
      <c r="AU150" s="21">
        <v>13000</v>
      </c>
      <c r="AV150" s="21">
        <v>14000</v>
      </c>
      <c r="AW150" s="21">
        <v>15900</v>
      </c>
      <c r="AX150" s="21">
        <v>18300</v>
      </c>
      <c r="AY150" s="21">
        <v>22000</v>
      </c>
      <c r="AZ150" s="21">
        <v>26400</v>
      </c>
      <c r="BA150" s="21">
        <v>32800</v>
      </c>
      <c r="BB150" s="21">
        <v>36800</v>
      </c>
      <c r="BC150" s="21">
        <v>39600</v>
      </c>
      <c r="BD150" s="21">
        <v>39600</v>
      </c>
      <c r="BE150" s="21">
        <v>39600</v>
      </c>
      <c r="BF150" s="21">
        <v>39600</v>
      </c>
      <c r="BG150" s="21">
        <v>39600</v>
      </c>
      <c r="BH150" s="21">
        <v>39600</v>
      </c>
      <c r="BI150" s="21">
        <v>39600</v>
      </c>
      <c r="BJ150" s="21">
        <v>39600</v>
      </c>
      <c r="BK150" s="21">
        <v>39600</v>
      </c>
      <c r="BL150" s="21">
        <v>39600</v>
      </c>
      <c r="BM150" s="21">
        <v>39600</v>
      </c>
    </row>
    <row r="151" spans="1:65" x14ac:dyDescent="0.2">
      <c r="A151" s="21" t="s">
        <v>1413</v>
      </c>
      <c r="B151" s="21" t="s">
        <v>1414</v>
      </c>
      <c r="C151" s="21" t="s">
        <v>469</v>
      </c>
      <c r="D151" s="21">
        <v>359</v>
      </c>
      <c r="E151" s="21">
        <v>1001</v>
      </c>
      <c r="F151" s="21">
        <v>1061</v>
      </c>
      <c r="G151" s="21">
        <v>1760</v>
      </c>
      <c r="H151" s="21">
        <v>2132</v>
      </c>
      <c r="I151" s="21">
        <v>1978</v>
      </c>
      <c r="J151" s="21">
        <v>1958</v>
      </c>
      <c r="K151" s="21">
        <v>3300</v>
      </c>
      <c r="L151" s="21">
        <v>4532</v>
      </c>
      <c r="M151" s="21">
        <v>6422</v>
      </c>
      <c r="N151" s="21">
        <v>5511</v>
      </c>
      <c r="O151" s="21">
        <v>5739</v>
      </c>
      <c r="P151" s="21">
        <v>15079</v>
      </c>
      <c r="Q151" s="21">
        <v>20422</v>
      </c>
      <c r="R151" s="21">
        <v>25610</v>
      </c>
      <c r="S151" s="21">
        <v>33780</v>
      </c>
      <c r="T151" s="21">
        <v>37513</v>
      </c>
      <c r="U151" s="21">
        <v>37382</v>
      </c>
      <c r="V151" s="21">
        <v>30851</v>
      </c>
      <c r="W151" s="21">
        <v>40262</v>
      </c>
      <c r="X151" s="21">
        <v>52699</v>
      </c>
      <c r="Y151" s="21">
        <v>59437</v>
      </c>
      <c r="Z151" s="21">
        <v>50627</v>
      </c>
      <c r="AA151" s="21">
        <v>63910</v>
      </c>
      <c r="AB151" s="21">
        <v>80811</v>
      </c>
      <c r="AC151" s="21">
        <v>97421</v>
      </c>
      <c r="AD151" s="21">
        <v>107677</v>
      </c>
      <c r="AE151" s="21">
        <v>112270</v>
      </c>
      <c r="AF151" s="21">
        <v>106338</v>
      </c>
      <c r="AG151" s="21">
        <v>161547</v>
      </c>
      <c r="AH151" s="21">
        <v>170747</v>
      </c>
      <c r="AI151" s="21">
        <v>177626</v>
      </c>
      <c r="AJ151" s="21">
        <v>178699</v>
      </c>
      <c r="AK151" s="21">
        <v>185573</v>
      </c>
      <c r="AL151" s="21">
        <v>173477</v>
      </c>
      <c r="AM151" s="21">
        <v>152057</v>
      </c>
      <c r="AN151" s="21">
        <v>163359</v>
      </c>
      <c r="AO151" s="21">
        <v>166598</v>
      </c>
      <c r="AP151" s="21">
        <v>168480</v>
      </c>
      <c r="AQ151" s="21">
        <v>171885</v>
      </c>
      <c r="AR151" s="21">
        <v>164399</v>
      </c>
      <c r="AS151" s="21">
        <v>164460</v>
      </c>
      <c r="AT151" s="21">
        <v>171164</v>
      </c>
      <c r="AU151" s="21">
        <v>173445</v>
      </c>
      <c r="AV151" s="21">
        <v>178147</v>
      </c>
      <c r="AW151" s="21">
        <v>180703</v>
      </c>
      <c r="AX151" s="21">
        <v>181200</v>
      </c>
      <c r="AY151" s="21">
        <v>185774</v>
      </c>
      <c r="AZ151" s="21">
        <v>192433</v>
      </c>
      <c r="BA151" s="21">
        <v>200185</v>
      </c>
      <c r="BB151" s="21">
        <v>207979</v>
      </c>
      <c r="BC151" s="21">
        <v>212311</v>
      </c>
      <c r="BD151" s="21">
        <v>211592</v>
      </c>
      <c r="BE151" s="21">
        <v>214006</v>
      </c>
      <c r="BF151" s="21">
        <v>214474</v>
      </c>
      <c r="BG151" s="21">
        <v>211756</v>
      </c>
      <c r="BH151" s="21">
        <v>209541</v>
      </c>
      <c r="BI151" s="21">
        <v>210154</v>
      </c>
      <c r="BJ151" s="21">
        <v>208769</v>
      </c>
      <c r="BK151" s="21">
        <v>201192</v>
      </c>
      <c r="BL151" s="21">
        <v>202805</v>
      </c>
      <c r="BM151" s="21">
        <v>204784</v>
      </c>
    </row>
    <row r="152" spans="1:65" x14ac:dyDescent="0.2">
      <c r="A152" s="21" t="s">
        <v>1413</v>
      </c>
      <c r="B152" s="21" t="s">
        <v>1414</v>
      </c>
      <c r="C152" s="21" t="s">
        <v>471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0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0</v>
      </c>
      <c r="AG152" s="21">
        <v>9309</v>
      </c>
      <c r="AH152" s="21">
        <v>10200</v>
      </c>
      <c r="AI152" s="21">
        <v>11000</v>
      </c>
      <c r="AJ152" s="21">
        <v>11800</v>
      </c>
      <c r="AK152" s="21">
        <v>12500</v>
      </c>
      <c r="AL152" s="21">
        <v>13214</v>
      </c>
      <c r="AM152" s="21">
        <v>14100</v>
      </c>
      <c r="AN152" s="21">
        <v>15200</v>
      </c>
      <c r="AO152" s="21">
        <v>16200</v>
      </c>
      <c r="AP152" s="21">
        <v>17830</v>
      </c>
      <c r="AQ152" s="21">
        <v>20264</v>
      </c>
      <c r="AR152" s="21">
        <v>20634</v>
      </c>
      <c r="AS152" s="21">
        <v>22480</v>
      </c>
      <c r="AT152" s="21">
        <v>23744</v>
      </c>
      <c r="AU152" s="21">
        <v>27400</v>
      </c>
      <c r="AV152" s="21">
        <v>29800</v>
      </c>
      <c r="AW152" s="21">
        <v>33800</v>
      </c>
      <c r="AX152" s="21">
        <v>36700</v>
      </c>
      <c r="AY152" s="21">
        <v>41100</v>
      </c>
      <c r="AZ152" s="21">
        <v>46200</v>
      </c>
      <c r="BA152" s="21">
        <v>53700</v>
      </c>
      <c r="BB152" s="21">
        <v>59500</v>
      </c>
      <c r="BC152" s="21">
        <v>63500</v>
      </c>
      <c r="BD152" s="21">
        <v>63500</v>
      </c>
      <c r="BE152" s="21">
        <v>63500</v>
      </c>
      <c r="BF152" s="21">
        <v>63500</v>
      </c>
      <c r="BG152" s="21">
        <v>63500</v>
      </c>
      <c r="BH152" s="21">
        <v>63500</v>
      </c>
      <c r="BI152" s="21">
        <v>63500</v>
      </c>
      <c r="BJ152" s="21">
        <v>63500</v>
      </c>
      <c r="BK152" s="21">
        <v>63500</v>
      </c>
      <c r="BL152" s="21">
        <v>63500</v>
      </c>
      <c r="BM152" s="21">
        <v>63500</v>
      </c>
    </row>
    <row r="153" spans="1:65" x14ac:dyDescent="0.2">
      <c r="A153" s="21" t="s">
        <v>1413</v>
      </c>
      <c r="B153" s="21" t="s">
        <v>1414</v>
      </c>
      <c r="C153" s="21" t="s">
        <v>473</v>
      </c>
      <c r="D153" s="21">
        <v>18805</v>
      </c>
      <c r="E153" s="21">
        <v>20771</v>
      </c>
      <c r="F153" s="21">
        <v>22663</v>
      </c>
      <c r="G153" s="21">
        <v>24951</v>
      </c>
      <c r="H153" s="21">
        <v>27861</v>
      </c>
      <c r="I153" s="21">
        <v>31661</v>
      </c>
      <c r="J153" s="21">
        <v>36068</v>
      </c>
      <c r="K153" s="21">
        <v>38779</v>
      </c>
      <c r="L153" s="21">
        <v>43704</v>
      </c>
      <c r="M153" s="21">
        <v>45752</v>
      </c>
      <c r="N153" s="21">
        <v>44347</v>
      </c>
      <c r="O153" s="21">
        <v>51223</v>
      </c>
      <c r="P153" s="21">
        <v>53028</v>
      </c>
      <c r="Q153" s="21">
        <v>49491</v>
      </c>
      <c r="R153" s="21">
        <v>45636</v>
      </c>
      <c r="S153" s="21">
        <v>43159</v>
      </c>
      <c r="T153" s="21">
        <v>47070</v>
      </c>
      <c r="U153" s="21">
        <v>50050</v>
      </c>
      <c r="V153" s="21">
        <v>53958</v>
      </c>
      <c r="W153" s="21">
        <v>21751</v>
      </c>
      <c r="X153" s="21">
        <v>17654</v>
      </c>
      <c r="Y153" s="21">
        <v>33990</v>
      </c>
      <c r="Z153" s="21">
        <v>34098</v>
      </c>
      <c r="AA153" s="21">
        <v>40494</v>
      </c>
      <c r="AB153" s="21">
        <v>42622</v>
      </c>
      <c r="AC153" s="21">
        <v>29560</v>
      </c>
      <c r="AD153" s="21">
        <v>27321</v>
      </c>
      <c r="AE153" s="21">
        <v>21629</v>
      </c>
      <c r="AF153" s="21">
        <v>23320</v>
      </c>
      <c r="AG153" s="21">
        <v>22762</v>
      </c>
      <c r="AH153" s="21">
        <v>22915</v>
      </c>
      <c r="AI153" s="21">
        <v>21159</v>
      </c>
      <c r="AJ153" s="21">
        <v>19437</v>
      </c>
      <c r="AK153" s="21">
        <v>20270</v>
      </c>
      <c r="AL153" s="21">
        <v>34046</v>
      </c>
      <c r="AM153" s="21">
        <v>17753</v>
      </c>
      <c r="AN153" s="21">
        <v>15656</v>
      </c>
      <c r="AO153" s="21">
        <v>14241</v>
      </c>
      <c r="AP153" s="21">
        <v>17667</v>
      </c>
      <c r="AQ153" s="21">
        <v>14290</v>
      </c>
      <c r="AR153" s="21">
        <v>11899</v>
      </c>
      <c r="AS153" s="21">
        <v>13738</v>
      </c>
      <c r="AT153" s="21">
        <v>14300</v>
      </c>
      <c r="AU153" s="21">
        <v>17894</v>
      </c>
      <c r="AV153" s="21">
        <v>19129</v>
      </c>
      <c r="AW153" s="21">
        <v>28235</v>
      </c>
      <c r="AX153" s="21">
        <v>27502</v>
      </c>
      <c r="AY153" s="21">
        <v>21973</v>
      </c>
      <c r="AZ153" s="21">
        <v>40197</v>
      </c>
      <c r="BA153" s="21">
        <v>28070</v>
      </c>
      <c r="BB153" s="21">
        <v>4574</v>
      </c>
      <c r="BC153" s="21">
        <v>4600</v>
      </c>
      <c r="BD153" s="21">
        <v>4520</v>
      </c>
      <c r="BE153" s="21">
        <v>6092</v>
      </c>
      <c r="BF153" s="21">
        <v>7621</v>
      </c>
      <c r="BG153" s="21">
        <v>9994</v>
      </c>
      <c r="BH153" s="21">
        <v>11819</v>
      </c>
      <c r="BI153" s="21">
        <v>12394</v>
      </c>
      <c r="BJ153" s="21">
        <v>12615</v>
      </c>
      <c r="BK153" s="21">
        <v>12491</v>
      </c>
      <c r="BL153" s="21">
        <v>8645</v>
      </c>
      <c r="BM153" s="21">
        <v>9762</v>
      </c>
    </row>
    <row r="154" spans="1:65" x14ac:dyDescent="0.2">
      <c r="A154" s="21" t="s">
        <v>1413</v>
      </c>
      <c r="B154" s="21" t="s">
        <v>1414</v>
      </c>
      <c r="C154" s="21" t="s">
        <v>477</v>
      </c>
      <c r="D154" s="21">
        <v>4896</v>
      </c>
      <c r="E154" s="21">
        <v>5408</v>
      </c>
      <c r="F154" s="21">
        <v>5900</v>
      </c>
      <c r="G154" s="21">
        <v>6496</v>
      </c>
      <c r="H154" s="21">
        <v>7254</v>
      </c>
      <c r="I154" s="21">
        <v>8243</v>
      </c>
      <c r="J154" s="21">
        <v>9390</v>
      </c>
      <c r="K154" s="21">
        <v>10096</v>
      </c>
      <c r="L154" s="21">
        <v>11378</v>
      </c>
      <c r="M154" s="21">
        <v>11911</v>
      </c>
      <c r="N154" s="21">
        <v>11546</v>
      </c>
      <c r="O154" s="21">
        <v>13336</v>
      </c>
      <c r="P154" s="21">
        <v>13806</v>
      </c>
      <c r="Q154" s="21">
        <v>12885</v>
      </c>
      <c r="R154" s="21">
        <v>11881</v>
      </c>
      <c r="S154" s="21">
        <v>11236</v>
      </c>
      <c r="T154" s="21">
        <v>12255</v>
      </c>
      <c r="U154" s="21">
        <v>13030</v>
      </c>
      <c r="V154" s="21">
        <v>14048</v>
      </c>
      <c r="W154" s="21">
        <v>5663</v>
      </c>
      <c r="X154" s="21">
        <v>4596</v>
      </c>
      <c r="Y154" s="21">
        <v>8849</v>
      </c>
      <c r="Z154" s="21">
        <v>8877</v>
      </c>
      <c r="AA154" s="21">
        <v>10542</v>
      </c>
      <c r="AB154" s="21">
        <v>11096</v>
      </c>
      <c r="AC154" s="21">
        <v>7696</v>
      </c>
      <c r="AD154" s="21">
        <v>7113</v>
      </c>
      <c r="AE154" s="21">
        <v>5631</v>
      </c>
      <c r="AF154" s="21">
        <v>6071</v>
      </c>
      <c r="AG154" s="21">
        <v>5926</v>
      </c>
      <c r="AH154" s="21">
        <v>5966</v>
      </c>
      <c r="AI154" s="21">
        <v>5509</v>
      </c>
      <c r="AJ154" s="21">
        <v>5060</v>
      </c>
      <c r="AK154" s="21">
        <v>5277</v>
      </c>
      <c r="AL154" s="21">
        <v>8864</v>
      </c>
      <c r="AM154" s="21">
        <v>4622</v>
      </c>
      <c r="AN154" s="21">
        <v>4076</v>
      </c>
      <c r="AO154" s="21">
        <v>3708</v>
      </c>
      <c r="AP154" s="21">
        <v>4599</v>
      </c>
      <c r="AQ154" s="21">
        <v>3721</v>
      </c>
      <c r="AR154" s="21">
        <v>3098</v>
      </c>
      <c r="AS154" s="21">
        <v>3577</v>
      </c>
      <c r="AT154" s="21">
        <v>3723</v>
      </c>
      <c r="AU154" s="21">
        <v>4659</v>
      </c>
      <c r="AV154" s="21">
        <v>4980</v>
      </c>
      <c r="AW154" s="21">
        <v>7351</v>
      </c>
      <c r="AX154" s="21">
        <v>7160</v>
      </c>
      <c r="AY154" s="21">
        <v>5721</v>
      </c>
      <c r="AZ154" s="21">
        <v>10465</v>
      </c>
      <c r="BA154" s="21">
        <v>7308</v>
      </c>
      <c r="BB154" s="21">
        <v>1191</v>
      </c>
      <c r="BC154" s="21">
        <v>1198</v>
      </c>
      <c r="BD154" s="21">
        <v>1177</v>
      </c>
      <c r="BE154" s="21">
        <v>1586</v>
      </c>
      <c r="BF154" s="21">
        <v>1984</v>
      </c>
      <c r="BG154" s="21">
        <v>2602</v>
      </c>
      <c r="BH154" s="21">
        <v>3077</v>
      </c>
      <c r="BI154" s="21">
        <v>3227</v>
      </c>
      <c r="BJ154" s="21">
        <v>3284</v>
      </c>
      <c r="BK154" s="21">
        <v>3252</v>
      </c>
      <c r="BL154" s="21">
        <v>2251</v>
      </c>
      <c r="BM154" s="21">
        <v>2542</v>
      </c>
    </row>
    <row r="155" spans="1:65" x14ac:dyDescent="0.2">
      <c r="A155" s="21" t="s">
        <v>1413</v>
      </c>
      <c r="B155" s="21" t="s">
        <v>1414</v>
      </c>
      <c r="C155" s="21" t="s">
        <v>480</v>
      </c>
      <c r="D155" s="21">
        <v>81147</v>
      </c>
      <c r="E155" s="21">
        <v>82977</v>
      </c>
      <c r="F155" s="21">
        <v>90391</v>
      </c>
      <c r="G155" s="21">
        <v>96772</v>
      </c>
      <c r="H155" s="21">
        <v>102269</v>
      </c>
      <c r="I155" s="21">
        <v>103148</v>
      </c>
      <c r="J155" s="21">
        <v>106733</v>
      </c>
      <c r="K155" s="21">
        <v>114679</v>
      </c>
      <c r="L155" s="21">
        <v>125229</v>
      </c>
      <c r="M155" s="21">
        <v>143851</v>
      </c>
      <c r="N155" s="21">
        <v>142952</v>
      </c>
      <c r="O155" s="21">
        <v>144526</v>
      </c>
      <c r="P155" s="21">
        <v>153913</v>
      </c>
      <c r="Q155" s="21">
        <v>146891</v>
      </c>
      <c r="R155" s="21">
        <v>134395</v>
      </c>
      <c r="S155" s="21">
        <v>129644</v>
      </c>
      <c r="T155" s="21">
        <v>135983</v>
      </c>
      <c r="U155" s="21">
        <v>135210</v>
      </c>
      <c r="V155" s="21">
        <v>131397</v>
      </c>
      <c r="W155" s="21">
        <v>95335</v>
      </c>
      <c r="X155" s="21">
        <v>88203</v>
      </c>
      <c r="Y155" s="21">
        <v>86661</v>
      </c>
      <c r="Z155" s="21">
        <v>81132</v>
      </c>
      <c r="AA155" s="21">
        <v>96589</v>
      </c>
      <c r="AB155" s="21">
        <v>83436</v>
      </c>
      <c r="AC155" s="21">
        <v>95226</v>
      </c>
      <c r="AD155" s="21">
        <v>93196</v>
      </c>
      <c r="AE155" s="21">
        <v>101642</v>
      </c>
      <c r="AF155" s="21">
        <v>99379</v>
      </c>
      <c r="AG155" s="21">
        <v>109585</v>
      </c>
      <c r="AH155" s="21">
        <v>102400</v>
      </c>
      <c r="AI155" s="21">
        <v>108370</v>
      </c>
      <c r="AJ155" s="21">
        <v>107046</v>
      </c>
      <c r="AK155" s="21">
        <v>109389</v>
      </c>
      <c r="AL155" s="21">
        <v>107403</v>
      </c>
      <c r="AM155" s="21">
        <v>108873</v>
      </c>
      <c r="AN155" s="21">
        <v>122553</v>
      </c>
      <c r="AO155" s="21">
        <v>120397</v>
      </c>
      <c r="AP155" s="21">
        <v>117723</v>
      </c>
      <c r="AQ155" s="21">
        <v>140345</v>
      </c>
      <c r="AR155" s="21">
        <v>150588</v>
      </c>
      <c r="AS155" s="21">
        <v>142863</v>
      </c>
      <c r="AT155" s="21">
        <v>140981</v>
      </c>
      <c r="AU155" s="21">
        <v>157058</v>
      </c>
      <c r="AV155" s="21">
        <v>152168</v>
      </c>
      <c r="AW155" s="21">
        <v>131556</v>
      </c>
      <c r="AX155" s="21">
        <v>123331</v>
      </c>
      <c r="AY155" s="21">
        <v>121573</v>
      </c>
      <c r="AZ155" s="21">
        <v>158181</v>
      </c>
      <c r="BA155" s="21">
        <v>139033</v>
      </c>
      <c r="BB155" s="21">
        <v>140011</v>
      </c>
      <c r="BC155" s="21">
        <v>142509</v>
      </c>
      <c r="BD155" s="21">
        <v>135525</v>
      </c>
      <c r="BE155" s="21">
        <v>151617</v>
      </c>
      <c r="BF155" s="21">
        <v>160473</v>
      </c>
      <c r="BG155" s="21">
        <v>148028</v>
      </c>
      <c r="BH155" s="21">
        <v>150012</v>
      </c>
      <c r="BI155" s="21">
        <v>155673</v>
      </c>
      <c r="BJ155" s="21">
        <v>175966</v>
      </c>
      <c r="BK155" s="21">
        <v>182028</v>
      </c>
      <c r="BL155" s="21">
        <v>201045</v>
      </c>
      <c r="BM155" s="21">
        <v>216971</v>
      </c>
    </row>
    <row r="156" spans="1:65" x14ac:dyDescent="0.2">
      <c r="A156" s="21" t="s">
        <v>1413</v>
      </c>
      <c r="B156" s="21" t="s">
        <v>1414</v>
      </c>
      <c r="C156" s="21" t="s">
        <v>484</v>
      </c>
      <c r="D156" s="21">
        <v>21126</v>
      </c>
      <c r="E156" s="21">
        <v>21603</v>
      </c>
      <c r="F156" s="21">
        <v>23533</v>
      </c>
      <c r="G156" s="21">
        <v>25194</v>
      </c>
      <c r="H156" s="21">
        <v>26626</v>
      </c>
      <c r="I156" s="21">
        <v>26854</v>
      </c>
      <c r="J156" s="21">
        <v>27788</v>
      </c>
      <c r="K156" s="21">
        <v>29857</v>
      </c>
      <c r="L156" s="21">
        <v>32603</v>
      </c>
      <c r="M156" s="21">
        <v>37452</v>
      </c>
      <c r="N156" s="21">
        <v>37217</v>
      </c>
      <c r="O156" s="21">
        <v>37627</v>
      </c>
      <c r="P156" s="21">
        <v>40071</v>
      </c>
      <c r="Q156" s="21">
        <v>38243</v>
      </c>
      <c r="R156" s="21">
        <v>34990</v>
      </c>
      <c r="S156" s="21">
        <v>33753</v>
      </c>
      <c r="T156" s="21">
        <v>35403</v>
      </c>
      <c r="U156" s="21">
        <v>35202</v>
      </c>
      <c r="V156" s="21">
        <v>34209</v>
      </c>
      <c r="W156" s="21">
        <v>24820</v>
      </c>
      <c r="X156" s="21">
        <v>22964</v>
      </c>
      <c r="Y156" s="21">
        <v>22562</v>
      </c>
      <c r="Z156" s="21">
        <v>21123</v>
      </c>
      <c r="AA156" s="21">
        <v>25147</v>
      </c>
      <c r="AB156" s="21">
        <v>21722</v>
      </c>
      <c r="AC156" s="21">
        <v>24792</v>
      </c>
      <c r="AD156" s="21">
        <v>24264</v>
      </c>
      <c r="AE156" s="21">
        <v>26462</v>
      </c>
      <c r="AF156" s="21">
        <v>25873</v>
      </c>
      <c r="AG156" s="21">
        <v>28530</v>
      </c>
      <c r="AH156" s="21">
        <v>26660</v>
      </c>
      <c r="AI156" s="21">
        <v>28214</v>
      </c>
      <c r="AJ156" s="21">
        <v>27869</v>
      </c>
      <c r="AK156" s="21">
        <v>28479</v>
      </c>
      <c r="AL156" s="21">
        <v>27962</v>
      </c>
      <c r="AM156" s="21">
        <v>28345</v>
      </c>
      <c r="AN156" s="21">
        <v>31907</v>
      </c>
      <c r="AO156" s="21">
        <v>31345</v>
      </c>
      <c r="AP156" s="21">
        <v>30649</v>
      </c>
      <c r="AQ156" s="21">
        <v>36539</v>
      </c>
      <c r="AR156" s="21">
        <v>39205</v>
      </c>
      <c r="AS156" s="21">
        <v>37194</v>
      </c>
      <c r="AT156" s="21">
        <v>36704</v>
      </c>
      <c r="AU156" s="21">
        <v>40890</v>
      </c>
      <c r="AV156" s="21">
        <v>39617</v>
      </c>
      <c r="AW156" s="21">
        <v>34250</v>
      </c>
      <c r="AX156" s="21">
        <v>32109</v>
      </c>
      <c r="AY156" s="21">
        <v>31651</v>
      </c>
      <c r="AZ156" s="21">
        <v>41182</v>
      </c>
      <c r="BA156" s="21">
        <v>36197</v>
      </c>
      <c r="BB156" s="21">
        <v>36452</v>
      </c>
      <c r="BC156" s="21">
        <v>37102</v>
      </c>
      <c r="BD156" s="21">
        <v>35284</v>
      </c>
      <c r="BE156" s="21">
        <v>39473</v>
      </c>
      <c r="BF156" s="21">
        <v>41779</v>
      </c>
      <c r="BG156" s="21">
        <v>38539</v>
      </c>
      <c r="BH156" s="21">
        <v>39056</v>
      </c>
      <c r="BI156" s="21">
        <v>40529</v>
      </c>
      <c r="BJ156" s="21">
        <v>45812</v>
      </c>
      <c r="BK156" s="21">
        <v>47391</v>
      </c>
      <c r="BL156" s="21">
        <v>52342</v>
      </c>
      <c r="BM156" s="21">
        <v>56488</v>
      </c>
    </row>
    <row r="157" spans="1:65" x14ac:dyDescent="0.2">
      <c r="A157" s="21" t="s">
        <v>1413</v>
      </c>
      <c r="B157" s="21" t="s">
        <v>1414</v>
      </c>
      <c r="C157" s="21" t="s">
        <v>487</v>
      </c>
      <c r="D157" s="21">
        <v>460830</v>
      </c>
      <c r="E157" s="21">
        <v>475508</v>
      </c>
      <c r="F157" s="21">
        <v>519662</v>
      </c>
      <c r="G157" s="21">
        <v>565267</v>
      </c>
      <c r="H157" s="21">
        <v>622655</v>
      </c>
      <c r="I157" s="21">
        <v>649537</v>
      </c>
      <c r="J157" s="21">
        <v>678529</v>
      </c>
      <c r="K157" s="21">
        <v>704520</v>
      </c>
      <c r="L157" s="21">
        <v>801640</v>
      </c>
      <c r="M157" s="21">
        <v>931855</v>
      </c>
      <c r="N157" s="21">
        <v>930496</v>
      </c>
      <c r="O157" s="21">
        <v>947779</v>
      </c>
      <c r="P157" s="21">
        <v>1118988</v>
      </c>
      <c r="Q157" s="21">
        <v>1192371</v>
      </c>
      <c r="R157" s="21">
        <v>1206661</v>
      </c>
      <c r="S157" s="21">
        <v>1126148</v>
      </c>
      <c r="T157" s="21">
        <v>1160686</v>
      </c>
      <c r="U157" s="21">
        <v>1161033</v>
      </c>
      <c r="V157" s="21">
        <v>1158187</v>
      </c>
      <c r="W157" s="21">
        <v>1756136</v>
      </c>
      <c r="X157" s="21">
        <v>1717691</v>
      </c>
      <c r="Y157" s="21">
        <v>1677874</v>
      </c>
      <c r="Z157" s="21">
        <v>1690603</v>
      </c>
      <c r="AA157" s="21">
        <v>1502191</v>
      </c>
      <c r="AB157" s="21">
        <v>1823347</v>
      </c>
      <c r="AC157" s="21">
        <v>1812514</v>
      </c>
      <c r="AD157" s="21">
        <v>1729509</v>
      </c>
      <c r="AE157" s="21">
        <v>1873015</v>
      </c>
      <c r="AF157" s="21">
        <v>1908612</v>
      </c>
      <c r="AG157" s="21">
        <v>1887733</v>
      </c>
      <c r="AH157" s="21">
        <v>1780618</v>
      </c>
      <c r="AI157" s="21">
        <v>1957705</v>
      </c>
      <c r="AJ157" s="21">
        <v>2098387</v>
      </c>
      <c r="AK157" s="21">
        <v>2037449</v>
      </c>
      <c r="AL157" s="21">
        <v>2251232</v>
      </c>
      <c r="AM157" s="21">
        <v>2268702</v>
      </c>
      <c r="AN157" s="21">
        <v>2343507</v>
      </c>
      <c r="AO157" s="21">
        <v>2365615</v>
      </c>
      <c r="AP157" s="21">
        <v>2249100</v>
      </c>
      <c r="AQ157" s="21">
        <v>2512078</v>
      </c>
      <c r="AR157" s="21">
        <v>2497543</v>
      </c>
      <c r="AS157" s="21">
        <v>2211674</v>
      </c>
      <c r="AT157" s="21">
        <v>2313210</v>
      </c>
      <c r="AU157" s="21">
        <v>2185128</v>
      </c>
      <c r="AV157" s="21">
        <v>2292125</v>
      </c>
      <c r="AW157" s="21">
        <v>2138338</v>
      </c>
      <c r="AX157" s="21">
        <v>2170897</v>
      </c>
      <c r="AY157" s="21">
        <v>2206958</v>
      </c>
      <c r="AZ157" s="21">
        <v>1903982</v>
      </c>
      <c r="BA157" s="21">
        <v>1992002</v>
      </c>
      <c r="BB157" s="21">
        <v>2206805</v>
      </c>
      <c r="BC157" s="21">
        <v>2171573</v>
      </c>
      <c r="BD157" s="21">
        <v>2351130</v>
      </c>
      <c r="BE157" s="21">
        <v>2544590</v>
      </c>
      <c r="BF157" s="21">
        <v>2408938</v>
      </c>
      <c r="BG157" s="21">
        <v>2617696</v>
      </c>
      <c r="BH157" s="21">
        <v>2592439</v>
      </c>
      <c r="BI157" s="21">
        <v>2673474</v>
      </c>
      <c r="BJ157" s="21">
        <v>3024388</v>
      </c>
      <c r="BK157" s="21">
        <v>3138809</v>
      </c>
      <c r="BL157" s="21">
        <v>3251635</v>
      </c>
      <c r="BM157" s="21">
        <v>3519413</v>
      </c>
    </row>
    <row r="158" spans="1:65" x14ac:dyDescent="0.2">
      <c r="A158" s="21" t="s">
        <v>1413</v>
      </c>
      <c r="B158" s="21" t="s">
        <v>1414</v>
      </c>
      <c r="C158" s="21" t="s">
        <v>491</v>
      </c>
      <c r="D158" s="21">
        <v>3.7829999999999999</v>
      </c>
      <c r="E158" s="21">
        <v>3.7829999999999999</v>
      </c>
      <c r="F158" s="21">
        <v>3.7829999999999999</v>
      </c>
      <c r="G158" s="21">
        <v>3.7839999999999998</v>
      </c>
      <c r="H158" s="21">
        <v>3.7850000000000001</v>
      </c>
      <c r="I158" s="21">
        <v>3.786</v>
      </c>
      <c r="J158" s="21">
        <v>3.7850000000000001</v>
      </c>
      <c r="K158" s="21">
        <v>3.7829999999999999</v>
      </c>
      <c r="L158" s="21">
        <v>3.7389999999999999</v>
      </c>
      <c r="M158" s="21">
        <v>3.7069999999999999</v>
      </c>
      <c r="N158" s="21">
        <v>3.6480000000000001</v>
      </c>
      <c r="O158" s="21">
        <v>3.6339999999999999</v>
      </c>
      <c r="P158" s="21">
        <v>3.6150000000000002</v>
      </c>
      <c r="Q158" s="21">
        <v>3.6030000000000002</v>
      </c>
      <c r="R158" s="21">
        <v>3.6</v>
      </c>
      <c r="S158" s="21">
        <v>3.5750000000000002</v>
      </c>
      <c r="T158" s="21">
        <v>3.5329999999999999</v>
      </c>
      <c r="U158" s="21">
        <v>3.464</v>
      </c>
      <c r="V158" s="21">
        <v>3.4470000000000001</v>
      </c>
      <c r="W158" s="21">
        <v>3.5960000000000001</v>
      </c>
      <c r="X158" s="21">
        <v>3.629</v>
      </c>
      <c r="Y158" s="21">
        <v>3.5830000000000002</v>
      </c>
      <c r="Z158" s="21">
        <v>3.532</v>
      </c>
      <c r="AA158" s="21">
        <v>3.4470000000000001</v>
      </c>
      <c r="AB158" s="21">
        <v>3.5270000000000001</v>
      </c>
      <c r="AC158" s="21">
        <v>3.5270000000000001</v>
      </c>
      <c r="AD158" s="21">
        <v>3.5819999999999999</v>
      </c>
      <c r="AE158" s="21">
        <v>3.6219999999999999</v>
      </c>
      <c r="AF158" s="21">
        <v>3.5979999999999999</v>
      </c>
      <c r="AG158" s="21">
        <v>3.637</v>
      </c>
      <c r="AH158" s="21">
        <v>3.5779999999999998</v>
      </c>
      <c r="AI158" s="21">
        <v>3.5750000000000002</v>
      </c>
      <c r="AJ158" s="21">
        <v>3.5990000000000002</v>
      </c>
      <c r="AK158" s="21">
        <v>3.577</v>
      </c>
      <c r="AL158" s="21">
        <v>3.6160000000000001</v>
      </c>
      <c r="AM158" s="21">
        <v>3.5979999999999999</v>
      </c>
      <c r="AN158" s="21">
        <v>3.5779999999999998</v>
      </c>
      <c r="AO158" s="21">
        <v>3.577</v>
      </c>
      <c r="AP158" s="21">
        <v>3.5680000000000001</v>
      </c>
      <c r="AQ158" s="21">
        <v>3.5739999999999998</v>
      </c>
      <c r="AR158" s="21">
        <v>3.5489999999999999</v>
      </c>
      <c r="AS158" s="21">
        <v>3.5369999999999999</v>
      </c>
      <c r="AT158" s="21">
        <v>3.5190000000000001</v>
      </c>
      <c r="AU158" s="21">
        <v>3.5390000000000001</v>
      </c>
      <c r="AV158" s="21">
        <v>3.5230000000000001</v>
      </c>
      <c r="AW158" s="21">
        <v>3.5169999999999999</v>
      </c>
      <c r="AX158" s="21">
        <v>3.4790000000000001</v>
      </c>
      <c r="AY158" s="21">
        <v>3.468</v>
      </c>
      <c r="AZ158" s="21">
        <v>3.4460000000000002</v>
      </c>
      <c r="BA158" s="21">
        <v>3.375</v>
      </c>
      <c r="BB158" s="21">
        <v>3.3940000000000001</v>
      </c>
      <c r="BC158" s="21">
        <v>3.3159999999999998</v>
      </c>
      <c r="BD158" s="21">
        <v>3.36</v>
      </c>
      <c r="BE158" s="21">
        <v>3.3879999999999999</v>
      </c>
      <c r="BF158" s="21">
        <v>3.3439999999999999</v>
      </c>
      <c r="BG158" s="21">
        <v>3.3839999999999999</v>
      </c>
      <c r="BH158" s="21">
        <v>3.3410000000000002</v>
      </c>
      <c r="BI158" s="21">
        <v>3.3140000000000001</v>
      </c>
      <c r="BJ158" s="21">
        <v>3.2909999999999999</v>
      </c>
      <c r="BK158" s="21">
        <v>3.31</v>
      </c>
      <c r="BL158" s="21">
        <v>3.2589999999999999</v>
      </c>
      <c r="BM158" s="21">
        <v>3.2869999999999999</v>
      </c>
    </row>
    <row r="159" spans="1:65" x14ac:dyDescent="0.2">
      <c r="A159" s="21" t="s">
        <v>1413</v>
      </c>
      <c r="B159" s="21" t="s">
        <v>1414</v>
      </c>
      <c r="C159" s="21" t="s">
        <v>493</v>
      </c>
      <c r="D159" s="21">
        <v>121811</v>
      </c>
      <c r="E159" s="21">
        <v>125686</v>
      </c>
      <c r="F159" s="21">
        <v>137355</v>
      </c>
      <c r="G159" s="21">
        <v>149396</v>
      </c>
      <c r="H159" s="21">
        <v>164489</v>
      </c>
      <c r="I159" s="21">
        <v>171585</v>
      </c>
      <c r="J159" s="21">
        <v>179269</v>
      </c>
      <c r="K159" s="21">
        <v>186216</v>
      </c>
      <c r="L159" s="21">
        <v>214408</v>
      </c>
      <c r="M159" s="21">
        <v>251408</v>
      </c>
      <c r="N159" s="21">
        <v>255063</v>
      </c>
      <c r="O159" s="21">
        <v>260835</v>
      </c>
      <c r="P159" s="21">
        <v>309536</v>
      </c>
      <c r="Q159" s="21">
        <v>330936</v>
      </c>
      <c r="R159" s="21">
        <v>335142</v>
      </c>
      <c r="S159" s="21">
        <v>314999</v>
      </c>
      <c r="T159" s="21">
        <v>328519</v>
      </c>
      <c r="U159" s="21">
        <v>335159</v>
      </c>
      <c r="V159" s="21">
        <v>336024</v>
      </c>
      <c r="W159" s="21">
        <v>488295</v>
      </c>
      <c r="X159" s="21">
        <v>473289</v>
      </c>
      <c r="Y159" s="21">
        <v>468260</v>
      </c>
      <c r="Z159" s="21">
        <v>478634</v>
      </c>
      <c r="AA159" s="21">
        <v>435808</v>
      </c>
      <c r="AB159" s="21">
        <v>516999</v>
      </c>
      <c r="AC159" s="21">
        <v>513912</v>
      </c>
      <c r="AD159" s="21">
        <v>482827</v>
      </c>
      <c r="AE159" s="21">
        <v>517179</v>
      </c>
      <c r="AF159" s="21">
        <v>530436</v>
      </c>
      <c r="AG159" s="21">
        <v>519044</v>
      </c>
      <c r="AH159" s="21">
        <v>497725</v>
      </c>
      <c r="AI159" s="21">
        <v>547674</v>
      </c>
      <c r="AJ159" s="21">
        <v>583017</v>
      </c>
      <c r="AK159" s="21">
        <v>569526</v>
      </c>
      <c r="AL159" s="21">
        <v>622562</v>
      </c>
      <c r="AM159" s="21">
        <v>630530</v>
      </c>
      <c r="AN159" s="21">
        <v>655004</v>
      </c>
      <c r="AO159" s="21">
        <v>661385</v>
      </c>
      <c r="AP159" s="21">
        <v>630402</v>
      </c>
      <c r="AQ159" s="21">
        <v>702798</v>
      </c>
      <c r="AR159" s="21">
        <v>703805</v>
      </c>
      <c r="AS159" s="21">
        <v>625329</v>
      </c>
      <c r="AT159" s="21">
        <v>657334</v>
      </c>
      <c r="AU159" s="21">
        <v>617362</v>
      </c>
      <c r="AV159" s="21">
        <v>650632</v>
      </c>
      <c r="AW159" s="21">
        <v>608012</v>
      </c>
      <c r="AX159" s="21">
        <v>624040</v>
      </c>
      <c r="AY159" s="21">
        <v>636378</v>
      </c>
      <c r="AZ159" s="21">
        <v>552510</v>
      </c>
      <c r="BA159" s="21">
        <v>590215</v>
      </c>
      <c r="BB159" s="21">
        <v>650295</v>
      </c>
      <c r="BC159" s="21">
        <v>654794</v>
      </c>
      <c r="BD159" s="21">
        <v>699839</v>
      </c>
      <c r="BE159" s="21">
        <v>751082</v>
      </c>
      <c r="BF159" s="21">
        <v>720420</v>
      </c>
      <c r="BG159" s="21">
        <v>773486</v>
      </c>
      <c r="BH159" s="21">
        <v>775889</v>
      </c>
      <c r="BI159" s="21">
        <v>806639</v>
      </c>
      <c r="BJ159" s="21">
        <v>918994</v>
      </c>
      <c r="BK159" s="21">
        <v>948381</v>
      </c>
      <c r="BL159" s="21">
        <v>997890</v>
      </c>
      <c r="BM159" s="21">
        <v>1070572</v>
      </c>
    </row>
    <row r="160" spans="1:65" x14ac:dyDescent="0.2">
      <c r="A160" s="21" t="s">
        <v>1413</v>
      </c>
      <c r="B160" s="21" t="s">
        <v>1414</v>
      </c>
      <c r="C160" s="21" t="s">
        <v>498</v>
      </c>
      <c r="D160" s="21">
        <v>305197</v>
      </c>
      <c r="E160" s="21">
        <v>311934</v>
      </c>
      <c r="F160" s="21">
        <v>340595</v>
      </c>
      <c r="G160" s="21">
        <v>365351</v>
      </c>
      <c r="H160" s="21">
        <v>371527</v>
      </c>
      <c r="I160" s="21">
        <v>385754</v>
      </c>
      <c r="J160" s="21">
        <v>412866</v>
      </c>
      <c r="K160" s="21">
        <v>454323</v>
      </c>
      <c r="L160" s="21">
        <v>489158</v>
      </c>
      <c r="M160" s="21">
        <v>556388</v>
      </c>
      <c r="N160" s="21">
        <v>549226</v>
      </c>
      <c r="O160" s="21">
        <v>556768</v>
      </c>
      <c r="P160" s="21">
        <v>600874</v>
      </c>
      <c r="Q160" s="21">
        <v>570644</v>
      </c>
      <c r="R160" s="21">
        <v>526901</v>
      </c>
      <c r="S160" s="21">
        <v>512351</v>
      </c>
      <c r="T160" s="21">
        <v>532811</v>
      </c>
      <c r="U160" s="21">
        <v>520375</v>
      </c>
      <c r="V160" s="21">
        <v>504603</v>
      </c>
      <c r="W160" s="21">
        <v>340381</v>
      </c>
      <c r="X160" s="21">
        <v>311680</v>
      </c>
      <c r="Y160" s="21">
        <v>298987</v>
      </c>
      <c r="Z160" s="21">
        <v>288986</v>
      </c>
      <c r="AA160" s="21">
        <v>344056</v>
      </c>
      <c r="AB160" s="21">
        <v>280193</v>
      </c>
      <c r="AC160" s="21">
        <v>314695</v>
      </c>
      <c r="AD160" s="21">
        <v>308206</v>
      </c>
      <c r="AE160" s="21">
        <v>342682</v>
      </c>
      <c r="AF160" s="21">
        <v>341569</v>
      </c>
      <c r="AG160" s="21">
        <v>383395</v>
      </c>
      <c r="AH160" s="21">
        <v>352597</v>
      </c>
      <c r="AI160" s="21">
        <v>378638</v>
      </c>
      <c r="AJ160" s="21">
        <v>369891</v>
      </c>
      <c r="AK160" s="21">
        <v>390080</v>
      </c>
      <c r="AL160" s="21">
        <v>384176</v>
      </c>
      <c r="AM160" s="21">
        <v>395322</v>
      </c>
      <c r="AN160" s="21">
        <v>469345</v>
      </c>
      <c r="AO160" s="21">
        <v>455390</v>
      </c>
      <c r="AP160" s="21">
        <v>424439</v>
      </c>
      <c r="AQ160" s="21">
        <v>526669</v>
      </c>
      <c r="AR160" s="21">
        <v>555615</v>
      </c>
      <c r="AS160" s="21">
        <v>526367</v>
      </c>
      <c r="AT160" s="21">
        <v>537848</v>
      </c>
      <c r="AU160" s="21">
        <v>545189</v>
      </c>
      <c r="AV160" s="21">
        <v>512412</v>
      </c>
      <c r="AW160" s="21">
        <v>513520</v>
      </c>
      <c r="AX160" s="21">
        <v>446105</v>
      </c>
      <c r="AY160" s="21">
        <v>484280</v>
      </c>
      <c r="AZ160" s="21">
        <v>553444</v>
      </c>
      <c r="BA160" s="21">
        <v>547781</v>
      </c>
      <c r="BB160" s="21">
        <v>529835</v>
      </c>
      <c r="BC160" s="21">
        <v>492612</v>
      </c>
      <c r="BD160" s="21">
        <v>395556</v>
      </c>
      <c r="BE160" s="21">
        <v>463473</v>
      </c>
      <c r="BF160" s="21">
        <v>489523</v>
      </c>
      <c r="BG160" s="21">
        <v>445710</v>
      </c>
      <c r="BH160" s="21">
        <v>429888</v>
      </c>
      <c r="BI160" s="21">
        <v>430702</v>
      </c>
      <c r="BJ160" s="21">
        <v>506546</v>
      </c>
      <c r="BK160" s="21">
        <v>563405</v>
      </c>
      <c r="BL160" s="21">
        <v>494934</v>
      </c>
      <c r="BM160" s="21">
        <v>484131</v>
      </c>
    </row>
    <row r="161" spans="1:65" x14ac:dyDescent="0.2">
      <c r="A161" s="21" t="s">
        <v>1413</v>
      </c>
      <c r="B161" s="21" t="s">
        <v>1414</v>
      </c>
      <c r="C161" s="21" t="s">
        <v>502</v>
      </c>
      <c r="D161" s="21">
        <v>79458</v>
      </c>
      <c r="E161" s="21">
        <v>81212</v>
      </c>
      <c r="F161" s="21">
        <v>88674</v>
      </c>
      <c r="G161" s="21">
        <v>95119</v>
      </c>
      <c r="H161" s="21">
        <v>96727</v>
      </c>
      <c r="I161" s="21">
        <v>100431</v>
      </c>
      <c r="J161" s="21">
        <v>107489</v>
      </c>
      <c r="K161" s="21">
        <v>118283</v>
      </c>
      <c r="L161" s="21">
        <v>127352</v>
      </c>
      <c r="M161" s="21">
        <v>144855</v>
      </c>
      <c r="N161" s="21">
        <v>142990</v>
      </c>
      <c r="O161" s="21">
        <v>144954</v>
      </c>
      <c r="P161" s="21">
        <v>156437</v>
      </c>
      <c r="Q161" s="21">
        <v>148566</v>
      </c>
      <c r="R161" s="21">
        <v>137178</v>
      </c>
      <c r="S161" s="21">
        <v>133390</v>
      </c>
      <c r="T161" s="21">
        <v>138717</v>
      </c>
      <c r="U161" s="21">
        <v>135479</v>
      </c>
      <c r="V161" s="21">
        <v>131373</v>
      </c>
      <c r="W161" s="21">
        <v>88618</v>
      </c>
      <c r="X161" s="21">
        <v>81145</v>
      </c>
      <c r="Y161" s="21">
        <v>77841</v>
      </c>
      <c r="Z161" s="21">
        <v>75237</v>
      </c>
      <c r="AA161" s="21">
        <v>89575</v>
      </c>
      <c r="AB161" s="21">
        <v>72948</v>
      </c>
      <c r="AC161" s="21">
        <v>81930</v>
      </c>
      <c r="AD161" s="21">
        <v>80241</v>
      </c>
      <c r="AE161" s="21">
        <v>89217</v>
      </c>
      <c r="AF161" s="21">
        <v>88927</v>
      </c>
      <c r="AG161" s="21">
        <v>99817</v>
      </c>
      <c r="AH161" s="21">
        <v>91798</v>
      </c>
      <c r="AI161" s="21">
        <v>98578</v>
      </c>
      <c r="AJ161" s="21">
        <v>96301</v>
      </c>
      <c r="AK161" s="21">
        <v>101557</v>
      </c>
      <c r="AL161" s="21">
        <v>100020</v>
      </c>
      <c r="AM161" s="21">
        <v>102922</v>
      </c>
      <c r="AN161" s="21">
        <v>122193</v>
      </c>
      <c r="AO161" s="21">
        <v>118560</v>
      </c>
      <c r="AP161" s="21">
        <v>110502</v>
      </c>
      <c r="AQ161" s="21">
        <v>137118</v>
      </c>
      <c r="AR161" s="21">
        <v>144654</v>
      </c>
      <c r="AS161" s="21">
        <v>137039</v>
      </c>
      <c r="AT161" s="21">
        <v>140028</v>
      </c>
      <c r="AU161" s="21">
        <v>141939</v>
      </c>
      <c r="AV161" s="21">
        <v>133406</v>
      </c>
      <c r="AW161" s="21">
        <v>133694</v>
      </c>
      <c r="AX161" s="21">
        <v>116143</v>
      </c>
      <c r="AY161" s="21">
        <v>126082</v>
      </c>
      <c r="AZ161" s="21">
        <v>144089</v>
      </c>
      <c r="BA161" s="21">
        <v>142614</v>
      </c>
      <c r="BB161" s="21">
        <v>137942</v>
      </c>
      <c r="BC161" s="21">
        <v>128251</v>
      </c>
      <c r="BD161" s="21">
        <v>102982</v>
      </c>
      <c r="BE161" s="21">
        <v>120665</v>
      </c>
      <c r="BF161" s="21">
        <v>127447</v>
      </c>
      <c r="BG161" s="21">
        <v>116040</v>
      </c>
      <c r="BH161" s="21">
        <v>111921</v>
      </c>
      <c r="BI161" s="21">
        <v>112133</v>
      </c>
      <c r="BJ161" s="21">
        <v>131879</v>
      </c>
      <c r="BK161" s="21">
        <v>146682</v>
      </c>
      <c r="BL161" s="21">
        <v>128855</v>
      </c>
      <c r="BM161" s="21">
        <v>126043</v>
      </c>
    </row>
    <row r="162" spans="1:65" x14ac:dyDescent="0.2">
      <c r="A162" s="21" t="s">
        <v>1413</v>
      </c>
      <c r="B162" s="21" t="s">
        <v>1414</v>
      </c>
      <c r="C162" s="21" t="s">
        <v>509</v>
      </c>
      <c r="D162" s="21">
        <v>865979</v>
      </c>
      <c r="E162" s="21">
        <v>891189</v>
      </c>
      <c r="F162" s="21">
        <v>973310</v>
      </c>
      <c r="G162" s="21">
        <v>1052341</v>
      </c>
      <c r="H162" s="21">
        <v>1124312</v>
      </c>
      <c r="I162" s="21">
        <v>1170101</v>
      </c>
      <c r="J162" s="21">
        <v>1234196</v>
      </c>
      <c r="K162" s="21">
        <v>1312301</v>
      </c>
      <c r="L162" s="21">
        <v>1459731</v>
      </c>
      <c r="M162" s="21">
        <v>1677845</v>
      </c>
      <c r="N162" s="21">
        <v>1667021</v>
      </c>
      <c r="O162" s="21">
        <v>1700297</v>
      </c>
      <c r="P162" s="21">
        <v>1926804</v>
      </c>
      <c r="Q162" s="21">
        <v>1959397</v>
      </c>
      <c r="R162" s="21">
        <v>1913592</v>
      </c>
      <c r="S162" s="21">
        <v>1811302</v>
      </c>
      <c r="T162" s="21">
        <v>1876549</v>
      </c>
      <c r="U162" s="21">
        <v>1866666</v>
      </c>
      <c r="V162" s="21">
        <v>1848145</v>
      </c>
      <c r="W162" s="21">
        <v>2213603</v>
      </c>
      <c r="X162" s="21">
        <v>2135228</v>
      </c>
      <c r="Y162" s="21">
        <v>2097512</v>
      </c>
      <c r="Z162" s="21">
        <v>2094819</v>
      </c>
      <c r="AA162" s="21">
        <v>1983330</v>
      </c>
      <c r="AB162" s="21">
        <v>2229597</v>
      </c>
      <c r="AC162" s="21">
        <v>2251994</v>
      </c>
      <c r="AD162" s="21">
        <v>2158232</v>
      </c>
      <c r="AE162" s="21">
        <v>2338968</v>
      </c>
      <c r="AF162" s="21">
        <v>2372880</v>
      </c>
      <c r="AG162" s="21">
        <v>2403475</v>
      </c>
      <c r="AH162" s="21">
        <v>2258530</v>
      </c>
      <c r="AI162" s="21">
        <v>2465872</v>
      </c>
      <c r="AJ162" s="21">
        <v>2594761</v>
      </c>
      <c r="AK162" s="21">
        <v>2557188</v>
      </c>
      <c r="AL162" s="21">
        <v>2776857</v>
      </c>
      <c r="AM162" s="21">
        <v>2790650</v>
      </c>
      <c r="AN162" s="21">
        <v>2951060</v>
      </c>
      <c r="AO162" s="21">
        <v>2955644</v>
      </c>
      <c r="AP162" s="21">
        <v>2808928</v>
      </c>
      <c r="AQ162" s="21">
        <v>3193382</v>
      </c>
      <c r="AR162" s="21">
        <v>3215645</v>
      </c>
      <c r="AS162" s="21">
        <v>2894642</v>
      </c>
      <c r="AT162" s="21">
        <v>3006338</v>
      </c>
      <c r="AU162" s="21">
        <v>2905269</v>
      </c>
      <c r="AV162" s="21">
        <v>2975834</v>
      </c>
      <c r="AW162" s="21">
        <v>2811649</v>
      </c>
      <c r="AX162" s="21">
        <v>2767835</v>
      </c>
      <c r="AY162" s="21">
        <v>2834784</v>
      </c>
      <c r="AZ162" s="21">
        <v>2655804</v>
      </c>
      <c r="BA162" s="21">
        <v>2706885</v>
      </c>
      <c r="BB162" s="21">
        <v>2881226</v>
      </c>
      <c r="BC162" s="21">
        <v>2811294</v>
      </c>
      <c r="BD162" s="21">
        <v>2886731</v>
      </c>
      <c r="BE162" s="21">
        <v>3165772</v>
      </c>
      <c r="BF162" s="21">
        <v>3066554</v>
      </c>
      <c r="BG162" s="21">
        <v>3221427</v>
      </c>
      <c r="BH162" s="21">
        <v>3184158</v>
      </c>
      <c r="BI162" s="21">
        <v>3272243</v>
      </c>
      <c r="BJ162" s="21">
        <v>3719514</v>
      </c>
      <c r="BK162" s="21">
        <v>3896734</v>
      </c>
      <c r="BL162" s="21">
        <v>3956259</v>
      </c>
      <c r="BM162" s="21">
        <v>4230278</v>
      </c>
    </row>
    <row r="163" spans="1:65" x14ac:dyDescent="0.2">
      <c r="A163" s="21" t="s">
        <v>1413</v>
      </c>
      <c r="B163" s="21" t="s">
        <v>1414</v>
      </c>
      <c r="C163" s="21" t="s">
        <v>513</v>
      </c>
      <c r="D163" s="21">
        <v>3.81</v>
      </c>
      <c r="E163" s="21">
        <v>3.81</v>
      </c>
      <c r="F163" s="21">
        <v>3.81</v>
      </c>
      <c r="G163" s="21">
        <v>3.81</v>
      </c>
      <c r="H163" s="21">
        <v>3.81</v>
      </c>
      <c r="I163" s="21">
        <v>3.81</v>
      </c>
      <c r="J163" s="21">
        <v>3.81</v>
      </c>
      <c r="K163" s="21">
        <v>3.81</v>
      </c>
      <c r="L163" s="21">
        <v>3.7839999999999998</v>
      </c>
      <c r="M163" s="21">
        <v>3.7650000000000001</v>
      </c>
      <c r="N163" s="21">
        <v>3.7309999999999999</v>
      </c>
      <c r="O163" s="21">
        <v>3.7229999999999999</v>
      </c>
      <c r="P163" s="21">
        <v>3.706</v>
      </c>
      <c r="Q163" s="21">
        <v>3.6930000000000001</v>
      </c>
      <c r="R163" s="21">
        <v>3.6859999999999999</v>
      </c>
      <c r="S163" s="21">
        <v>3.6709999999999998</v>
      </c>
      <c r="T163" s="21">
        <v>3.645</v>
      </c>
      <c r="U163" s="21">
        <v>3.5979999999999999</v>
      </c>
      <c r="V163" s="21">
        <v>3.5840000000000001</v>
      </c>
      <c r="W163" s="21">
        <v>3.6440000000000001</v>
      </c>
      <c r="X163" s="21">
        <v>3.669</v>
      </c>
      <c r="Y163" s="21">
        <v>3.6320000000000001</v>
      </c>
      <c r="Z163" s="21">
        <v>3.5880000000000001</v>
      </c>
      <c r="AA163" s="21">
        <v>3.5350000000000001</v>
      </c>
      <c r="AB163" s="21">
        <v>3.58</v>
      </c>
      <c r="AC163" s="21">
        <v>3.5840000000000001</v>
      </c>
      <c r="AD163" s="21">
        <v>3.6309999999999998</v>
      </c>
      <c r="AE163" s="21">
        <v>3.6629999999999998</v>
      </c>
      <c r="AF163" s="21">
        <v>3.6429999999999998</v>
      </c>
      <c r="AG163" s="21">
        <v>3.6789999999999998</v>
      </c>
      <c r="AH163" s="21">
        <v>3.63</v>
      </c>
      <c r="AI163" s="21">
        <v>3.6259999999999999</v>
      </c>
      <c r="AJ163" s="21">
        <v>3.6429999999999998</v>
      </c>
      <c r="AK163" s="21">
        <v>3.6280000000000001</v>
      </c>
      <c r="AL163" s="21">
        <v>3.657</v>
      </c>
      <c r="AM163" s="21">
        <v>3.641</v>
      </c>
      <c r="AN163" s="21">
        <v>3.629</v>
      </c>
      <c r="AO163" s="21">
        <v>3.6269999999999998</v>
      </c>
      <c r="AP163" s="21">
        <v>3.6190000000000002</v>
      </c>
      <c r="AQ163" s="21">
        <v>3.6280000000000001</v>
      </c>
      <c r="AR163" s="21">
        <v>3.61</v>
      </c>
      <c r="AS163" s="21">
        <v>3.6040000000000001</v>
      </c>
      <c r="AT163" s="21">
        <v>3.5880000000000001</v>
      </c>
      <c r="AU163" s="21">
        <v>3.61</v>
      </c>
      <c r="AV163" s="21">
        <v>3.5910000000000002</v>
      </c>
      <c r="AW163" s="21">
        <v>3.589</v>
      </c>
      <c r="AX163" s="21">
        <v>3.5510000000000002</v>
      </c>
      <c r="AY163" s="21">
        <v>3.544</v>
      </c>
      <c r="AZ163" s="21">
        <v>3.5489999999999999</v>
      </c>
      <c r="BA163" s="21">
        <v>3.4870000000000001</v>
      </c>
      <c r="BB163" s="21">
        <v>3.4889999999999999</v>
      </c>
      <c r="BC163" s="21">
        <v>3.423</v>
      </c>
      <c r="BD163" s="21">
        <v>3.44</v>
      </c>
      <c r="BE163" s="21">
        <v>3.468</v>
      </c>
      <c r="BF163" s="21">
        <v>3.4390000000000001</v>
      </c>
      <c r="BG163" s="21">
        <v>3.4609999999999999</v>
      </c>
      <c r="BH163" s="21">
        <v>3.4239999999999999</v>
      </c>
      <c r="BI163" s="21">
        <v>3.4</v>
      </c>
      <c r="BJ163" s="21">
        <v>3.3809999999999998</v>
      </c>
      <c r="BK163" s="21">
        <v>3.4009999999999998</v>
      </c>
      <c r="BL163" s="21">
        <v>3.3490000000000002</v>
      </c>
      <c r="BM163" s="21">
        <v>3.3690000000000002</v>
      </c>
    </row>
    <row r="164" spans="1:65" x14ac:dyDescent="0.2">
      <c r="A164" s="21" t="s">
        <v>1413</v>
      </c>
      <c r="B164" s="21" t="s">
        <v>1414</v>
      </c>
      <c r="C164" s="21" t="s">
        <v>515</v>
      </c>
      <c r="D164" s="21">
        <v>227291</v>
      </c>
      <c r="E164" s="21">
        <v>233908</v>
      </c>
      <c r="F164" s="21">
        <v>255462</v>
      </c>
      <c r="G164" s="21">
        <v>276205</v>
      </c>
      <c r="H164" s="21">
        <v>295095</v>
      </c>
      <c r="I164" s="21">
        <v>307113</v>
      </c>
      <c r="J164" s="21">
        <v>323936</v>
      </c>
      <c r="K164" s="21">
        <v>344451</v>
      </c>
      <c r="L164" s="21">
        <v>385741</v>
      </c>
      <c r="M164" s="21">
        <v>445626</v>
      </c>
      <c r="N164" s="21">
        <v>446816</v>
      </c>
      <c r="O164" s="21">
        <v>456752</v>
      </c>
      <c r="P164" s="21">
        <v>519850</v>
      </c>
      <c r="Q164" s="21">
        <v>530630</v>
      </c>
      <c r="R164" s="21">
        <v>519191</v>
      </c>
      <c r="S164" s="21">
        <v>493378</v>
      </c>
      <c r="T164" s="21">
        <v>514893</v>
      </c>
      <c r="U164" s="21">
        <v>518870</v>
      </c>
      <c r="V164" s="21">
        <v>515654</v>
      </c>
      <c r="W164" s="21">
        <v>607396</v>
      </c>
      <c r="X164" s="21">
        <v>581994</v>
      </c>
      <c r="Y164" s="21">
        <v>577512</v>
      </c>
      <c r="Z164" s="21">
        <v>583871</v>
      </c>
      <c r="AA164" s="21">
        <v>561072</v>
      </c>
      <c r="AB164" s="21">
        <v>622766</v>
      </c>
      <c r="AC164" s="21">
        <v>628330</v>
      </c>
      <c r="AD164" s="21">
        <v>594445</v>
      </c>
      <c r="AE164" s="21">
        <v>638489</v>
      </c>
      <c r="AF164" s="21">
        <v>651308</v>
      </c>
      <c r="AG164" s="21">
        <v>653317</v>
      </c>
      <c r="AH164" s="21">
        <v>622149</v>
      </c>
      <c r="AI164" s="21">
        <v>679975</v>
      </c>
      <c r="AJ164" s="21">
        <v>712248</v>
      </c>
      <c r="AK164" s="21">
        <v>704839</v>
      </c>
      <c r="AL164" s="21">
        <v>759408</v>
      </c>
      <c r="AM164" s="21">
        <v>766419</v>
      </c>
      <c r="AN164" s="21">
        <v>813180</v>
      </c>
      <c r="AO164" s="21">
        <v>814998</v>
      </c>
      <c r="AP164" s="21">
        <v>776153</v>
      </c>
      <c r="AQ164" s="21">
        <v>880175</v>
      </c>
      <c r="AR164" s="21">
        <v>890762</v>
      </c>
      <c r="AS164" s="21">
        <v>803139</v>
      </c>
      <c r="AT164" s="21">
        <v>837789</v>
      </c>
      <c r="AU164" s="21">
        <v>804850</v>
      </c>
      <c r="AV164" s="21">
        <v>828635</v>
      </c>
      <c r="AW164" s="21">
        <v>783308</v>
      </c>
      <c r="AX164" s="21">
        <v>779452</v>
      </c>
      <c r="AY164" s="21">
        <v>799832</v>
      </c>
      <c r="AZ164" s="21">
        <v>748246</v>
      </c>
      <c r="BA164" s="21">
        <v>776334</v>
      </c>
      <c r="BB164" s="21">
        <v>825880</v>
      </c>
      <c r="BC164" s="21">
        <v>821345</v>
      </c>
      <c r="BD164" s="21">
        <v>839282</v>
      </c>
      <c r="BE164" s="21">
        <v>912806</v>
      </c>
      <c r="BF164" s="21">
        <v>891630</v>
      </c>
      <c r="BG164" s="21">
        <v>930667</v>
      </c>
      <c r="BH164" s="21">
        <v>929942</v>
      </c>
      <c r="BI164" s="21">
        <v>962528</v>
      </c>
      <c r="BJ164" s="21">
        <v>1099970</v>
      </c>
      <c r="BK164" s="21">
        <v>1145706</v>
      </c>
      <c r="BL164" s="21">
        <v>1181338</v>
      </c>
      <c r="BM164" s="21">
        <v>1255645</v>
      </c>
    </row>
    <row r="165" spans="1:65" x14ac:dyDescent="0.2">
      <c r="A165" s="21" t="s">
        <v>1413</v>
      </c>
      <c r="B165" s="21" t="s">
        <v>1414</v>
      </c>
      <c r="C165" s="21" t="s">
        <v>518</v>
      </c>
      <c r="D165" s="21">
        <v>865979</v>
      </c>
      <c r="E165" s="21">
        <v>891189</v>
      </c>
      <c r="F165" s="21">
        <v>973310</v>
      </c>
      <c r="G165" s="21">
        <v>1052341</v>
      </c>
      <c r="H165" s="21">
        <v>1124312</v>
      </c>
      <c r="I165" s="21">
        <v>1170101</v>
      </c>
      <c r="J165" s="21">
        <v>1234196</v>
      </c>
      <c r="K165" s="21">
        <v>1312301</v>
      </c>
      <c r="L165" s="21">
        <v>1459731</v>
      </c>
      <c r="M165" s="21">
        <v>1677845</v>
      </c>
      <c r="N165" s="21">
        <v>1667021</v>
      </c>
      <c r="O165" s="21">
        <v>1700297</v>
      </c>
      <c r="P165" s="21">
        <v>1926804</v>
      </c>
      <c r="Q165" s="21">
        <v>1959397</v>
      </c>
      <c r="R165" s="21">
        <v>1913592</v>
      </c>
      <c r="S165" s="21">
        <v>1811302</v>
      </c>
      <c r="T165" s="21">
        <v>1876549</v>
      </c>
      <c r="U165" s="21">
        <v>1866666</v>
      </c>
      <c r="V165" s="21">
        <v>1848145</v>
      </c>
      <c r="W165" s="21">
        <v>2213603</v>
      </c>
      <c r="X165" s="21">
        <v>2135228</v>
      </c>
      <c r="Y165" s="21">
        <v>2097512</v>
      </c>
      <c r="Z165" s="21">
        <v>2094819</v>
      </c>
      <c r="AA165" s="21">
        <v>1983330</v>
      </c>
      <c r="AB165" s="21">
        <v>2229597</v>
      </c>
      <c r="AC165" s="21">
        <v>2251994</v>
      </c>
      <c r="AD165" s="21">
        <v>2158232</v>
      </c>
      <c r="AE165" s="21">
        <v>2338968</v>
      </c>
      <c r="AF165" s="21">
        <v>2372880</v>
      </c>
      <c r="AG165" s="21">
        <v>2403475</v>
      </c>
      <c r="AH165" s="21">
        <v>2258530</v>
      </c>
      <c r="AI165" s="21">
        <v>2465872</v>
      </c>
      <c r="AJ165" s="21">
        <v>2594761</v>
      </c>
      <c r="AK165" s="21">
        <v>2557188</v>
      </c>
      <c r="AL165" s="21">
        <v>2776857</v>
      </c>
      <c r="AM165" s="21">
        <v>2790650</v>
      </c>
      <c r="AN165" s="21">
        <v>2951060</v>
      </c>
      <c r="AO165" s="21">
        <v>2955644</v>
      </c>
      <c r="AP165" s="21">
        <v>2808928</v>
      </c>
      <c r="AQ165" s="21">
        <v>3193382</v>
      </c>
      <c r="AR165" s="21">
        <v>3215645</v>
      </c>
      <c r="AS165" s="21">
        <v>2894642</v>
      </c>
      <c r="AT165" s="21">
        <v>3006338</v>
      </c>
      <c r="AU165" s="21">
        <v>2905269</v>
      </c>
      <c r="AV165" s="21">
        <v>2975834</v>
      </c>
      <c r="AW165" s="21">
        <v>2811649</v>
      </c>
      <c r="AX165" s="21">
        <v>2767835</v>
      </c>
      <c r="AY165" s="21">
        <v>2834784</v>
      </c>
      <c r="AZ165" s="21">
        <v>2655804</v>
      </c>
      <c r="BA165" s="21">
        <v>2706885</v>
      </c>
      <c r="BB165" s="21">
        <v>2881226</v>
      </c>
      <c r="BC165" s="21">
        <v>2811294</v>
      </c>
      <c r="BD165" s="21">
        <v>2886731</v>
      </c>
      <c r="BE165" s="21">
        <v>3165772</v>
      </c>
      <c r="BF165" s="21">
        <v>3066554</v>
      </c>
      <c r="BG165" s="21">
        <v>3221427</v>
      </c>
      <c r="BH165" s="21">
        <v>3184158</v>
      </c>
      <c r="BI165" s="21">
        <v>3272243</v>
      </c>
      <c r="BJ165" s="21">
        <v>3719514</v>
      </c>
      <c r="BK165" s="21">
        <v>3896734</v>
      </c>
      <c r="BL165" s="21">
        <v>3956259</v>
      </c>
      <c r="BM165" s="21">
        <v>4230278</v>
      </c>
    </row>
    <row r="166" spans="1:65" x14ac:dyDescent="0.2">
      <c r="A166" s="21" t="s">
        <v>1413</v>
      </c>
      <c r="B166" s="21" t="s">
        <v>1414</v>
      </c>
      <c r="C166" s="21" t="s">
        <v>522</v>
      </c>
      <c r="D166" s="21">
        <v>227291</v>
      </c>
      <c r="E166" s="21">
        <v>233908</v>
      </c>
      <c r="F166" s="21">
        <v>255462</v>
      </c>
      <c r="G166" s="21">
        <v>276205</v>
      </c>
      <c r="H166" s="21">
        <v>295095</v>
      </c>
      <c r="I166" s="21">
        <v>307113</v>
      </c>
      <c r="J166" s="21">
        <v>323936</v>
      </c>
      <c r="K166" s="21">
        <v>344451</v>
      </c>
      <c r="L166" s="21">
        <v>385741</v>
      </c>
      <c r="M166" s="21">
        <v>445626</v>
      </c>
      <c r="N166" s="21">
        <v>446816</v>
      </c>
      <c r="O166" s="21">
        <v>456752</v>
      </c>
      <c r="P166" s="21">
        <v>519850</v>
      </c>
      <c r="Q166" s="21">
        <v>530630</v>
      </c>
      <c r="R166" s="21">
        <v>519191</v>
      </c>
      <c r="S166" s="21">
        <v>493378</v>
      </c>
      <c r="T166" s="21">
        <v>514893</v>
      </c>
      <c r="U166" s="21">
        <v>518870</v>
      </c>
      <c r="V166" s="21">
        <v>515654</v>
      </c>
      <c r="W166" s="21">
        <v>607396</v>
      </c>
      <c r="X166" s="21">
        <v>581994</v>
      </c>
      <c r="Y166" s="21">
        <v>577512</v>
      </c>
      <c r="Z166" s="21">
        <v>583871</v>
      </c>
      <c r="AA166" s="21">
        <v>561072</v>
      </c>
      <c r="AB166" s="21">
        <v>622766</v>
      </c>
      <c r="AC166" s="21">
        <v>628330</v>
      </c>
      <c r="AD166" s="21">
        <v>594445</v>
      </c>
      <c r="AE166" s="21">
        <v>638489</v>
      </c>
      <c r="AF166" s="21">
        <v>651308</v>
      </c>
      <c r="AG166" s="21">
        <v>653317</v>
      </c>
      <c r="AH166" s="21">
        <v>622149</v>
      </c>
      <c r="AI166" s="21">
        <v>679975</v>
      </c>
      <c r="AJ166" s="21">
        <v>712248</v>
      </c>
      <c r="AK166" s="21">
        <v>704839</v>
      </c>
      <c r="AL166" s="21">
        <v>759408</v>
      </c>
      <c r="AM166" s="21">
        <v>766419</v>
      </c>
      <c r="AN166" s="21">
        <v>813180</v>
      </c>
      <c r="AO166" s="21">
        <v>814998</v>
      </c>
      <c r="AP166" s="21">
        <v>776153</v>
      </c>
      <c r="AQ166" s="21">
        <v>880175</v>
      </c>
      <c r="AR166" s="21">
        <v>890762</v>
      </c>
      <c r="AS166" s="21">
        <v>803139</v>
      </c>
      <c r="AT166" s="21">
        <v>837789</v>
      </c>
      <c r="AU166" s="21">
        <v>804850</v>
      </c>
      <c r="AV166" s="21">
        <v>828635</v>
      </c>
      <c r="AW166" s="21">
        <v>783308</v>
      </c>
      <c r="AX166" s="21">
        <v>779452</v>
      </c>
      <c r="AY166" s="21">
        <v>799832</v>
      </c>
      <c r="AZ166" s="21">
        <v>748246</v>
      </c>
      <c r="BA166" s="21">
        <v>776334</v>
      </c>
      <c r="BB166" s="21">
        <v>825880</v>
      </c>
      <c r="BC166" s="21">
        <v>821345</v>
      </c>
      <c r="BD166" s="21">
        <v>839282</v>
      </c>
      <c r="BE166" s="21">
        <v>912806</v>
      </c>
      <c r="BF166" s="21">
        <v>891630</v>
      </c>
      <c r="BG166" s="21">
        <v>930667</v>
      </c>
      <c r="BH166" s="21">
        <v>929942</v>
      </c>
      <c r="BI166" s="21">
        <v>962528</v>
      </c>
      <c r="BJ166" s="21">
        <v>1099970</v>
      </c>
      <c r="BK166" s="21">
        <v>1145706</v>
      </c>
      <c r="BL166" s="21">
        <v>1181338</v>
      </c>
      <c r="BM166" s="21">
        <v>1255645</v>
      </c>
    </row>
    <row r="167" spans="1:65" x14ac:dyDescent="0.2">
      <c r="A167" s="21" t="s">
        <v>1413</v>
      </c>
      <c r="B167" s="21" t="s">
        <v>1414</v>
      </c>
      <c r="C167" s="21" t="s">
        <v>525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>
        <v>21858</v>
      </c>
      <c r="BA167" s="21">
        <v>22160</v>
      </c>
      <c r="BB167" s="21">
        <v>22199</v>
      </c>
      <c r="BC167" s="21">
        <v>22293</v>
      </c>
      <c r="BD167" s="21">
        <v>22368</v>
      </c>
      <c r="BE167" s="21">
        <v>22389</v>
      </c>
      <c r="BF167" s="21">
        <v>22480</v>
      </c>
      <c r="BG167" s="21">
        <v>22570</v>
      </c>
      <c r="BH167" s="21">
        <v>22779</v>
      </c>
      <c r="BI167" s="21">
        <v>22810</v>
      </c>
      <c r="BJ167" s="21">
        <v>22830</v>
      </c>
      <c r="BK167" s="21">
        <v>22778</v>
      </c>
      <c r="BL167" s="21">
        <v>23016</v>
      </c>
      <c r="BM167" s="21">
        <v>23008</v>
      </c>
    </row>
    <row r="168" spans="1:65" x14ac:dyDescent="0.2">
      <c r="A168" s="21" t="s">
        <v>1413</v>
      </c>
      <c r="B168" s="21" t="s">
        <v>1414</v>
      </c>
      <c r="C168" s="21" t="s">
        <v>527</v>
      </c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>
        <v>77930</v>
      </c>
      <c r="BA168" s="21">
        <v>78518</v>
      </c>
      <c r="BB168" s="21">
        <v>78825</v>
      </c>
      <c r="BC168" s="21">
        <v>78652</v>
      </c>
      <c r="BD168" s="21">
        <v>78738</v>
      </c>
      <c r="BE168" s="21">
        <v>79200</v>
      </c>
      <c r="BF168" s="21">
        <v>79683</v>
      </c>
      <c r="BG168" s="21">
        <v>79670</v>
      </c>
      <c r="BH168" s="21">
        <v>79913</v>
      </c>
      <c r="BI168" s="21">
        <v>79795</v>
      </c>
      <c r="BJ168" s="21">
        <v>79872</v>
      </c>
      <c r="BK168" s="21">
        <v>79773</v>
      </c>
      <c r="BL168" s="21">
        <v>79924</v>
      </c>
      <c r="BM168" s="21">
        <v>79910</v>
      </c>
    </row>
    <row r="169" spans="1:65" x14ac:dyDescent="0.2">
      <c r="A169" s="21" t="s">
        <v>1413</v>
      </c>
      <c r="B169" s="21" t="s">
        <v>1414</v>
      </c>
      <c r="C169" s="21" t="s">
        <v>529</v>
      </c>
      <c r="D169" s="21">
        <v>0</v>
      </c>
      <c r="E169" s="21">
        <v>0</v>
      </c>
      <c r="F169" s="21">
        <v>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  <c r="T169" s="21">
        <v>0</v>
      </c>
      <c r="U169" s="21">
        <v>0</v>
      </c>
      <c r="V169" s="21">
        <v>0</v>
      </c>
      <c r="W169" s="21">
        <v>0</v>
      </c>
      <c r="X169" s="21">
        <v>0</v>
      </c>
      <c r="Y169" s="21">
        <v>0</v>
      </c>
      <c r="Z169" s="21">
        <v>0</v>
      </c>
      <c r="AA169" s="21">
        <v>0</v>
      </c>
      <c r="AB169" s="21">
        <v>0</v>
      </c>
      <c r="AC169" s="21">
        <v>0</v>
      </c>
      <c r="AD169" s="21">
        <v>0</v>
      </c>
      <c r="AE169" s="21">
        <v>0</v>
      </c>
      <c r="AF169" s="21">
        <v>0</v>
      </c>
      <c r="AG169" s="21">
        <v>685</v>
      </c>
      <c r="AH169" s="21">
        <v>1432</v>
      </c>
      <c r="AI169" s="21">
        <v>1369</v>
      </c>
      <c r="AJ169" s="21">
        <v>1266</v>
      </c>
      <c r="AK169" s="21">
        <v>1028</v>
      </c>
      <c r="AL169" s="21">
        <v>957</v>
      </c>
      <c r="AM169" s="21">
        <v>1220</v>
      </c>
      <c r="AN169" s="21">
        <v>1300</v>
      </c>
      <c r="AO169" s="21">
        <v>1228</v>
      </c>
      <c r="AP169" s="21">
        <v>1228</v>
      </c>
      <c r="AQ169" s="21">
        <v>1173</v>
      </c>
      <c r="AR169" s="21">
        <v>1018</v>
      </c>
      <c r="AS169" s="21">
        <v>687</v>
      </c>
      <c r="AT169" s="21">
        <v>130</v>
      </c>
      <c r="AU169" s="21">
        <v>731</v>
      </c>
      <c r="AV169" s="21">
        <v>1051</v>
      </c>
      <c r="AW169" s="21">
        <v>860</v>
      </c>
      <c r="AX169" s="21">
        <v>927</v>
      </c>
      <c r="AY169" s="21">
        <v>764</v>
      </c>
      <c r="AZ169" s="21">
        <v>591</v>
      </c>
      <c r="BA169" s="21">
        <v>692</v>
      </c>
      <c r="BB169" s="21">
        <v>785</v>
      </c>
      <c r="BC169" s="21">
        <v>249</v>
      </c>
      <c r="BD169" s="21">
        <v>262</v>
      </c>
      <c r="BE169" s="21">
        <v>419</v>
      </c>
      <c r="BF169" s="21">
        <v>365</v>
      </c>
      <c r="BG169" s="21">
        <v>325</v>
      </c>
      <c r="BH169" s="21">
        <v>2003</v>
      </c>
      <c r="BI169" s="21">
        <v>2207</v>
      </c>
      <c r="BJ169" s="21">
        <v>2068</v>
      </c>
      <c r="BK169" s="21">
        <v>1675</v>
      </c>
      <c r="BL169" s="21">
        <v>1873</v>
      </c>
      <c r="BM169" s="21">
        <v>2279</v>
      </c>
    </row>
    <row r="170" spans="1:65" x14ac:dyDescent="0.2">
      <c r="A170" s="21" t="s">
        <v>1413</v>
      </c>
      <c r="B170" s="21" t="s">
        <v>1414</v>
      </c>
      <c r="C170" s="21" t="s">
        <v>531</v>
      </c>
      <c r="D170" s="21">
        <v>0</v>
      </c>
      <c r="E170" s="21">
        <v>0</v>
      </c>
      <c r="F170" s="21"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  <c r="Q170" s="21">
        <v>0</v>
      </c>
      <c r="R170" s="21">
        <v>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>
        <v>0</v>
      </c>
      <c r="Z170" s="21">
        <v>0</v>
      </c>
      <c r="AA170" s="21">
        <v>0</v>
      </c>
      <c r="AB170" s="21">
        <v>0</v>
      </c>
      <c r="AC170" s="21">
        <v>0</v>
      </c>
      <c r="AD170" s="21">
        <v>0</v>
      </c>
      <c r="AE170" s="21">
        <v>0</v>
      </c>
      <c r="AF170" s="21">
        <v>0</v>
      </c>
      <c r="AG170" s="21">
        <v>66</v>
      </c>
      <c r="AH170" s="21">
        <v>138</v>
      </c>
      <c r="AI170" s="21">
        <v>131</v>
      </c>
      <c r="AJ170" s="21">
        <v>122</v>
      </c>
      <c r="AK170" s="21">
        <v>100</v>
      </c>
      <c r="AL170" s="21">
        <v>93</v>
      </c>
      <c r="AM170" s="21">
        <v>118</v>
      </c>
      <c r="AN170" s="21">
        <v>126</v>
      </c>
      <c r="AO170" s="21">
        <v>120</v>
      </c>
      <c r="AP170" s="21">
        <v>120</v>
      </c>
      <c r="AQ170" s="21">
        <v>115</v>
      </c>
      <c r="AR170" s="21">
        <v>100</v>
      </c>
      <c r="AS170" s="21">
        <v>66</v>
      </c>
      <c r="AT170" s="21">
        <v>13</v>
      </c>
      <c r="AU170" s="21">
        <v>72</v>
      </c>
      <c r="AV170" s="21">
        <v>105</v>
      </c>
      <c r="AW170" s="21">
        <v>86</v>
      </c>
      <c r="AX170" s="21">
        <v>93</v>
      </c>
      <c r="AY170" s="21">
        <v>77</v>
      </c>
      <c r="AZ170" s="21">
        <v>60</v>
      </c>
      <c r="BA170" s="21">
        <v>71</v>
      </c>
      <c r="BB170" s="21">
        <v>80</v>
      </c>
      <c r="BC170" s="21">
        <v>26</v>
      </c>
      <c r="BD170" s="21">
        <v>28</v>
      </c>
      <c r="BE170" s="21">
        <v>44</v>
      </c>
      <c r="BF170" s="21">
        <v>38</v>
      </c>
      <c r="BG170" s="21">
        <v>35</v>
      </c>
      <c r="BH170" s="21">
        <v>217</v>
      </c>
      <c r="BI170" s="21">
        <v>240</v>
      </c>
      <c r="BJ170" s="21">
        <v>227</v>
      </c>
      <c r="BK170" s="21">
        <v>188</v>
      </c>
      <c r="BL170" s="21">
        <v>214</v>
      </c>
      <c r="BM170" s="21">
        <v>258</v>
      </c>
    </row>
    <row r="171" spans="1:65" x14ac:dyDescent="0.2">
      <c r="A171" s="21" t="s">
        <v>1413</v>
      </c>
      <c r="B171" s="21" t="s">
        <v>1414</v>
      </c>
      <c r="C171" s="21" t="s">
        <v>533</v>
      </c>
      <c r="D171" s="21">
        <v>1569167</v>
      </c>
      <c r="E171" s="21">
        <v>1620627</v>
      </c>
      <c r="F171" s="21">
        <v>1780151</v>
      </c>
      <c r="G171" s="21">
        <v>1737441</v>
      </c>
      <c r="H171" s="21">
        <v>1852542</v>
      </c>
      <c r="I171" s="21">
        <v>2026320</v>
      </c>
      <c r="J171" s="21">
        <v>2028381</v>
      </c>
      <c r="K171" s="21">
        <v>2310877</v>
      </c>
      <c r="L171" s="21">
        <v>2313457</v>
      </c>
      <c r="M171" s="21">
        <v>2613763</v>
      </c>
      <c r="N171" s="21">
        <v>2599507</v>
      </c>
      <c r="O171" s="21">
        <v>2790405</v>
      </c>
      <c r="P171" s="21">
        <v>2829445</v>
      </c>
      <c r="Q171" s="21">
        <v>2826675</v>
      </c>
      <c r="R171" s="21">
        <v>3143378</v>
      </c>
      <c r="S171" s="21">
        <v>3122285</v>
      </c>
      <c r="T171" s="21">
        <v>2942893</v>
      </c>
      <c r="U171" s="21">
        <v>2300652</v>
      </c>
      <c r="V171" s="21">
        <v>2905420</v>
      </c>
      <c r="W171" s="21">
        <v>2896591</v>
      </c>
      <c r="X171" s="21">
        <v>2867306</v>
      </c>
      <c r="Y171" s="21">
        <v>2724925</v>
      </c>
      <c r="Z171" s="21">
        <v>3232512</v>
      </c>
      <c r="AA171" s="21">
        <v>3494005</v>
      </c>
      <c r="AB171" s="21">
        <v>3352809</v>
      </c>
      <c r="AC171" s="21">
        <v>2937168</v>
      </c>
      <c r="AD171" s="21">
        <v>3038157</v>
      </c>
      <c r="AE171" s="21">
        <v>2601572</v>
      </c>
      <c r="AF171" s="21">
        <v>2301629</v>
      </c>
      <c r="AG171" s="21">
        <v>2808182</v>
      </c>
      <c r="AH171" s="21">
        <v>3014012</v>
      </c>
      <c r="AI171" s="21">
        <v>2984899</v>
      </c>
      <c r="AJ171" s="21">
        <v>2585662</v>
      </c>
      <c r="AK171" s="21">
        <v>2860991</v>
      </c>
      <c r="AL171" s="21">
        <v>2620314</v>
      </c>
      <c r="AM171" s="21">
        <v>3149392</v>
      </c>
      <c r="AN171" s="21">
        <v>3527582</v>
      </c>
      <c r="AO171" s="21">
        <v>3581168</v>
      </c>
      <c r="AP171" s="21">
        <v>3241286</v>
      </c>
      <c r="AQ171" s="21">
        <v>3217744</v>
      </c>
      <c r="AR171" s="21">
        <v>2767916</v>
      </c>
      <c r="AS171" s="21">
        <v>2208671</v>
      </c>
      <c r="AT171" s="21">
        <v>2649979</v>
      </c>
      <c r="AU171" s="21">
        <v>2749056</v>
      </c>
      <c r="AV171" s="21">
        <v>2654880</v>
      </c>
      <c r="AW171" s="21">
        <v>2670131</v>
      </c>
      <c r="AX171" s="21">
        <v>2839353</v>
      </c>
      <c r="AY171" s="21">
        <v>2429909</v>
      </c>
      <c r="AZ171" s="21">
        <v>2494003</v>
      </c>
      <c r="BA171" s="21">
        <v>2649898</v>
      </c>
      <c r="BB171" s="21">
        <v>2521486</v>
      </c>
      <c r="BC171" s="21">
        <v>3085127</v>
      </c>
      <c r="BD171" s="21">
        <v>2606047</v>
      </c>
      <c r="BE171" s="21">
        <v>2528923</v>
      </c>
      <c r="BF171" s="21">
        <v>2453761</v>
      </c>
      <c r="BG171" s="21">
        <v>2306479</v>
      </c>
      <c r="BH171" s="21">
        <v>2457656</v>
      </c>
      <c r="BI171" s="21">
        <v>2750530</v>
      </c>
      <c r="BJ171" s="21">
        <v>2648861</v>
      </c>
      <c r="BK171" s="21">
        <v>2550917</v>
      </c>
      <c r="BL171" s="21">
        <v>2490348</v>
      </c>
      <c r="BM171" s="21">
        <v>2214458</v>
      </c>
    </row>
    <row r="172" spans="1:65" x14ac:dyDescent="0.2">
      <c r="A172" s="21" t="s">
        <v>1413</v>
      </c>
      <c r="B172" s="21" t="s">
        <v>1414</v>
      </c>
      <c r="C172" s="21" t="s">
        <v>535</v>
      </c>
      <c r="D172" s="21">
        <v>145833</v>
      </c>
      <c r="E172" s="21">
        <v>152172</v>
      </c>
      <c r="F172" s="21">
        <v>168607</v>
      </c>
      <c r="G172" s="21">
        <v>165755</v>
      </c>
      <c r="H172" s="21">
        <v>177073</v>
      </c>
      <c r="I172" s="21">
        <v>193851</v>
      </c>
      <c r="J172" s="21">
        <v>194756</v>
      </c>
      <c r="K172" s="21">
        <v>221518</v>
      </c>
      <c r="L172" s="21">
        <v>222491</v>
      </c>
      <c r="M172" s="21">
        <v>250193</v>
      </c>
      <c r="N172" s="21">
        <v>247714</v>
      </c>
      <c r="O172" s="21">
        <v>266311</v>
      </c>
      <c r="P172" s="21">
        <v>272613</v>
      </c>
      <c r="Q172" s="21">
        <v>272083</v>
      </c>
      <c r="R172" s="21">
        <v>301032</v>
      </c>
      <c r="S172" s="21">
        <v>300047</v>
      </c>
      <c r="T172" s="21">
        <v>283707</v>
      </c>
      <c r="U172" s="21">
        <v>220475</v>
      </c>
      <c r="V172" s="21">
        <v>280419</v>
      </c>
      <c r="W172" s="21">
        <v>279783</v>
      </c>
      <c r="X172" s="21">
        <v>276021</v>
      </c>
      <c r="Y172" s="21">
        <v>260684</v>
      </c>
      <c r="Z172" s="21">
        <v>309213</v>
      </c>
      <c r="AA172" s="21">
        <v>332130</v>
      </c>
      <c r="AB172" s="21">
        <v>321150</v>
      </c>
      <c r="AC172" s="21">
        <v>281149</v>
      </c>
      <c r="AD172" s="21">
        <v>290844</v>
      </c>
      <c r="AE172" s="21">
        <v>249695</v>
      </c>
      <c r="AF172" s="21">
        <v>222940</v>
      </c>
      <c r="AG172" s="21">
        <v>269189</v>
      </c>
      <c r="AH172" s="21">
        <v>289753</v>
      </c>
      <c r="AI172" s="21">
        <v>286019</v>
      </c>
      <c r="AJ172" s="21">
        <v>250016</v>
      </c>
      <c r="AK172" s="21">
        <v>277524</v>
      </c>
      <c r="AL172" s="21">
        <v>254005</v>
      </c>
      <c r="AM172" s="21">
        <v>305410</v>
      </c>
      <c r="AN172" s="21">
        <v>341159</v>
      </c>
      <c r="AO172" s="21">
        <v>350648</v>
      </c>
      <c r="AP172" s="21">
        <v>317867</v>
      </c>
      <c r="AQ172" s="21">
        <v>314663</v>
      </c>
      <c r="AR172" s="21">
        <v>271338</v>
      </c>
      <c r="AS172" s="21">
        <v>213749</v>
      </c>
      <c r="AT172" s="21">
        <v>260491</v>
      </c>
      <c r="AU172" s="21">
        <v>271512</v>
      </c>
      <c r="AV172" s="21">
        <v>265064</v>
      </c>
      <c r="AW172" s="21">
        <v>267040</v>
      </c>
      <c r="AX172" s="21">
        <v>286254</v>
      </c>
      <c r="AY172" s="21">
        <v>245843</v>
      </c>
      <c r="AZ172" s="21">
        <v>253096</v>
      </c>
      <c r="BA172" s="21">
        <v>271506</v>
      </c>
      <c r="BB172" s="21">
        <v>258455</v>
      </c>
      <c r="BC172" s="21">
        <v>317531</v>
      </c>
      <c r="BD172" s="21">
        <v>273859</v>
      </c>
      <c r="BE172" s="21">
        <v>265058</v>
      </c>
      <c r="BF172" s="21">
        <v>258046</v>
      </c>
      <c r="BG172" s="21">
        <v>247636</v>
      </c>
      <c r="BH172" s="21">
        <v>266326</v>
      </c>
      <c r="BI172" s="21">
        <v>298711</v>
      </c>
      <c r="BJ172" s="21">
        <v>291148</v>
      </c>
      <c r="BK172" s="21">
        <v>286652</v>
      </c>
      <c r="BL172" s="21">
        <v>284059</v>
      </c>
      <c r="BM172" s="21">
        <v>250391</v>
      </c>
    </row>
    <row r="173" spans="1:65" x14ac:dyDescent="0.2">
      <c r="A173" s="21" t="s">
        <v>1413</v>
      </c>
      <c r="B173" s="21" t="s">
        <v>1414</v>
      </c>
      <c r="C173" s="21" t="s">
        <v>537</v>
      </c>
      <c r="D173" s="21">
        <v>38808</v>
      </c>
      <c r="E173" s="21">
        <v>35836</v>
      </c>
      <c r="F173" s="21">
        <v>35990</v>
      </c>
      <c r="G173" s="21">
        <v>33914</v>
      </c>
      <c r="H173" s="21">
        <v>33772</v>
      </c>
      <c r="I173" s="21">
        <v>32757</v>
      </c>
      <c r="J173" s="21">
        <v>33138</v>
      </c>
      <c r="K173" s="21">
        <v>35787</v>
      </c>
      <c r="L173" s="21">
        <v>35172</v>
      </c>
      <c r="M173" s="21">
        <v>34220</v>
      </c>
      <c r="N173" s="21">
        <v>34040</v>
      </c>
      <c r="O173" s="21">
        <v>33746</v>
      </c>
      <c r="P173" s="21">
        <v>34420</v>
      </c>
      <c r="Q173" s="21">
        <v>34773</v>
      </c>
      <c r="R173" s="21">
        <v>33202</v>
      </c>
      <c r="S173" s="21">
        <v>32321</v>
      </c>
      <c r="T173" s="21">
        <v>33372</v>
      </c>
      <c r="U173" s="21">
        <v>32601</v>
      </c>
      <c r="V173" s="21">
        <v>31563</v>
      </c>
      <c r="W173" s="21">
        <v>34094</v>
      </c>
      <c r="X173" s="21">
        <v>32838</v>
      </c>
      <c r="Y173" s="21">
        <v>33043</v>
      </c>
      <c r="Z173" s="21">
        <v>33046</v>
      </c>
      <c r="AA173" s="21">
        <v>33255</v>
      </c>
      <c r="AB173" s="21">
        <v>33002</v>
      </c>
      <c r="AC173" s="21">
        <v>33024</v>
      </c>
      <c r="AD173" s="21">
        <v>33021</v>
      </c>
      <c r="AE173" s="21">
        <v>32936</v>
      </c>
      <c r="AF173" s="21">
        <v>32635</v>
      </c>
      <c r="AG173" s="21">
        <v>28396</v>
      </c>
      <c r="AH173" s="21">
        <v>30947</v>
      </c>
      <c r="AI173" s="21">
        <v>29675</v>
      </c>
      <c r="AJ173" s="21">
        <v>30508</v>
      </c>
      <c r="AK173" s="21">
        <v>29593</v>
      </c>
      <c r="AL173" s="21">
        <v>62186</v>
      </c>
      <c r="AM173" s="21">
        <v>54695</v>
      </c>
      <c r="AN173" s="21">
        <v>60773</v>
      </c>
      <c r="AO173" s="21">
        <v>58062</v>
      </c>
      <c r="AP173" s="21">
        <v>54539</v>
      </c>
      <c r="AQ173" s="21">
        <v>48658</v>
      </c>
      <c r="AR173" s="21">
        <v>42183</v>
      </c>
      <c r="AS173" s="21">
        <v>32500</v>
      </c>
      <c r="AT173" s="21">
        <v>38908</v>
      </c>
      <c r="AU173" s="21">
        <v>42752</v>
      </c>
      <c r="AV173" s="21">
        <v>32537</v>
      </c>
      <c r="AW173" s="21">
        <v>31951</v>
      </c>
      <c r="AX173" s="21">
        <v>28756</v>
      </c>
      <c r="AY173" s="21">
        <v>15715</v>
      </c>
      <c r="AZ173" s="21">
        <v>16514</v>
      </c>
      <c r="BA173" s="21">
        <v>18235</v>
      </c>
      <c r="BB173" s="21">
        <v>16270</v>
      </c>
      <c r="BC173" s="21">
        <v>17477</v>
      </c>
      <c r="BD173" s="21">
        <v>22393</v>
      </c>
      <c r="BE173" s="21">
        <v>33040</v>
      </c>
      <c r="BF173" s="21">
        <v>12191</v>
      </c>
      <c r="BG173" s="21">
        <v>13128</v>
      </c>
      <c r="BH173" s="21">
        <v>11712</v>
      </c>
      <c r="BI173" s="21">
        <v>12729</v>
      </c>
      <c r="BJ173" s="21">
        <v>10454</v>
      </c>
      <c r="BK173" s="21">
        <v>9196</v>
      </c>
      <c r="BL173" s="21">
        <v>8775</v>
      </c>
      <c r="BM173" s="21">
        <v>8279</v>
      </c>
    </row>
    <row r="174" spans="1:65" x14ac:dyDescent="0.2">
      <c r="A174" s="21" t="s">
        <v>1413</v>
      </c>
      <c r="B174" s="21" t="s">
        <v>1414</v>
      </c>
      <c r="C174" s="21" t="s">
        <v>539</v>
      </c>
      <c r="D174" s="21">
        <v>3607</v>
      </c>
      <c r="E174" s="21">
        <v>3365</v>
      </c>
      <c r="F174" s="21">
        <v>3409</v>
      </c>
      <c r="G174" s="21">
        <v>3235</v>
      </c>
      <c r="H174" s="21">
        <v>3228</v>
      </c>
      <c r="I174" s="21">
        <v>3134</v>
      </c>
      <c r="J174" s="21">
        <v>3182</v>
      </c>
      <c r="K174" s="21">
        <v>3430</v>
      </c>
      <c r="L174" s="21">
        <v>3383</v>
      </c>
      <c r="M174" s="21">
        <v>3276</v>
      </c>
      <c r="N174" s="21">
        <v>3244</v>
      </c>
      <c r="O174" s="21">
        <v>3221</v>
      </c>
      <c r="P174" s="21">
        <v>3316</v>
      </c>
      <c r="Q174" s="21">
        <v>3347</v>
      </c>
      <c r="R174" s="21">
        <v>3180</v>
      </c>
      <c r="S174" s="21">
        <v>3106</v>
      </c>
      <c r="T174" s="21">
        <v>3217</v>
      </c>
      <c r="U174" s="21">
        <v>3124</v>
      </c>
      <c r="V174" s="21">
        <v>3046</v>
      </c>
      <c r="W174" s="21">
        <v>3293</v>
      </c>
      <c r="X174" s="21">
        <v>3161</v>
      </c>
      <c r="Y174" s="21">
        <v>3161</v>
      </c>
      <c r="Z174" s="21">
        <v>3161</v>
      </c>
      <c r="AA174" s="21">
        <v>3161</v>
      </c>
      <c r="AB174" s="21">
        <v>3161</v>
      </c>
      <c r="AC174" s="21">
        <v>3161</v>
      </c>
      <c r="AD174" s="21">
        <v>3161</v>
      </c>
      <c r="AE174" s="21">
        <v>3161</v>
      </c>
      <c r="AF174" s="21">
        <v>3161</v>
      </c>
      <c r="AG174" s="21">
        <v>2722</v>
      </c>
      <c r="AH174" s="21">
        <v>2975</v>
      </c>
      <c r="AI174" s="21">
        <v>2844</v>
      </c>
      <c r="AJ174" s="21">
        <v>2950</v>
      </c>
      <c r="AK174" s="21">
        <v>2871</v>
      </c>
      <c r="AL174" s="21">
        <v>6028</v>
      </c>
      <c r="AM174" s="21">
        <v>5304</v>
      </c>
      <c r="AN174" s="21">
        <v>5878</v>
      </c>
      <c r="AO174" s="21">
        <v>5685</v>
      </c>
      <c r="AP174" s="21">
        <v>5349</v>
      </c>
      <c r="AQ174" s="21">
        <v>4758</v>
      </c>
      <c r="AR174" s="21">
        <v>4135</v>
      </c>
      <c r="AS174" s="21">
        <v>3145</v>
      </c>
      <c r="AT174" s="21">
        <v>3825</v>
      </c>
      <c r="AU174" s="21">
        <v>4222</v>
      </c>
      <c r="AV174" s="21">
        <v>3248</v>
      </c>
      <c r="AW174" s="21">
        <v>3195</v>
      </c>
      <c r="AX174" s="21">
        <v>2899</v>
      </c>
      <c r="AY174" s="21">
        <v>1590</v>
      </c>
      <c r="AZ174" s="21">
        <v>1676</v>
      </c>
      <c r="BA174" s="21">
        <v>1868</v>
      </c>
      <c r="BB174" s="21">
        <v>1668</v>
      </c>
      <c r="BC174" s="21">
        <v>1799</v>
      </c>
      <c r="BD174" s="21">
        <v>2353</v>
      </c>
      <c r="BE174" s="21">
        <v>3463</v>
      </c>
      <c r="BF174" s="21">
        <v>1282</v>
      </c>
      <c r="BG174" s="21">
        <v>1410</v>
      </c>
      <c r="BH174" s="21">
        <v>1269</v>
      </c>
      <c r="BI174" s="21">
        <v>1382</v>
      </c>
      <c r="BJ174" s="21">
        <v>1149</v>
      </c>
      <c r="BK174" s="21">
        <v>1033</v>
      </c>
      <c r="BL174" s="21">
        <v>1001</v>
      </c>
      <c r="BM174" s="21">
        <v>936</v>
      </c>
    </row>
    <row r="175" spans="1:65" x14ac:dyDescent="0.2">
      <c r="A175" s="21" t="s">
        <v>1413</v>
      </c>
      <c r="B175" s="21" t="s">
        <v>1414</v>
      </c>
      <c r="C175" s="21" t="s">
        <v>541</v>
      </c>
      <c r="D175" s="21">
        <v>1607975</v>
      </c>
      <c r="E175" s="21">
        <v>1656464</v>
      </c>
      <c r="F175" s="21">
        <v>1816141</v>
      </c>
      <c r="G175" s="21">
        <v>1771354</v>
      </c>
      <c r="H175" s="21">
        <v>1886314</v>
      </c>
      <c r="I175" s="21">
        <v>2059077</v>
      </c>
      <c r="J175" s="21">
        <v>2061519</v>
      </c>
      <c r="K175" s="21">
        <v>2346664</v>
      </c>
      <c r="L175" s="21">
        <v>2348629</v>
      </c>
      <c r="M175" s="21">
        <v>2647982</v>
      </c>
      <c r="N175" s="21">
        <v>2633548</v>
      </c>
      <c r="O175" s="21">
        <v>2824150</v>
      </c>
      <c r="P175" s="21">
        <v>2863865</v>
      </c>
      <c r="Q175" s="21">
        <v>2861448</v>
      </c>
      <c r="R175" s="21">
        <v>3176580</v>
      </c>
      <c r="S175" s="21">
        <v>3154607</v>
      </c>
      <c r="T175" s="21">
        <v>2976265</v>
      </c>
      <c r="U175" s="21">
        <v>2333252</v>
      </c>
      <c r="V175" s="21">
        <v>2936983</v>
      </c>
      <c r="W175" s="21">
        <v>2930686</v>
      </c>
      <c r="X175" s="21">
        <v>2900144</v>
      </c>
      <c r="Y175" s="21">
        <v>2757968</v>
      </c>
      <c r="Z175" s="21">
        <v>3265558</v>
      </c>
      <c r="AA175" s="21">
        <v>3527260</v>
      </c>
      <c r="AB175" s="21">
        <v>3385811</v>
      </c>
      <c r="AC175" s="21">
        <v>2970192</v>
      </c>
      <c r="AD175" s="21">
        <v>3071179</v>
      </c>
      <c r="AE175" s="21">
        <v>2634508</v>
      </c>
      <c r="AF175" s="21">
        <v>2334265</v>
      </c>
      <c r="AG175" s="21">
        <v>2837263</v>
      </c>
      <c r="AH175" s="21">
        <v>3046391</v>
      </c>
      <c r="AI175" s="21">
        <v>3015943</v>
      </c>
      <c r="AJ175" s="21">
        <v>2617436</v>
      </c>
      <c r="AK175" s="21">
        <v>2891613</v>
      </c>
      <c r="AL175" s="21">
        <v>2683457</v>
      </c>
      <c r="AM175" s="21">
        <v>3205307</v>
      </c>
      <c r="AN175" s="21">
        <v>3589656</v>
      </c>
      <c r="AO175" s="21">
        <v>3640457</v>
      </c>
      <c r="AP175" s="21">
        <v>3297054</v>
      </c>
      <c r="AQ175" s="21">
        <v>3267575</v>
      </c>
      <c r="AR175" s="21">
        <v>2811116</v>
      </c>
      <c r="AS175" s="21">
        <v>2241858</v>
      </c>
      <c r="AT175" s="21">
        <v>2689017</v>
      </c>
      <c r="AU175" s="21">
        <v>2792539</v>
      </c>
      <c r="AV175" s="21">
        <v>2688468</v>
      </c>
      <c r="AW175" s="21">
        <v>2702942</v>
      </c>
      <c r="AX175" s="21">
        <v>2869035</v>
      </c>
      <c r="AY175" s="21">
        <v>2446389</v>
      </c>
      <c r="AZ175" s="21">
        <v>2511108</v>
      </c>
      <c r="BA175" s="21">
        <v>2668824</v>
      </c>
      <c r="BB175" s="21">
        <v>2538541</v>
      </c>
      <c r="BC175" s="21">
        <v>3102852</v>
      </c>
      <c r="BD175" s="21">
        <v>2628702</v>
      </c>
      <c r="BE175" s="21">
        <v>2562382</v>
      </c>
      <c r="BF175" s="21">
        <v>2466317</v>
      </c>
      <c r="BG175" s="21">
        <v>2319932</v>
      </c>
      <c r="BH175" s="21">
        <v>2471371</v>
      </c>
      <c r="BI175" s="21">
        <v>2765466</v>
      </c>
      <c r="BJ175" s="21">
        <v>2661383</v>
      </c>
      <c r="BK175" s="21">
        <v>2561788</v>
      </c>
      <c r="BL175" s="21">
        <v>2500996</v>
      </c>
      <c r="BM175" s="21">
        <v>2225016</v>
      </c>
    </row>
    <row r="176" spans="1:65" x14ac:dyDescent="0.2">
      <c r="A176" s="21" t="s">
        <v>1413</v>
      </c>
      <c r="B176" s="21" t="s">
        <v>1414</v>
      </c>
      <c r="C176" s="21" t="s">
        <v>543</v>
      </c>
      <c r="D176" s="21">
        <v>149440</v>
      </c>
      <c r="E176" s="21">
        <v>155536</v>
      </c>
      <c r="F176" s="21">
        <v>172016</v>
      </c>
      <c r="G176" s="21">
        <v>168990</v>
      </c>
      <c r="H176" s="21">
        <v>180302</v>
      </c>
      <c r="I176" s="21">
        <v>196984</v>
      </c>
      <c r="J176" s="21">
        <v>197938</v>
      </c>
      <c r="K176" s="21">
        <v>224949</v>
      </c>
      <c r="L176" s="21">
        <v>225873</v>
      </c>
      <c r="M176" s="21">
        <v>253468</v>
      </c>
      <c r="N176" s="21">
        <v>250957</v>
      </c>
      <c r="O176" s="21">
        <v>269531</v>
      </c>
      <c r="P176" s="21">
        <v>275929</v>
      </c>
      <c r="Q176" s="21">
        <v>275431</v>
      </c>
      <c r="R176" s="21">
        <v>304212</v>
      </c>
      <c r="S176" s="21">
        <v>303153</v>
      </c>
      <c r="T176" s="21">
        <v>286924</v>
      </c>
      <c r="U176" s="21">
        <v>223599</v>
      </c>
      <c r="V176" s="21">
        <v>283465</v>
      </c>
      <c r="W176" s="21">
        <v>283076</v>
      </c>
      <c r="X176" s="21">
        <v>279182</v>
      </c>
      <c r="Y176" s="21">
        <v>263845</v>
      </c>
      <c r="Z176" s="21">
        <v>312374</v>
      </c>
      <c r="AA176" s="21">
        <v>335291</v>
      </c>
      <c r="AB176" s="21">
        <v>324311</v>
      </c>
      <c r="AC176" s="21">
        <v>284311</v>
      </c>
      <c r="AD176" s="21">
        <v>294005</v>
      </c>
      <c r="AE176" s="21">
        <v>252856</v>
      </c>
      <c r="AF176" s="21">
        <v>226101</v>
      </c>
      <c r="AG176" s="21">
        <v>271977</v>
      </c>
      <c r="AH176" s="21">
        <v>292866</v>
      </c>
      <c r="AI176" s="21">
        <v>288994</v>
      </c>
      <c r="AJ176" s="21">
        <v>253088</v>
      </c>
      <c r="AK176" s="21">
        <v>280494</v>
      </c>
      <c r="AL176" s="21">
        <v>260126</v>
      </c>
      <c r="AM176" s="21">
        <v>310833</v>
      </c>
      <c r="AN176" s="21">
        <v>347162</v>
      </c>
      <c r="AO176" s="21">
        <v>356453</v>
      </c>
      <c r="AP176" s="21">
        <v>323336</v>
      </c>
      <c r="AQ176" s="21">
        <v>319536</v>
      </c>
      <c r="AR176" s="21">
        <v>275573</v>
      </c>
      <c r="AS176" s="21">
        <v>216961</v>
      </c>
      <c r="AT176" s="21">
        <v>264329</v>
      </c>
      <c r="AU176" s="21">
        <v>275806</v>
      </c>
      <c r="AV176" s="21">
        <v>268417</v>
      </c>
      <c r="AW176" s="21">
        <v>270321</v>
      </c>
      <c r="AX176" s="21">
        <v>289246</v>
      </c>
      <c r="AY176" s="21">
        <v>247510</v>
      </c>
      <c r="AZ176" s="21">
        <v>254831</v>
      </c>
      <c r="BA176" s="21">
        <v>273445</v>
      </c>
      <c r="BB176" s="21">
        <v>260203</v>
      </c>
      <c r="BC176" s="21">
        <v>319355</v>
      </c>
      <c r="BD176" s="21">
        <v>276240</v>
      </c>
      <c r="BE176" s="21">
        <v>268565</v>
      </c>
      <c r="BF176" s="21">
        <v>259367</v>
      </c>
      <c r="BG176" s="21">
        <v>249080</v>
      </c>
      <c r="BH176" s="21">
        <v>267812</v>
      </c>
      <c r="BI176" s="21">
        <v>300333</v>
      </c>
      <c r="BJ176" s="21">
        <v>292524</v>
      </c>
      <c r="BK176" s="21">
        <v>287874</v>
      </c>
      <c r="BL176" s="21">
        <v>285274</v>
      </c>
      <c r="BM176" s="21">
        <v>251585</v>
      </c>
    </row>
    <row r="177" spans="1:65" x14ac:dyDescent="0.2">
      <c r="A177" s="21" t="s">
        <v>1413</v>
      </c>
      <c r="B177" s="21" t="s">
        <v>1414</v>
      </c>
      <c r="C177" s="21" t="s">
        <v>545</v>
      </c>
      <c r="D177" s="21">
        <v>38808</v>
      </c>
      <c r="E177" s="21">
        <v>35836</v>
      </c>
      <c r="F177" s="21">
        <v>35990</v>
      </c>
      <c r="G177" s="21">
        <v>33914</v>
      </c>
      <c r="H177" s="21">
        <v>33772</v>
      </c>
      <c r="I177" s="21">
        <v>32757</v>
      </c>
      <c r="J177" s="21">
        <v>33138</v>
      </c>
      <c r="K177" s="21">
        <v>35787</v>
      </c>
      <c r="L177" s="21">
        <v>35172</v>
      </c>
      <c r="M177" s="21">
        <v>34220</v>
      </c>
      <c r="N177" s="21">
        <v>34040</v>
      </c>
      <c r="O177" s="21">
        <v>33746</v>
      </c>
      <c r="P177" s="21">
        <v>34420</v>
      </c>
      <c r="Q177" s="21">
        <v>34773</v>
      </c>
      <c r="R177" s="21">
        <v>33202</v>
      </c>
      <c r="S177" s="21">
        <v>32321</v>
      </c>
      <c r="T177" s="21">
        <v>33372</v>
      </c>
      <c r="U177" s="21">
        <v>32601</v>
      </c>
      <c r="V177" s="21">
        <v>31563</v>
      </c>
      <c r="W177" s="21">
        <v>34094</v>
      </c>
      <c r="X177" s="21">
        <v>32838</v>
      </c>
      <c r="Y177" s="21">
        <v>33043</v>
      </c>
      <c r="Z177" s="21">
        <v>33046</v>
      </c>
      <c r="AA177" s="21">
        <v>33255</v>
      </c>
      <c r="AB177" s="21">
        <v>33002</v>
      </c>
      <c r="AC177" s="21">
        <v>33024</v>
      </c>
      <c r="AD177" s="21">
        <v>33021</v>
      </c>
      <c r="AE177" s="21">
        <v>32936</v>
      </c>
      <c r="AF177" s="21">
        <v>32635</v>
      </c>
      <c r="AG177" s="21">
        <v>29082</v>
      </c>
      <c r="AH177" s="21">
        <v>32379</v>
      </c>
      <c r="AI177" s="21">
        <v>31044</v>
      </c>
      <c r="AJ177" s="21">
        <v>31774</v>
      </c>
      <c r="AK177" s="21">
        <v>30621</v>
      </c>
      <c r="AL177" s="21">
        <v>63143</v>
      </c>
      <c r="AM177" s="21">
        <v>55915</v>
      </c>
      <c r="AN177" s="21">
        <v>62073</v>
      </c>
      <c r="AO177" s="21">
        <v>59290</v>
      </c>
      <c r="AP177" s="21">
        <v>55768</v>
      </c>
      <c r="AQ177" s="21">
        <v>49831</v>
      </c>
      <c r="AR177" s="21">
        <v>43200</v>
      </c>
      <c r="AS177" s="21">
        <v>33187</v>
      </c>
      <c r="AT177" s="21">
        <v>39038</v>
      </c>
      <c r="AU177" s="21">
        <v>43484</v>
      </c>
      <c r="AV177" s="21">
        <v>33588</v>
      </c>
      <c r="AW177" s="21">
        <v>32811</v>
      </c>
      <c r="AX177" s="21">
        <v>29683</v>
      </c>
      <c r="AY177" s="21">
        <v>16479</v>
      </c>
      <c r="AZ177" s="21">
        <v>17105</v>
      </c>
      <c r="BA177" s="21">
        <v>18927</v>
      </c>
      <c r="BB177" s="21">
        <v>17055</v>
      </c>
      <c r="BC177" s="21">
        <v>17726</v>
      </c>
      <c r="BD177" s="21">
        <v>22655</v>
      </c>
      <c r="BE177" s="21">
        <v>33460</v>
      </c>
      <c r="BF177" s="21">
        <v>12556</v>
      </c>
      <c r="BG177" s="21">
        <v>13453</v>
      </c>
      <c r="BH177" s="21">
        <v>13715</v>
      </c>
      <c r="BI177" s="21">
        <v>14936</v>
      </c>
      <c r="BJ177" s="21">
        <v>12522</v>
      </c>
      <c r="BK177" s="21">
        <v>10872</v>
      </c>
      <c r="BL177" s="21">
        <v>10648</v>
      </c>
      <c r="BM177" s="21">
        <v>10559</v>
      </c>
    </row>
    <row r="178" spans="1:65" x14ac:dyDescent="0.2">
      <c r="A178" s="21" t="s">
        <v>1413</v>
      </c>
      <c r="B178" s="21" t="s">
        <v>1414</v>
      </c>
      <c r="C178" s="21" t="s">
        <v>547</v>
      </c>
      <c r="D178" s="21">
        <v>3607</v>
      </c>
      <c r="E178" s="21">
        <v>3365</v>
      </c>
      <c r="F178" s="21">
        <v>3409</v>
      </c>
      <c r="G178" s="21">
        <v>3235</v>
      </c>
      <c r="H178" s="21">
        <v>3228</v>
      </c>
      <c r="I178" s="21">
        <v>3134</v>
      </c>
      <c r="J178" s="21">
        <v>3182</v>
      </c>
      <c r="K178" s="21">
        <v>3430</v>
      </c>
      <c r="L178" s="21">
        <v>3383</v>
      </c>
      <c r="M178" s="21">
        <v>3276</v>
      </c>
      <c r="N178" s="21">
        <v>3244</v>
      </c>
      <c r="O178" s="21">
        <v>3221</v>
      </c>
      <c r="P178" s="21">
        <v>3316</v>
      </c>
      <c r="Q178" s="21">
        <v>3347</v>
      </c>
      <c r="R178" s="21">
        <v>3180</v>
      </c>
      <c r="S178" s="21">
        <v>3106</v>
      </c>
      <c r="T178" s="21">
        <v>3217</v>
      </c>
      <c r="U178" s="21">
        <v>3124</v>
      </c>
      <c r="V178" s="21">
        <v>3046</v>
      </c>
      <c r="W178" s="21">
        <v>3293</v>
      </c>
      <c r="X178" s="21">
        <v>3161</v>
      </c>
      <c r="Y178" s="21">
        <v>3161</v>
      </c>
      <c r="Z178" s="21">
        <v>3161</v>
      </c>
      <c r="AA178" s="21">
        <v>3161</v>
      </c>
      <c r="AB178" s="21">
        <v>3161</v>
      </c>
      <c r="AC178" s="21">
        <v>3161</v>
      </c>
      <c r="AD178" s="21">
        <v>3161</v>
      </c>
      <c r="AE178" s="21">
        <v>3161</v>
      </c>
      <c r="AF178" s="21">
        <v>3161</v>
      </c>
      <c r="AG178" s="21">
        <v>2788</v>
      </c>
      <c r="AH178" s="21">
        <v>3113</v>
      </c>
      <c r="AI178" s="21">
        <v>2975</v>
      </c>
      <c r="AJ178" s="21">
        <v>3072</v>
      </c>
      <c r="AK178" s="21">
        <v>2970</v>
      </c>
      <c r="AL178" s="21">
        <v>6121</v>
      </c>
      <c r="AM178" s="21">
        <v>5422</v>
      </c>
      <c r="AN178" s="21">
        <v>6003</v>
      </c>
      <c r="AO178" s="21">
        <v>5805</v>
      </c>
      <c r="AP178" s="21">
        <v>5469</v>
      </c>
      <c r="AQ178" s="21">
        <v>4873</v>
      </c>
      <c r="AR178" s="21">
        <v>4235</v>
      </c>
      <c r="AS178" s="21">
        <v>3212</v>
      </c>
      <c r="AT178" s="21">
        <v>3837</v>
      </c>
      <c r="AU178" s="21">
        <v>4295</v>
      </c>
      <c r="AV178" s="21">
        <v>3353</v>
      </c>
      <c r="AW178" s="21">
        <v>3281</v>
      </c>
      <c r="AX178" s="21">
        <v>2992</v>
      </c>
      <c r="AY178" s="21">
        <v>1667</v>
      </c>
      <c r="AZ178" s="21">
        <v>1736</v>
      </c>
      <c r="BA178" s="21">
        <v>1939</v>
      </c>
      <c r="BB178" s="21">
        <v>1748</v>
      </c>
      <c r="BC178" s="21">
        <v>1824</v>
      </c>
      <c r="BD178" s="21">
        <v>2381</v>
      </c>
      <c r="BE178" s="21">
        <v>3507</v>
      </c>
      <c r="BF178" s="21">
        <v>1320</v>
      </c>
      <c r="BG178" s="21">
        <v>1444</v>
      </c>
      <c r="BH178" s="21">
        <v>1486</v>
      </c>
      <c r="BI178" s="21">
        <v>1622</v>
      </c>
      <c r="BJ178" s="21">
        <v>1376</v>
      </c>
      <c r="BK178" s="21">
        <v>1222</v>
      </c>
      <c r="BL178" s="21">
        <v>1215</v>
      </c>
      <c r="BM178" s="21">
        <v>1194</v>
      </c>
    </row>
    <row r="179" spans="1:65" x14ac:dyDescent="0.2">
      <c r="A179" s="21" t="s">
        <v>1413</v>
      </c>
      <c r="B179" s="21" t="s">
        <v>1414</v>
      </c>
      <c r="C179" s="21" t="s">
        <v>549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>
        <v>37961</v>
      </c>
      <c r="BC179" s="21">
        <v>48979</v>
      </c>
      <c r="BD179" s="21">
        <v>61427</v>
      </c>
      <c r="BE179" s="21">
        <v>91867</v>
      </c>
      <c r="BF179" s="21">
        <v>95828</v>
      </c>
      <c r="BG179" s="21">
        <v>148731</v>
      </c>
      <c r="BH179" s="21">
        <v>196204</v>
      </c>
      <c r="BI179" s="21">
        <v>213287</v>
      </c>
      <c r="BJ179" s="21">
        <v>243731</v>
      </c>
      <c r="BK179" s="21">
        <v>285879</v>
      </c>
      <c r="BL179" s="21">
        <v>326885</v>
      </c>
      <c r="BM179" s="21">
        <v>337873</v>
      </c>
    </row>
    <row r="180" spans="1:65" x14ac:dyDescent="0.2">
      <c r="A180" s="21" t="s">
        <v>1413</v>
      </c>
      <c r="B180" s="21" t="s">
        <v>1414</v>
      </c>
      <c r="C180" s="21" t="s">
        <v>551</v>
      </c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>
        <v>9075</v>
      </c>
      <c r="BC180" s="21">
        <v>11709</v>
      </c>
      <c r="BD180" s="21">
        <v>14685</v>
      </c>
      <c r="BE180" s="21">
        <v>21962</v>
      </c>
      <c r="BF180" s="21">
        <v>22909</v>
      </c>
      <c r="BG180" s="21">
        <v>35556</v>
      </c>
      <c r="BH180" s="21">
        <v>46905</v>
      </c>
      <c r="BI180" s="21">
        <v>50989</v>
      </c>
      <c r="BJ180" s="21">
        <v>58267</v>
      </c>
      <c r="BK180" s="21">
        <v>68343</v>
      </c>
      <c r="BL180" s="21">
        <v>78146</v>
      </c>
      <c r="BM180" s="21">
        <v>80773</v>
      </c>
    </row>
    <row r="181" spans="1:65" x14ac:dyDescent="0.2">
      <c r="A181" s="21" t="s">
        <v>1413</v>
      </c>
      <c r="B181" s="21" t="s">
        <v>1414</v>
      </c>
      <c r="C181" s="21" t="s">
        <v>552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>
        <v>37961</v>
      </c>
      <c r="BC181" s="21">
        <v>48979</v>
      </c>
      <c r="BD181" s="21">
        <v>61427</v>
      </c>
      <c r="BE181" s="21">
        <v>91867</v>
      </c>
      <c r="BF181" s="21">
        <v>95828</v>
      </c>
      <c r="BG181" s="21">
        <v>148731</v>
      </c>
      <c r="BH181" s="21">
        <v>196204</v>
      </c>
      <c r="BI181" s="21">
        <v>213287</v>
      </c>
      <c r="BJ181" s="21">
        <v>243731</v>
      </c>
      <c r="BK181" s="21">
        <v>285879</v>
      </c>
      <c r="BL181" s="21">
        <v>326885</v>
      </c>
      <c r="BM181" s="21">
        <v>337873</v>
      </c>
    </row>
    <row r="182" spans="1:65" x14ac:dyDescent="0.2">
      <c r="A182" s="21" t="s">
        <v>1413</v>
      </c>
      <c r="B182" s="21" t="s">
        <v>1414</v>
      </c>
      <c r="C182" s="21" t="s">
        <v>554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>
        <v>9075</v>
      </c>
      <c r="BC182" s="21">
        <v>11709</v>
      </c>
      <c r="BD182" s="21">
        <v>14685</v>
      </c>
      <c r="BE182" s="21">
        <v>21962</v>
      </c>
      <c r="BF182" s="21">
        <v>22909</v>
      </c>
      <c r="BG182" s="21">
        <v>35556</v>
      </c>
      <c r="BH182" s="21">
        <v>46905</v>
      </c>
      <c r="BI182" s="21">
        <v>50989</v>
      </c>
      <c r="BJ182" s="21">
        <v>58267</v>
      </c>
      <c r="BK182" s="21">
        <v>68343</v>
      </c>
      <c r="BL182" s="21">
        <v>78146</v>
      </c>
      <c r="BM182" s="21">
        <v>80773</v>
      </c>
    </row>
    <row r="183" spans="1:65" x14ac:dyDescent="0.2">
      <c r="A183" s="21" t="s">
        <v>1413</v>
      </c>
      <c r="B183" s="21" t="s">
        <v>1414</v>
      </c>
      <c r="C183" s="21" t="s">
        <v>555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>
        <v>1193</v>
      </c>
      <c r="BC183" s="21">
        <v>2992</v>
      </c>
      <c r="BD183" s="21">
        <v>862</v>
      </c>
      <c r="BE183" s="21">
        <v>-740</v>
      </c>
      <c r="BF183" s="21">
        <v>-1102</v>
      </c>
      <c r="BG183" s="21">
        <v>-1224</v>
      </c>
      <c r="BH183" s="21">
        <v>775</v>
      </c>
      <c r="BI183" s="21">
        <v>1219</v>
      </c>
      <c r="BJ183" s="21">
        <v>-836</v>
      </c>
      <c r="BK183" s="21">
        <v>109</v>
      </c>
      <c r="BL183" s="21">
        <v>-314</v>
      </c>
      <c r="BM183" s="21">
        <v>-610</v>
      </c>
    </row>
    <row r="184" spans="1:65" x14ac:dyDescent="0.2">
      <c r="A184" s="21" t="s">
        <v>1413</v>
      </c>
      <c r="B184" s="21" t="s">
        <v>1414</v>
      </c>
      <c r="C184" s="21" t="s">
        <v>557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>
        <v>274</v>
      </c>
      <c r="BC184" s="21">
        <v>687</v>
      </c>
      <c r="BD184" s="21">
        <v>198</v>
      </c>
      <c r="BE184" s="21">
        <v>-170</v>
      </c>
      <c r="BF184" s="21">
        <v>-253</v>
      </c>
      <c r="BG184" s="21">
        <v>-281</v>
      </c>
      <c r="BH184" s="21">
        <v>178</v>
      </c>
      <c r="BI184" s="21">
        <v>280</v>
      </c>
      <c r="BJ184" s="21">
        <v>-192</v>
      </c>
      <c r="BK184" s="21">
        <v>25</v>
      </c>
      <c r="BL184" s="21">
        <v>-72</v>
      </c>
      <c r="BM184" s="21">
        <v>-140</v>
      </c>
    </row>
    <row r="185" spans="1:65" x14ac:dyDescent="0.2">
      <c r="A185" s="21" t="s">
        <v>1413</v>
      </c>
      <c r="B185" s="21" t="s">
        <v>1414</v>
      </c>
      <c r="C185" s="21" t="s">
        <v>558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>
        <v>1193</v>
      </c>
      <c r="BC185" s="21">
        <v>2992</v>
      </c>
      <c r="BD185" s="21">
        <v>862</v>
      </c>
      <c r="BE185" s="21">
        <v>-740</v>
      </c>
      <c r="BF185" s="21">
        <v>-1102</v>
      </c>
      <c r="BG185" s="21">
        <v>-1224</v>
      </c>
      <c r="BH185" s="21">
        <v>775</v>
      </c>
      <c r="BI185" s="21">
        <v>1219</v>
      </c>
      <c r="BJ185" s="21">
        <v>-836</v>
      </c>
      <c r="BK185" s="21">
        <v>109</v>
      </c>
      <c r="BL185" s="21">
        <v>-314</v>
      </c>
      <c r="BM185" s="21">
        <v>-610</v>
      </c>
    </row>
    <row r="186" spans="1:65" x14ac:dyDescent="0.2">
      <c r="A186" s="21" t="s">
        <v>1413</v>
      </c>
      <c r="B186" s="21" t="s">
        <v>1414</v>
      </c>
      <c r="C186" s="21" t="s">
        <v>560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>
        <v>274</v>
      </c>
      <c r="BC186" s="21">
        <v>687</v>
      </c>
      <c r="BD186" s="21">
        <v>198</v>
      </c>
      <c r="BE186" s="21">
        <v>-170</v>
      </c>
      <c r="BF186" s="21">
        <v>-253</v>
      </c>
      <c r="BG186" s="21">
        <v>-281</v>
      </c>
      <c r="BH186" s="21">
        <v>178</v>
      </c>
      <c r="BI186" s="21">
        <v>280</v>
      </c>
      <c r="BJ186" s="21">
        <v>-192</v>
      </c>
      <c r="BK186" s="21">
        <v>25</v>
      </c>
      <c r="BL186" s="21">
        <v>-72</v>
      </c>
      <c r="BM186" s="21">
        <v>-140</v>
      </c>
    </row>
    <row r="187" spans="1:65" x14ac:dyDescent="0.2">
      <c r="A187" s="21" t="s">
        <v>1413</v>
      </c>
      <c r="B187" s="21" t="s">
        <v>1414</v>
      </c>
      <c r="C187" s="21" t="s">
        <v>561</v>
      </c>
      <c r="D187" s="21">
        <v>738522</v>
      </c>
      <c r="E187" s="21">
        <v>826805</v>
      </c>
      <c r="F187" s="21">
        <v>976887</v>
      </c>
      <c r="G187" s="21">
        <v>1043682</v>
      </c>
      <c r="H187" s="21">
        <v>1120761</v>
      </c>
      <c r="I187" s="21">
        <v>1214502</v>
      </c>
      <c r="J187" s="21">
        <v>1353654</v>
      </c>
      <c r="K187" s="21">
        <v>1670229</v>
      </c>
      <c r="L187" s="21">
        <v>1941094</v>
      </c>
      <c r="M187" s="21">
        <v>2016832</v>
      </c>
      <c r="N187" s="21">
        <v>1972743</v>
      </c>
      <c r="O187" s="21">
        <v>2060819</v>
      </c>
      <c r="P187" s="21">
        <v>2090827</v>
      </c>
      <c r="Q187" s="21">
        <v>2131222</v>
      </c>
      <c r="R187" s="21">
        <v>2001059</v>
      </c>
      <c r="S187" s="21">
        <v>2029075</v>
      </c>
      <c r="T187" s="21">
        <v>2001988</v>
      </c>
      <c r="U187" s="21">
        <v>2090427</v>
      </c>
      <c r="V187" s="21">
        <v>2138257</v>
      </c>
      <c r="W187" s="21">
        <v>2185647</v>
      </c>
      <c r="X187" s="21">
        <v>2179372</v>
      </c>
      <c r="Y187" s="21">
        <v>2058169</v>
      </c>
      <c r="Z187" s="21">
        <v>2069044</v>
      </c>
      <c r="AA187" s="21">
        <v>2140915</v>
      </c>
      <c r="AB187" s="21">
        <v>2413720</v>
      </c>
      <c r="AC187" s="21">
        <v>2496888</v>
      </c>
      <c r="AD187" s="21">
        <v>2682354</v>
      </c>
      <c r="AE187" s="21">
        <v>2842819</v>
      </c>
      <c r="AF187" s="21">
        <v>2981766</v>
      </c>
      <c r="AG187" s="21">
        <v>3058904</v>
      </c>
      <c r="AH187" s="21">
        <v>3129491</v>
      </c>
      <c r="AI187" s="21">
        <v>3025005</v>
      </c>
      <c r="AJ187" s="21">
        <v>3001330</v>
      </c>
      <c r="AK187" s="21">
        <v>3028007</v>
      </c>
      <c r="AL187" s="21">
        <v>3154499</v>
      </c>
      <c r="AM187" s="21">
        <v>3132195</v>
      </c>
      <c r="AN187" s="21">
        <v>3274239</v>
      </c>
      <c r="AO187" s="21">
        <v>3308167</v>
      </c>
      <c r="AP187" s="21">
        <v>3356783</v>
      </c>
      <c r="AQ187" s="21">
        <v>3461781</v>
      </c>
      <c r="AR187" s="21">
        <v>3580350</v>
      </c>
      <c r="AS187" s="21">
        <v>3425975</v>
      </c>
      <c r="AT187" s="21">
        <v>3340318</v>
      </c>
      <c r="AU187" s="21">
        <v>3265457</v>
      </c>
      <c r="AV187" s="21">
        <v>3382535</v>
      </c>
      <c r="AW187" s="21">
        <v>3474752</v>
      </c>
      <c r="AX187" s="21">
        <v>3379382</v>
      </c>
      <c r="AY187" s="21">
        <v>3357610</v>
      </c>
      <c r="AZ187" s="21">
        <v>3192839</v>
      </c>
      <c r="BA187" s="21">
        <v>2883274</v>
      </c>
      <c r="BB187" s="21">
        <v>2962870</v>
      </c>
      <c r="BC187" s="21">
        <v>2949818</v>
      </c>
      <c r="BD187" s="21">
        <v>2901435</v>
      </c>
      <c r="BE187" s="21">
        <v>2968557</v>
      </c>
      <c r="BF187" s="21">
        <v>3042091</v>
      </c>
      <c r="BG187" s="21">
        <v>3204168</v>
      </c>
      <c r="BH187" s="21">
        <v>3349876</v>
      </c>
      <c r="BI187" s="21">
        <v>3481346</v>
      </c>
      <c r="BJ187" s="21">
        <v>3532756</v>
      </c>
      <c r="BK187" s="21">
        <v>3608019</v>
      </c>
      <c r="BL187" s="21">
        <v>2233844</v>
      </c>
      <c r="BM187" s="21">
        <v>2835040</v>
      </c>
    </row>
    <row r="188" spans="1:65" x14ac:dyDescent="0.2">
      <c r="A188" s="21" t="s">
        <v>1413</v>
      </c>
      <c r="B188" s="21" t="s">
        <v>1414</v>
      </c>
      <c r="C188" s="21" t="s">
        <v>565</v>
      </c>
      <c r="D188" s="21">
        <v>135962</v>
      </c>
      <c r="E188" s="21">
        <v>151623</v>
      </c>
      <c r="F188" s="21">
        <v>178535</v>
      </c>
      <c r="G188" s="21">
        <v>190473</v>
      </c>
      <c r="H188" s="21">
        <v>204253</v>
      </c>
      <c r="I188" s="21">
        <v>219632</v>
      </c>
      <c r="J188" s="21">
        <v>244386</v>
      </c>
      <c r="K188" s="21">
        <v>300770</v>
      </c>
      <c r="L188" s="21">
        <v>349378</v>
      </c>
      <c r="M188" s="21">
        <v>361731</v>
      </c>
      <c r="N188" s="21">
        <v>352978</v>
      </c>
      <c r="O188" s="21">
        <v>368723</v>
      </c>
      <c r="P188" s="21">
        <v>373669</v>
      </c>
      <c r="Q188" s="21">
        <v>380278</v>
      </c>
      <c r="R188" s="21">
        <v>357430</v>
      </c>
      <c r="S188" s="21">
        <v>362114</v>
      </c>
      <c r="T188" s="21">
        <v>357124</v>
      </c>
      <c r="U188" s="21">
        <v>372898</v>
      </c>
      <c r="V188" s="21">
        <v>381148</v>
      </c>
      <c r="W188" s="21">
        <v>389527</v>
      </c>
      <c r="X188" s="21">
        <v>388780</v>
      </c>
      <c r="Y188" s="21">
        <v>367007</v>
      </c>
      <c r="Z188" s="21">
        <v>369144</v>
      </c>
      <c r="AA188" s="21">
        <v>381783</v>
      </c>
      <c r="AB188" s="21">
        <v>430226</v>
      </c>
      <c r="AC188" s="21">
        <v>444702</v>
      </c>
      <c r="AD188" s="21">
        <v>477180</v>
      </c>
      <c r="AE188" s="21">
        <v>505520</v>
      </c>
      <c r="AF188" s="21">
        <v>530210</v>
      </c>
      <c r="AG188" s="21">
        <v>543646</v>
      </c>
      <c r="AH188" s="21">
        <v>555628</v>
      </c>
      <c r="AI188" s="21">
        <v>537076</v>
      </c>
      <c r="AJ188" s="21">
        <v>532271</v>
      </c>
      <c r="AK188" s="21">
        <v>536309</v>
      </c>
      <c r="AL188" s="21">
        <v>557303</v>
      </c>
      <c r="AM188" s="21">
        <v>552763</v>
      </c>
      <c r="AN188" s="21">
        <v>577531</v>
      </c>
      <c r="AO188" s="21">
        <v>583463</v>
      </c>
      <c r="AP188" s="21">
        <v>592006</v>
      </c>
      <c r="AQ188" s="21">
        <v>610501</v>
      </c>
      <c r="AR188" s="21">
        <v>631454</v>
      </c>
      <c r="AS188" s="21">
        <v>604222</v>
      </c>
      <c r="AT188" s="21">
        <v>588982</v>
      </c>
      <c r="AU188" s="21">
        <v>575909</v>
      </c>
      <c r="AV188" s="21">
        <v>596568</v>
      </c>
      <c r="AW188" s="21">
        <v>612831</v>
      </c>
      <c r="AX188" s="21">
        <v>596011</v>
      </c>
      <c r="AY188" s="21">
        <v>592171</v>
      </c>
      <c r="AZ188" s="21">
        <v>563111</v>
      </c>
      <c r="BA188" s="21">
        <v>508514</v>
      </c>
      <c r="BB188" s="21">
        <v>522552</v>
      </c>
      <c r="BC188" s="21">
        <v>520250</v>
      </c>
      <c r="BD188" s="21">
        <v>511717</v>
      </c>
      <c r="BE188" s="21">
        <v>523555</v>
      </c>
      <c r="BF188" s="21">
        <v>536524</v>
      </c>
      <c r="BG188" s="21">
        <v>565109</v>
      </c>
      <c r="BH188" s="21">
        <v>590807</v>
      </c>
      <c r="BI188" s="21">
        <v>613994</v>
      </c>
      <c r="BJ188" s="21">
        <v>623061</v>
      </c>
      <c r="BK188" s="21">
        <v>636335</v>
      </c>
      <c r="BL188" s="21">
        <v>393976</v>
      </c>
      <c r="BM188" s="21">
        <v>500007</v>
      </c>
    </row>
    <row r="189" spans="1:65" x14ac:dyDescent="0.2">
      <c r="A189" s="21" t="s">
        <v>1413</v>
      </c>
      <c r="B189" s="21" t="s">
        <v>1414</v>
      </c>
      <c r="C189" s="21" t="s">
        <v>568</v>
      </c>
      <c r="D189" s="21">
        <v>738522</v>
      </c>
      <c r="E189" s="21">
        <v>826805</v>
      </c>
      <c r="F189" s="21">
        <v>976887</v>
      </c>
      <c r="G189" s="21">
        <v>1043682</v>
      </c>
      <c r="H189" s="21">
        <v>1120761</v>
      </c>
      <c r="I189" s="21">
        <v>1214502</v>
      </c>
      <c r="J189" s="21">
        <v>1353654</v>
      </c>
      <c r="K189" s="21">
        <v>1670229</v>
      </c>
      <c r="L189" s="21">
        <v>1941094</v>
      </c>
      <c r="M189" s="21">
        <v>2016832</v>
      </c>
      <c r="N189" s="21">
        <v>1972743</v>
      </c>
      <c r="O189" s="21">
        <v>2060819</v>
      </c>
      <c r="P189" s="21">
        <v>2140842</v>
      </c>
      <c r="Q189" s="21">
        <v>2167221</v>
      </c>
      <c r="R189" s="21">
        <v>2030373</v>
      </c>
      <c r="S189" s="21">
        <v>2047083</v>
      </c>
      <c r="T189" s="21">
        <v>2025995</v>
      </c>
      <c r="U189" s="21">
        <v>2126482</v>
      </c>
      <c r="V189" s="21">
        <v>2163806</v>
      </c>
      <c r="W189" s="21">
        <v>2203632</v>
      </c>
      <c r="X189" s="21">
        <v>2190406</v>
      </c>
      <c r="Y189" s="21">
        <v>2062194</v>
      </c>
      <c r="Z189" s="21">
        <v>2071522</v>
      </c>
      <c r="AA189" s="21">
        <v>2140915</v>
      </c>
      <c r="AB189" s="21">
        <v>2413720</v>
      </c>
      <c r="AC189" s="21">
        <v>2496888</v>
      </c>
      <c r="AD189" s="21">
        <v>2682354</v>
      </c>
      <c r="AE189" s="21">
        <v>2842819</v>
      </c>
      <c r="AF189" s="21">
        <v>2981766</v>
      </c>
      <c r="AG189" s="21">
        <v>3058904</v>
      </c>
      <c r="AH189" s="21">
        <v>3129491</v>
      </c>
      <c r="AI189" s="21">
        <v>3025005</v>
      </c>
      <c r="AJ189" s="21">
        <v>3001330</v>
      </c>
      <c r="AK189" s="21">
        <v>3028007</v>
      </c>
      <c r="AL189" s="21">
        <v>3154499</v>
      </c>
      <c r="AM189" s="21">
        <v>3132195</v>
      </c>
      <c r="AN189" s="21">
        <v>3274239</v>
      </c>
      <c r="AO189" s="21">
        <v>3308167</v>
      </c>
      <c r="AP189" s="21">
        <v>3356783</v>
      </c>
      <c r="AQ189" s="21">
        <v>3461781</v>
      </c>
      <c r="AR189" s="21">
        <v>3580350</v>
      </c>
      <c r="AS189" s="21">
        <v>3425975</v>
      </c>
      <c r="AT189" s="21">
        <v>3340318</v>
      </c>
      <c r="AU189" s="21">
        <v>3265457</v>
      </c>
      <c r="AV189" s="21">
        <v>3382535</v>
      </c>
      <c r="AW189" s="21">
        <v>3474752</v>
      </c>
      <c r="AX189" s="21">
        <v>3379382</v>
      </c>
      <c r="AY189" s="21">
        <v>3357610</v>
      </c>
      <c r="AZ189" s="21">
        <v>3192839</v>
      </c>
      <c r="BA189" s="21">
        <v>2883274</v>
      </c>
      <c r="BB189" s="21">
        <v>2962870</v>
      </c>
      <c r="BC189" s="21">
        <v>2949818</v>
      </c>
      <c r="BD189" s="21">
        <v>2901435</v>
      </c>
      <c r="BE189" s="21">
        <v>2968557</v>
      </c>
      <c r="BF189" s="21">
        <v>3042091</v>
      </c>
      <c r="BG189" s="21">
        <v>3204168</v>
      </c>
      <c r="BH189" s="21">
        <v>3349876</v>
      </c>
      <c r="BI189" s="21">
        <v>3481346</v>
      </c>
      <c r="BJ189" s="21">
        <v>3532756</v>
      </c>
      <c r="BK189" s="21">
        <v>3608019</v>
      </c>
      <c r="BL189" s="21">
        <v>2233844</v>
      </c>
      <c r="BM189" s="21">
        <v>2835040</v>
      </c>
    </row>
    <row r="190" spans="1:65" x14ac:dyDescent="0.2">
      <c r="A190" s="21" t="s">
        <v>1413</v>
      </c>
      <c r="B190" s="21" t="s">
        <v>1414</v>
      </c>
      <c r="C190" s="21" t="s">
        <v>572</v>
      </c>
      <c r="D190" s="21">
        <v>135962</v>
      </c>
      <c r="E190" s="21">
        <v>151623</v>
      </c>
      <c r="F190" s="21">
        <v>178535</v>
      </c>
      <c r="G190" s="21">
        <v>190473</v>
      </c>
      <c r="H190" s="21">
        <v>204253</v>
      </c>
      <c r="I190" s="21">
        <v>219632</v>
      </c>
      <c r="J190" s="21">
        <v>244386</v>
      </c>
      <c r="K190" s="21">
        <v>300770</v>
      </c>
      <c r="L190" s="21">
        <v>349378</v>
      </c>
      <c r="M190" s="21">
        <v>361731</v>
      </c>
      <c r="N190" s="21">
        <v>352978</v>
      </c>
      <c r="O190" s="21">
        <v>368723</v>
      </c>
      <c r="P190" s="21">
        <v>382490</v>
      </c>
      <c r="Q190" s="21">
        <v>386627</v>
      </c>
      <c r="R190" s="21">
        <v>362600</v>
      </c>
      <c r="S190" s="21">
        <v>365290</v>
      </c>
      <c r="T190" s="21">
        <v>361358</v>
      </c>
      <c r="U190" s="21">
        <v>379257</v>
      </c>
      <c r="V190" s="21">
        <v>385654</v>
      </c>
      <c r="W190" s="21">
        <v>392699</v>
      </c>
      <c r="X190" s="21">
        <v>390726</v>
      </c>
      <c r="Y190" s="21">
        <v>367717</v>
      </c>
      <c r="Z190" s="21">
        <v>369581</v>
      </c>
      <c r="AA190" s="21">
        <v>381783</v>
      </c>
      <c r="AB190" s="21">
        <v>430226</v>
      </c>
      <c r="AC190" s="21">
        <v>444702</v>
      </c>
      <c r="AD190" s="21">
        <v>477180</v>
      </c>
      <c r="AE190" s="21">
        <v>505520</v>
      </c>
      <c r="AF190" s="21">
        <v>530210</v>
      </c>
      <c r="AG190" s="21">
        <v>543646</v>
      </c>
      <c r="AH190" s="21">
        <v>555628</v>
      </c>
      <c r="AI190" s="21">
        <v>537076</v>
      </c>
      <c r="AJ190" s="21">
        <v>532271</v>
      </c>
      <c r="AK190" s="21">
        <v>536309</v>
      </c>
      <c r="AL190" s="21">
        <v>557303</v>
      </c>
      <c r="AM190" s="21">
        <v>552763</v>
      </c>
      <c r="AN190" s="21">
        <v>577531</v>
      </c>
      <c r="AO190" s="21">
        <v>583463</v>
      </c>
      <c r="AP190" s="21">
        <v>592006</v>
      </c>
      <c r="AQ190" s="21">
        <v>610501</v>
      </c>
      <c r="AR190" s="21">
        <v>631454</v>
      </c>
      <c r="AS190" s="21">
        <v>604222</v>
      </c>
      <c r="AT190" s="21">
        <v>588982</v>
      </c>
      <c r="AU190" s="21">
        <v>575909</v>
      </c>
      <c r="AV190" s="21">
        <v>596568</v>
      </c>
      <c r="AW190" s="21">
        <v>612831</v>
      </c>
      <c r="AX190" s="21">
        <v>596011</v>
      </c>
      <c r="AY190" s="21">
        <v>592171</v>
      </c>
      <c r="AZ190" s="21">
        <v>563111</v>
      </c>
      <c r="BA190" s="21">
        <v>508514</v>
      </c>
      <c r="BB190" s="21">
        <v>522552</v>
      </c>
      <c r="BC190" s="21">
        <v>520250</v>
      </c>
      <c r="BD190" s="21">
        <v>511717</v>
      </c>
      <c r="BE190" s="21">
        <v>523555</v>
      </c>
      <c r="BF190" s="21">
        <v>536524</v>
      </c>
      <c r="BG190" s="21">
        <v>565109</v>
      </c>
      <c r="BH190" s="21">
        <v>590807</v>
      </c>
      <c r="BI190" s="21">
        <v>613994</v>
      </c>
      <c r="BJ190" s="21">
        <v>623061</v>
      </c>
      <c r="BK190" s="21">
        <v>636335</v>
      </c>
      <c r="BL190" s="21">
        <v>393976</v>
      </c>
      <c r="BM190" s="21">
        <v>500007</v>
      </c>
    </row>
    <row r="191" spans="1:65" x14ac:dyDescent="0.2">
      <c r="A191" s="21" t="s">
        <v>1413</v>
      </c>
      <c r="B191" s="21" t="s">
        <v>1414</v>
      </c>
      <c r="C191" s="21" t="s">
        <v>575</v>
      </c>
      <c r="D191" s="21">
        <v>738522</v>
      </c>
      <c r="E191" s="21">
        <v>826805</v>
      </c>
      <c r="F191" s="21">
        <v>976887</v>
      </c>
      <c r="G191" s="21">
        <v>1043682</v>
      </c>
      <c r="H191" s="21">
        <v>1120761</v>
      </c>
      <c r="I191" s="21">
        <v>1214502</v>
      </c>
      <c r="J191" s="21">
        <v>1353654</v>
      </c>
      <c r="K191" s="21">
        <v>1670229</v>
      </c>
      <c r="L191" s="21">
        <v>1941094</v>
      </c>
      <c r="M191" s="21">
        <v>2016832</v>
      </c>
      <c r="N191" s="21">
        <v>1972743</v>
      </c>
      <c r="O191" s="21">
        <v>2060819</v>
      </c>
      <c r="P191" s="21">
        <v>2090827</v>
      </c>
      <c r="Q191" s="21">
        <v>2131222</v>
      </c>
      <c r="R191" s="21">
        <v>2001059</v>
      </c>
      <c r="S191" s="21">
        <v>2029075</v>
      </c>
      <c r="T191" s="21">
        <v>2001988</v>
      </c>
      <c r="U191" s="21">
        <v>2090427</v>
      </c>
      <c r="V191" s="21">
        <v>2138257</v>
      </c>
      <c r="W191" s="21">
        <v>2185647</v>
      </c>
      <c r="X191" s="21">
        <v>2179372</v>
      </c>
      <c r="Y191" s="21">
        <v>2058169</v>
      </c>
      <c r="Z191" s="21">
        <v>2069044</v>
      </c>
      <c r="AA191" s="21">
        <v>2140915</v>
      </c>
      <c r="AB191" s="21">
        <v>2413720</v>
      </c>
      <c r="AC191" s="21">
        <v>2496888</v>
      </c>
      <c r="AD191" s="21">
        <v>2682354</v>
      </c>
      <c r="AE191" s="21">
        <v>2842819</v>
      </c>
      <c r="AF191" s="21">
        <v>2981766</v>
      </c>
      <c r="AG191" s="21">
        <v>3058904</v>
      </c>
      <c r="AH191" s="21">
        <v>3129491</v>
      </c>
      <c r="AI191" s="21">
        <v>3025005</v>
      </c>
      <c r="AJ191" s="21">
        <v>3001330</v>
      </c>
      <c r="AK191" s="21">
        <v>3028007</v>
      </c>
      <c r="AL191" s="21">
        <v>3154499</v>
      </c>
      <c r="AM191" s="21">
        <v>3132195</v>
      </c>
      <c r="AN191" s="21">
        <v>3274239</v>
      </c>
      <c r="AO191" s="21">
        <v>3308167</v>
      </c>
      <c r="AP191" s="21">
        <v>3356783</v>
      </c>
      <c r="AQ191" s="21">
        <v>3461781</v>
      </c>
      <c r="AR191" s="21">
        <v>3580350</v>
      </c>
      <c r="AS191" s="21">
        <v>3425975</v>
      </c>
      <c r="AT191" s="21">
        <v>3340318</v>
      </c>
      <c r="AU191" s="21">
        <v>3265457</v>
      </c>
      <c r="AV191" s="21">
        <v>3382535</v>
      </c>
      <c r="AW191" s="21">
        <v>3474752</v>
      </c>
      <c r="AX191" s="21">
        <v>3379382</v>
      </c>
      <c r="AY191" s="21">
        <v>3357610</v>
      </c>
      <c r="AZ191" s="21">
        <v>3192839</v>
      </c>
      <c r="BA191" s="21">
        <v>2883274</v>
      </c>
      <c r="BB191" s="21">
        <v>2962870</v>
      </c>
      <c r="BC191" s="21">
        <v>2949818</v>
      </c>
      <c r="BD191" s="21">
        <v>2901435</v>
      </c>
      <c r="BE191" s="21">
        <v>2968557</v>
      </c>
      <c r="BF191" s="21">
        <v>3042091</v>
      </c>
      <c r="BG191" s="21">
        <v>3204168</v>
      </c>
      <c r="BH191" s="21">
        <v>3349876</v>
      </c>
      <c r="BI191" s="21">
        <v>3481346</v>
      </c>
      <c r="BJ191" s="21">
        <v>3532756</v>
      </c>
      <c r="BK191" s="21">
        <v>3608019</v>
      </c>
      <c r="BL191" s="21">
        <v>2233844</v>
      </c>
      <c r="BM191" s="21">
        <v>2835040</v>
      </c>
    </row>
    <row r="192" spans="1:65" x14ac:dyDescent="0.2">
      <c r="A192" s="21" t="s">
        <v>1413</v>
      </c>
      <c r="B192" s="21" t="s">
        <v>1414</v>
      </c>
      <c r="C192" s="21" t="s">
        <v>579</v>
      </c>
      <c r="D192" s="21">
        <v>135962</v>
      </c>
      <c r="E192" s="21">
        <v>151623</v>
      </c>
      <c r="F192" s="21">
        <v>178535</v>
      </c>
      <c r="G192" s="21">
        <v>190473</v>
      </c>
      <c r="H192" s="21">
        <v>204253</v>
      </c>
      <c r="I192" s="21">
        <v>219632</v>
      </c>
      <c r="J192" s="21">
        <v>244386</v>
      </c>
      <c r="K192" s="21">
        <v>300770</v>
      </c>
      <c r="L192" s="21">
        <v>349378</v>
      </c>
      <c r="M192" s="21">
        <v>361731</v>
      </c>
      <c r="N192" s="21">
        <v>352978</v>
      </c>
      <c r="O192" s="21">
        <v>368723</v>
      </c>
      <c r="P192" s="21">
        <v>373669</v>
      </c>
      <c r="Q192" s="21">
        <v>380278</v>
      </c>
      <c r="R192" s="21">
        <v>357430</v>
      </c>
      <c r="S192" s="21">
        <v>362114</v>
      </c>
      <c r="T192" s="21">
        <v>357124</v>
      </c>
      <c r="U192" s="21">
        <v>372898</v>
      </c>
      <c r="V192" s="21">
        <v>381148</v>
      </c>
      <c r="W192" s="21">
        <v>389527</v>
      </c>
      <c r="X192" s="21">
        <v>388780</v>
      </c>
      <c r="Y192" s="21">
        <v>367007</v>
      </c>
      <c r="Z192" s="21">
        <v>369144</v>
      </c>
      <c r="AA192" s="21">
        <v>381783</v>
      </c>
      <c r="AB192" s="21">
        <v>430226</v>
      </c>
      <c r="AC192" s="21">
        <v>444702</v>
      </c>
      <c r="AD192" s="21">
        <v>477180</v>
      </c>
      <c r="AE192" s="21">
        <v>505520</v>
      </c>
      <c r="AF192" s="21">
        <v>530210</v>
      </c>
      <c r="AG192" s="21">
        <v>543646</v>
      </c>
      <c r="AH192" s="21">
        <v>555628</v>
      </c>
      <c r="AI192" s="21">
        <v>537076</v>
      </c>
      <c r="AJ192" s="21">
        <v>532271</v>
      </c>
      <c r="AK192" s="21">
        <v>536309</v>
      </c>
      <c r="AL192" s="21">
        <v>557303</v>
      </c>
      <c r="AM192" s="21">
        <v>552763</v>
      </c>
      <c r="AN192" s="21">
        <v>577531</v>
      </c>
      <c r="AO192" s="21">
        <v>583463</v>
      </c>
      <c r="AP192" s="21">
        <v>592006</v>
      </c>
      <c r="AQ192" s="21">
        <v>610501</v>
      </c>
      <c r="AR192" s="21">
        <v>631454</v>
      </c>
      <c r="AS192" s="21">
        <v>604222</v>
      </c>
      <c r="AT192" s="21">
        <v>588982</v>
      </c>
      <c r="AU192" s="21">
        <v>575909</v>
      </c>
      <c r="AV192" s="21">
        <v>596568</v>
      </c>
      <c r="AW192" s="21">
        <v>612831</v>
      </c>
      <c r="AX192" s="21">
        <v>596011</v>
      </c>
      <c r="AY192" s="21">
        <v>592171</v>
      </c>
      <c r="AZ192" s="21">
        <v>563111</v>
      </c>
      <c r="BA192" s="21">
        <v>508514</v>
      </c>
      <c r="BB192" s="21">
        <v>522552</v>
      </c>
      <c r="BC192" s="21">
        <v>520250</v>
      </c>
      <c r="BD192" s="21">
        <v>511717</v>
      </c>
      <c r="BE192" s="21">
        <v>523555</v>
      </c>
      <c r="BF192" s="21">
        <v>536524</v>
      </c>
      <c r="BG192" s="21">
        <v>565109</v>
      </c>
      <c r="BH192" s="21">
        <v>590807</v>
      </c>
      <c r="BI192" s="21">
        <v>613994</v>
      </c>
      <c r="BJ192" s="21">
        <v>623061</v>
      </c>
      <c r="BK192" s="21">
        <v>636335</v>
      </c>
      <c r="BL192" s="21">
        <v>393976</v>
      </c>
      <c r="BM192" s="21">
        <v>500007</v>
      </c>
    </row>
    <row r="193" spans="1:65" x14ac:dyDescent="0.2">
      <c r="A193" s="21" t="s">
        <v>1413</v>
      </c>
      <c r="B193" s="21" t="s">
        <v>1414</v>
      </c>
      <c r="C193" s="21" t="s">
        <v>582</v>
      </c>
      <c r="D193" s="21">
        <v>47992</v>
      </c>
      <c r="E193" s="21">
        <v>46870</v>
      </c>
      <c r="F193" s="21">
        <v>44975</v>
      </c>
      <c r="G193" s="21">
        <v>46111</v>
      </c>
      <c r="H193" s="21">
        <v>47384</v>
      </c>
      <c r="I193" s="21">
        <v>53670</v>
      </c>
      <c r="J193" s="21">
        <v>60095</v>
      </c>
      <c r="K193" s="21">
        <v>45658</v>
      </c>
      <c r="L193" s="21">
        <v>59743</v>
      </c>
      <c r="M193" s="21">
        <v>61323</v>
      </c>
      <c r="N193" s="21">
        <v>61081</v>
      </c>
      <c r="O193" s="21">
        <v>55316</v>
      </c>
      <c r="P193" s="21">
        <v>55324</v>
      </c>
      <c r="Q193" s="21">
        <v>64689</v>
      </c>
      <c r="R193" s="21">
        <v>54565</v>
      </c>
      <c r="S193" s="21">
        <v>49262</v>
      </c>
      <c r="T193" s="21">
        <v>43787</v>
      </c>
      <c r="U193" s="21">
        <v>52106</v>
      </c>
      <c r="V193" s="21">
        <v>54728</v>
      </c>
      <c r="W193" s="21">
        <v>78495</v>
      </c>
      <c r="X193" s="21">
        <v>40603</v>
      </c>
      <c r="Y193" s="21">
        <v>69338</v>
      </c>
      <c r="Z193" s="21">
        <v>30321</v>
      </c>
      <c r="AA193" s="21">
        <v>111304</v>
      </c>
      <c r="AB193" s="21">
        <v>35867</v>
      </c>
      <c r="AC193" s="21">
        <v>32833</v>
      </c>
      <c r="AD193" s="21">
        <v>49924</v>
      </c>
      <c r="AE193" s="21">
        <v>48657</v>
      </c>
      <c r="AF193" s="21">
        <v>26120</v>
      </c>
      <c r="AG193" s="21">
        <v>27574</v>
      </c>
      <c r="AH193" s="21">
        <v>11835</v>
      </c>
      <c r="AI193" s="21">
        <v>12088</v>
      </c>
      <c r="AJ193" s="21">
        <v>11124</v>
      </c>
      <c r="AK193" s="21">
        <v>14039</v>
      </c>
      <c r="AL193" s="21">
        <v>19459</v>
      </c>
      <c r="AM193" s="21">
        <v>22102</v>
      </c>
      <c r="AN193" s="21">
        <v>21032</v>
      </c>
      <c r="AO193" s="21">
        <v>24645</v>
      </c>
      <c r="AP193" s="21">
        <v>31150</v>
      </c>
      <c r="AQ193" s="21">
        <v>26943</v>
      </c>
      <c r="AR193" s="21">
        <v>29650</v>
      </c>
      <c r="AS193" s="21">
        <v>31402</v>
      </c>
      <c r="AT193" s="21">
        <v>15947</v>
      </c>
      <c r="AU193" s="21">
        <v>18637</v>
      </c>
      <c r="AV193" s="21">
        <v>20494</v>
      </c>
      <c r="AW193" s="21">
        <v>21592</v>
      </c>
      <c r="AX193" s="21">
        <v>15172</v>
      </c>
      <c r="AY193" s="21">
        <v>9175</v>
      </c>
      <c r="AZ193" s="21">
        <v>4436</v>
      </c>
      <c r="BA193" s="21">
        <v>4224</v>
      </c>
      <c r="BB193" s="21">
        <v>4822</v>
      </c>
      <c r="BC193" s="21">
        <v>3193</v>
      </c>
      <c r="BD193" s="21">
        <v>1203</v>
      </c>
      <c r="BE193" s="21">
        <v>1018</v>
      </c>
      <c r="BF193" s="21">
        <v>2041</v>
      </c>
      <c r="BG193" s="21">
        <v>1371</v>
      </c>
      <c r="BH193" s="21">
        <v>2077</v>
      </c>
      <c r="BI193" s="21">
        <v>1188</v>
      </c>
      <c r="BJ193" s="21">
        <v>1337</v>
      </c>
      <c r="BK193" s="21">
        <v>1840</v>
      </c>
      <c r="BL193" s="21">
        <v>1693</v>
      </c>
      <c r="BM193" s="21">
        <v>1437</v>
      </c>
    </row>
    <row r="194" spans="1:65" x14ac:dyDescent="0.2">
      <c r="A194" s="21" t="s">
        <v>1413</v>
      </c>
      <c r="B194" s="21" t="s">
        <v>1414</v>
      </c>
      <c r="C194" s="21" t="s">
        <v>586</v>
      </c>
      <c r="D194" s="21">
        <v>8464</v>
      </c>
      <c r="E194" s="21">
        <v>8266</v>
      </c>
      <c r="F194" s="21">
        <v>7932</v>
      </c>
      <c r="G194" s="21">
        <v>8132</v>
      </c>
      <c r="H194" s="21">
        <v>8357</v>
      </c>
      <c r="I194" s="21">
        <v>9466</v>
      </c>
      <c r="J194" s="21">
        <v>10599</v>
      </c>
      <c r="K194" s="21">
        <v>8053</v>
      </c>
      <c r="L194" s="21">
        <v>10537</v>
      </c>
      <c r="M194" s="21">
        <v>10815</v>
      </c>
      <c r="N194" s="21">
        <v>10773</v>
      </c>
      <c r="O194" s="21">
        <v>9756</v>
      </c>
      <c r="P194" s="21">
        <v>9757</v>
      </c>
      <c r="Q194" s="21">
        <v>11409</v>
      </c>
      <c r="R194" s="21">
        <v>9623</v>
      </c>
      <c r="S194" s="21">
        <v>8688</v>
      </c>
      <c r="T194" s="21">
        <v>7723</v>
      </c>
      <c r="U194" s="21">
        <v>9190</v>
      </c>
      <c r="V194" s="21">
        <v>9652</v>
      </c>
      <c r="W194" s="21">
        <v>13844</v>
      </c>
      <c r="X194" s="21">
        <v>7161</v>
      </c>
      <c r="Y194" s="21">
        <v>12229</v>
      </c>
      <c r="Z194" s="21">
        <v>5348</v>
      </c>
      <c r="AA194" s="21">
        <v>19630</v>
      </c>
      <c r="AB194" s="21">
        <v>6326</v>
      </c>
      <c r="AC194" s="21">
        <v>5791</v>
      </c>
      <c r="AD194" s="21">
        <v>8805</v>
      </c>
      <c r="AE194" s="21">
        <v>8582</v>
      </c>
      <c r="AF194" s="21">
        <v>4607</v>
      </c>
      <c r="AG194" s="21">
        <v>4863</v>
      </c>
      <c r="AH194" s="21">
        <v>2087</v>
      </c>
      <c r="AI194" s="21">
        <v>2132</v>
      </c>
      <c r="AJ194" s="21">
        <v>1962</v>
      </c>
      <c r="AK194" s="21">
        <v>2476</v>
      </c>
      <c r="AL194" s="21">
        <v>3432</v>
      </c>
      <c r="AM194" s="21">
        <v>3898</v>
      </c>
      <c r="AN194" s="21">
        <v>3709</v>
      </c>
      <c r="AO194" s="21">
        <v>4347</v>
      </c>
      <c r="AP194" s="21">
        <v>5494</v>
      </c>
      <c r="AQ194" s="21">
        <v>4752</v>
      </c>
      <c r="AR194" s="21">
        <v>5229</v>
      </c>
      <c r="AS194" s="21">
        <v>5538</v>
      </c>
      <c r="AT194" s="21">
        <v>2813</v>
      </c>
      <c r="AU194" s="21">
        <v>3287</v>
      </c>
      <c r="AV194" s="21">
        <v>3615</v>
      </c>
      <c r="AW194" s="21">
        <v>3808</v>
      </c>
      <c r="AX194" s="21">
        <v>2676</v>
      </c>
      <c r="AY194" s="21">
        <v>1618</v>
      </c>
      <c r="AZ194" s="21">
        <v>782</v>
      </c>
      <c r="BA194" s="21">
        <v>745</v>
      </c>
      <c r="BB194" s="21">
        <v>850</v>
      </c>
      <c r="BC194" s="21">
        <v>563</v>
      </c>
      <c r="BD194" s="21">
        <v>212</v>
      </c>
      <c r="BE194" s="21">
        <v>180</v>
      </c>
      <c r="BF194" s="21">
        <v>360</v>
      </c>
      <c r="BG194" s="21">
        <v>242</v>
      </c>
      <c r="BH194" s="21">
        <v>366</v>
      </c>
      <c r="BI194" s="21">
        <v>209</v>
      </c>
      <c r="BJ194" s="21">
        <v>236</v>
      </c>
      <c r="BK194" s="21">
        <v>324</v>
      </c>
      <c r="BL194" s="21">
        <v>299</v>
      </c>
      <c r="BM194" s="21">
        <v>253</v>
      </c>
    </row>
    <row r="195" spans="1:65" x14ac:dyDescent="0.2">
      <c r="A195" s="21" t="s">
        <v>1413</v>
      </c>
      <c r="B195" s="21" t="s">
        <v>1414</v>
      </c>
      <c r="C195" s="21" t="s">
        <v>589</v>
      </c>
      <c r="D195" s="21">
        <v>161116</v>
      </c>
      <c r="E195" s="21">
        <v>132730</v>
      </c>
      <c r="F195" s="21">
        <v>140332</v>
      </c>
      <c r="G195" s="21">
        <v>137489</v>
      </c>
      <c r="H195" s="21">
        <v>156467</v>
      </c>
      <c r="I195" s="21">
        <v>165472</v>
      </c>
      <c r="J195" s="21">
        <v>196293</v>
      </c>
      <c r="K195" s="21">
        <v>226633</v>
      </c>
      <c r="L195" s="21">
        <v>204929</v>
      </c>
      <c r="M195" s="21">
        <v>197080</v>
      </c>
      <c r="N195" s="21">
        <v>184650</v>
      </c>
      <c r="O195" s="21">
        <v>164972</v>
      </c>
      <c r="P195" s="21">
        <v>160383</v>
      </c>
      <c r="Q195" s="21">
        <v>155683</v>
      </c>
      <c r="R195" s="21">
        <v>126485</v>
      </c>
      <c r="S195" s="21">
        <v>119029</v>
      </c>
      <c r="T195" s="21">
        <v>122800</v>
      </c>
      <c r="U195" s="21">
        <v>143187</v>
      </c>
      <c r="V195" s="21">
        <v>155547</v>
      </c>
      <c r="W195" s="21">
        <v>177471</v>
      </c>
      <c r="X195" s="21">
        <v>181451</v>
      </c>
      <c r="Y195" s="21">
        <v>107872</v>
      </c>
      <c r="Z195" s="21">
        <v>140869</v>
      </c>
      <c r="AA195" s="21">
        <v>66124</v>
      </c>
      <c r="AB195" s="21">
        <v>43035</v>
      </c>
      <c r="AC195" s="21">
        <v>44334</v>
      </c>
      <c r="AD195" s="21">
        <v>32095</v>
      </c>
      <c r="AE195" s="21">
        <v>28307</v>
      </c>
      <c r="AF195" s="21">
        <v>29924</v>
      </c>
      <c r="AG195" s="21">
        <v>29521</v>
      </c>
      <c r="AH195" s="21">
        <v>12275</v>
      </c>
      <c r="AI195" s="21">
        <v>11382</v>
      </c>
      <c r="AJ195" s="21">
        <v>9790</v>
      </c>
      <c r="AK195" s="21">
        <v>13053</v>
      </c>
      <c r="AL195" s="21">
        <v>16912</v>
      </c>
      <c r="AM195" s="21">
        <v>15444</v>
      </c>
      <c r="AN195" s="21">
        <v>18301</v>
      </c>
      <c r="AO195" s="21">
        <v>18812</v>
      </c>
      <c r="AP195" s="21">
        <v>22071</v>
      </c>
      <c r="AQ195" s="21">
        <v>12840</v>
      </c>
      <c r="AR195" s="21">
        <v>15640</v>
      </c>
      <c r="AS195" s="21">
        <v>23222</v>
      </c>
      <c r="AT195" s="21">
        <v>13806</v>
      </c>
      <c r="AU195" s="21">
        <v>24115</v>
      </c>
      <c r="AV195" s="21">
        <v>28219</v>
      </c>
      <c r="AW195" s="21">
        <v>39076</v>
      </c>
      <c r="AX195" s="21">
        <v>29576</v>
      </c>
      <c r="AY195" s="21">
        <v>13422</v>
      </c>
      <c r="AZ195" s="21">
        <v>3830</v>
      </c>
      <c r="BA195" s="21">
        <v>4399</v>
      </c>
      <c r="BB195" s="21">
        <v>7318</v>
      </c>
      <c r="BC195" s="21">
        <v>3615</v>
      </c>
      <c r="BD195" s="21">
        <v>2008</v>
      </c>
      <c r="BE195" s="21">
        <v>1477</v>
      </c>
      <c r="BF195" s="21">
        <v>2830</v>
      </c>
      <c r="BG195" s="21">
        <v>1728</v>
      </c>
      <c r="BH195" s="21">
        <v>2265</v>
      </c>
      <c r="BI195" s="21">
        <v>1115</v>
      </c>
      <c r="BJ195" s="21">
        <v>1624</v>
      </c>
      <c r="BK195" s="21">
        <v>1420</v>
      </c>
      <c r="BL195" s="21">
        <v>3023</v>
      </c>
      <c r="BM195" s="21">
        <v>1454</v>
      </c>
    </row>
    <row r="196" spans="1:65" x14ac:dyDescent="0.2">
      <c r="A196" s="21" t="s">
        <v>1413</v>
      </c>
      <c r="B196" s="21" t="s">
        <v>1414</v>
      </c>
      <c r="C196" s="21" t="s">
        <v>593</v>
      </c>
      <c r="D196" s="21">
        <v>28416</v>
      </c>
      <c r="E196" s="21">
        <v>23409</v>
      </c>
      <c r="F196" s="21">
        <v>24750</v>
      </c>
      <c r="G196" s="21">
        <v>24249</v>
      </c>
      <c r="H196" s="21">
        <v>27596</v>
      </c>
      <c r="I196" s="21">
        <v>29184</v>
      </c>
      <c r="J196" s="21">
        <v>34620</v>
      </c>
      <c r="K196" s="21">
        <v>39971</v>
      </c>
      <c r="L196" s="21">
        <v>36143</v>
      </c>
      <c r="M196" s="21">
        <v>34758</v>
      </c>
      <c r="N196" s="21">
        <v>32566</v>
      </c>
      <c r="O196" s="21">
        <v>29096</v>
      </c>
      <c r="P196" s="21">
        <v>28286</v>
      </c>
      <c r="Q196" s="21">
        <v>27457</v>
      </c>
      <c r="R196" s="21">
        <v>22308</v>
      </c>
      <c r="S196" s="21">
        <v>20993</v>
      </c>
      <c r="T196" s="21">
        <v>21658</v>
      </c>
      <c r="U196" s="21">
        <v>25253</v>
      </c>
      <c r="V196" s="21">
        <v>27433</v>
      </c>
      <c r="W196" s="21">
        <v>31300</v>
      </c>
      <c r="X196" s="21">
        <v>32002</v>
      </c>
      <c r="Y196" s="21">
        <v>19025</v>
      </c>
      <c r="Z196" s="21">
        <v>24845</v>
      </c>
      <c r="AA196" s="21">
        <v>11662</v>
      </c>
      <c r="AB196" s="21">
        <v>7590</v>
      </c>
      <c r="AC196" s="21">
        <v>7819</v>
      </c>
      <c r="AD196" s="21">
        <v>5661</v>
      </c>
      <c r="AE196" s="21">
        <v>4992</v>
      </c>
      <c r="AF196" s="21">
        <v>5278</v>
      </c>
      <c r="AG196" s="21">
        <v>5206</v>
      </c>
      <c r="AH196" s="21">
        <v>2165</v>
      </c>
      <c r="AI196" s="21">
        <v>2007</v>
      </c>
      <c r="AJ196" s="21">
        <v>1727</v>
      </c>
      <c r="AK196" s="21">
        <v>2302</v>
      </c>
      <c r="AL196" s="21">
        <v>2983</v>
      </c>
      <c r="AM196" s="21">
        <v>2724</v>
      </c>
      <c r="AN196" s="21">
        <v>3228</v>
      </c>
      <c r="AO196" s="21">
        <v>3318</v>
      </c>
      <c r="AP196" s="21">
        <v>3893</v>
      </c>
      <c r="AQ196" s="21">
        <v>2265</v>
      </c>
      <c r="AR196" s="21">
        <v>2758</v>
      </c>
      <c r="AS196" s="21">
        <v>4096</v>
      </c>
      <c r="AT196" s="21">
        <v>2435</v>
      </c>
      <c r="AU196" s="21">
        <v>4253</v>
      </c>
      <c r="AV196" s="21">
        <v>4977</v>
      </c>
      <c r="AW196" s="21">
        <v>6892</v>
      </c>
      <c r="AX196" s="21">
        <v>5216</v>
      </c>
      <c r="AY196" s="21">
        <v>2367</v>
      </c>
      <c r="AZ196" s="21">
        <v>676</v>
      </c>
      <c r="BA196" s="21">
        <v>776</v>
      </c>
      <c r="BB196" s="21">
        <v>1291</v>
      </c>
      <c r="BC196" s="21">
        <v>638</v>
      </c>
      <c r="BD196" s="21">
        <v>354</v>
      </c>
      <c r="BE196" s="21">
        <v>261</v>
      </c>
      <c r="BF196" s="21">
        <v>499</v>
      </c>
      <c r="BG196" s="21">
        <v>305</v>
      </c>
      <c r="BH196" s="21">
        <v>400</v>
      </c>
      <c r="BI196" s="21">
        <v>197</v>
      </c>
      <c r="BJ196" s="21">
        <v>286</v>
      </c>
      <c r="BK196" s="21">
        <v>250</v>
      </c>
      <c r="BL196" s="21">
        <v>533</v>
      </c>
      <c r="BM196" s="21">
        <v>256</v>
      </c>
    </row>
    <row r="197" spans="1:65" x14ac:dyDescent="0.2">
      <c r="A197" s="21" t="s">
        <v>1413</v>
      </c>
      <c r="B197" s="21" t="s">
        <v>1414</v>
      </c>
      <c r="C197" s="21" t="s">
        <v>596</v>
      </c>
      <c r="D197" s="21">
        <v>354149</v>
      </c>
      <c r="E197" s="21">
        <v>371796</v>
      </c>
      <c r="F197" s="21">
        <v>370541</v>
      </c>
      <c r="G197" s="21">
        <v>366254</v>
      </c>
      <c r="H197" s="21">
        <v>321974</v>
      </c>
      <c r="I197" s="21">
        <v>334142</v>
      </c>
      <c r="J197" s="21">
        <v>316940</v>
      </c>
      <c r="K197" s="21">
        <v>295151</v>
      </c>
      <c r="L197" s="21">
        <v>318963</v>
      </c>
      <c r="M197" s="21">
        <v>310689</v>
      </c>
      <c r="N197" s="21">
        <v>298441</v>
      </c>
      <c r="O197" s="21">
        <v>295211</v>
      </c>
      <c r="P197" s="21">
        <v>271073</v>
      </c>
      <c r="Q197" s="21">
        <v>227077</v>
      </c>
      <c r="R197" s="21">
        <v>183826</v>
      </c>
      <c r="S197" s="21">
        <v>160513</v>
      </c>
      <c r="T197" s="21">
        <v>184499</v>
      </c>
      <c r="U197" s="21">
        <v>167372</v>
      </c>
      <c r="V197" s="21">
        <v>152844</v>
      </c>
      <c r="W197" s="21">
        <v>132825</v>
      </c>
      <c r="X197" s="21">
        <v>106636</v>
      </c>
      <c r="Y197" s="21">
        <v>85345</v>
      </c>
      <c r="Z197" s="21">
        <v>95090</v>
      </c>
      <c r="AA197" s="21">
        <v>85387</v>
      </c>
      <c r="AB197" s="21">
        <v>160287</v>
      </c>
      <c r="AC197" s="21">
        <v>158517</v>
      </c>
      <c r="AD197" s="21">
        <v>121318</v>
      </c>
      <c r="AE197" s="21">
        <v>118724</v>
      </c>
      <c r="AF197" s="21">
        <v>143534</v>
      </c>
      <c r="AG197" s="21">
        <v>117275</v>
      </c>
      <c r="AH197" s="21">
        <v>63911</v>
      </c>
      <c r="AI197" s="21">
        <v>72342</v>
      </c>
      <c r="AJ197" s="21">
        <v>65004</v>
      </c>
      <c r="AK197" s="21">
        <v>75614</v>
      </c>
      <c r="AL197" s="21">
        <v>64924</v>
      </c>
      <c r="AM197" s="21">
        <v>74295</v>
      </c>
      <c r="AN197" s="21">
        <v>88781</v>
      </c>
      <c r="AO197" s="21">
        <v>92883</v>
      </c>
      <c r="AP197" s="21">
        <v>108317</v>
      </c>
      <c r="AQ197" s="21">
        <v>111164</v>
      </c>
      <c r="AR197" s="21">
        <v>94572</v>
      </c>
      <c r="AS197" s="21">
        <v>95081</v>
      </c>
      <c r="AT197" s="21">
        <v>59929</v>
      </c>
      <c r="AU197" s="21">
        <v>70308</v>
      </c>
      <c r="AV197" s="21">
        <v>84759</v>
      </c>
      <c r="AW197" s="21">
        <v>83803</v>
      </c>
      <c r="AX197" s="21">
        <v>66350</v>
      </c>
      <c r="AY197" s="21">
        <v>43918</v>
      </c>
      <c r="AZ197" s="21">
        <v>21263</v>
      </c>
      <c r="BA197" s="21">
        <v>27693</v>
      </c>
      <c r="BB197" s="21">
        <v>29104</v>
      </c>
      <c r="BC197" s="21">
        <v>18526</v>
      </c>
      <c r="BD197" s="21">
        <v>7738</v>
      </c>
      <c r="BE197" s="21">
        <v>8260</v>
      </c>
      <c r="BF197" s="21">
        <v>13750</v>
      </c>
      <c r="BG197" s="21">
        <v>10118</v>
      </c>
      <c r="BH197" s="21">
        <v>13649</v>
      </c>
      <c r="BI197" s="21">
        <v>8414</v>
      </c>
      <c r="BJ197" s="21">
        <v>8243</v>
      </c>
      <c r="BK197" s="21">
        <v>10756</v>
      </c>
      <c r="BL197" s="21">
        <v>10837</v>
      </c>
      <c r="BM197" s="21">
        <v>9407</v>
      </c>
    </row>
    <row r="198" spans="1:65" x14ac:dyDescent="0.2">
      <c r="A198" s="21" t="s">
        <v>1413</v>
      </c>
      <c r="B198" s="21" t="s">
        <v>1414</v>
      </c>
      <c r="C198" s="21" t="s">
        <v>600</v>
      </c>
      <c r="D198" s="21">
        <v>62460</v>
      </c>
      <c r="E198" s="21">
        <v>65572</v>
      </c>
      <c r="F198" s="21">
        <v>65351</v>
      </c>
      <c r="G198" s="21">
        <v>64595</v>
      </c>
      <c r="H198" s="21">
        <v>56785</v>
      </c>
      <c r="I198" s="21">
        <v>58932</v>
      </c>
      <c r="J198" s="21">
        <v>55898</v>
      </c>
      <c r="K198" s="21">
        <v>52055</v>
      </c>
      <c r="L198" s="21">
        <v>56255</v>
      </c>
      <c r="M198" s="21">
        <v>54795</v>
      </c>
      <c r="N198" s="21">
        <v>52635</v>
      </c>
      <c r="O198" s="21">
        <v>52065</v>
      </c>
      <c r="P198" s="21">
        <v>47808</v>
      </c>
      <c r="Q198" s="21">
        <v>40049</v>
      </c>
      <c r="R198" s="21">
        <v>32421</v>
      </c>
      <c r="S198" s="21">
        <v>28309</v>
      </c>
      <c r="T198" s="21">
        <v>32539</v>
      </c>
      <c r="U198" s="21">
        <v>29519</v>
      </c>
      <c r="V198" s="21">
        <v>26957</v>
      </c>
      <c r="W198" s="21">
        <v>23426</v>
      </c>
      <c r="X198" s="21">
        <v>18807</v>
      </c>
      <c r="Y198" s="21">
        <v>15052</v>
      </c>
      <c r="Z198" s="21">
        <v>16771</v>
      </c>
      <c r="AA198" s="21">
        <v>15059</v>
      </c>
      <c r="AB198" s="21">
        <v>28269</v>
      </c>
      <c r="AC198" s="21">
        <v>27957</v>
      </c>
      <c r="AD198" s="21">
        <v>21396</v>
      </c>
      <c r="AE198" s="21">
        <v>20939</v>
      </c>
      <c r="AF198" s="21">
        <v>25315</v>
      </c>
      <c r="AG198" s="21">
        <v>20683</v>
      </c>
      <c r="AH198" s="21">
        <v>11272</v>
      </c>
      <c r="AI198" s="21">
        <v>12759</v>
      </c>
      <c r="AJ198" s="21">
        <v>11465</v>
      </c>
      <c r="AK198" s="21">
        <v>13336</v>
      </c>
      <c r="AL198" s="21">
        <v>11450</v>
      </c>
      <c r="AM198" s="21">
        <v>13103</v>
      </c>
      <c r="AN198" s="21">
        <v>15658</v>
      </c>
      <c r="AO198" s="21">
        <v>16382</v>
      </c>
      <c r="AP198" s="21">
        <v>19104</v>
      </c>
      <c r="AQ198" s="21">
        <v>19606</v>
      </c>
      <c r="AR198" s="21">
        <v>16679</v>
      </c>
      <c r="AS198" s="21">
        <v>16769</v>
      </c>
      <c r="AT198" s="21">
        <v>10569</v>
      </c>
      <c r="AU198" s="21">
        <v>12400</v>
      </c>
      <c r="AV198" s="21">
        <v>14949</v>
      </c>
      <c r="AW198" s="21">
        <v>14780</v>
      </c>
      <c r="AX198" s="21">
        <v>11702</v>
      </c>
      <c r="AY198" s="21">
        <v>7746</v>
      </c>
      <c r="AZ198" s="21">
        <v>3750</v>
      </c>
      <c r="BA198" s="21">
        <v>4884</v>
      </c>
      <c r="BB198" s="21">
        <v>5133</v>
      </c>
      <c r="BC198" s="21">
        <v>3267</v>
      </c>
      <c r="BD198" s="21">
        <v>1365</v>
      </c>
      <c r="BE198" s="21">
        <v>1457</v>
      </c>
      <c r="BF198" s="21">
        <v>2425</v>
      </c>
      <c r="BG198" s="21">
        <v>1784</v>
      </c>
      <c r="BH198" s="21">
        <v>2407</v>
      </c>
      <c r="BI198" s="21">
        <v>1484</v>
      </c>
      <c r="BJ198" s="21">
        <v>1454</v>
      </c>
      <c r="BK198" s="21">
        <v>1897</v>
      </c>
      <c r="BL198" s="21">
        <v>1911</v>
      </c>
      <c r="BM198" s="21">
        <v>1659</v>
      </c>
    </row>
    <row r="199" spans="1:65" x14ac:dyDescent="0.2">
      <c r="A199" s="21" t="s">
        <v>1413</v>
      </c>
      <c r="B199" s="21" t="s">
        <v>1414</v>
      </c>
      <c r="C199" s="21" t="s">
        <v>603</v>
      </c>
      <c r="D199" s="21">
        <v>563258</v>
      </c>
      <c r="E199" s="21">
        <v>551396</v>
      </c>
      <c r="F199" s="21">
        <v>555847</v>
      </c>
      <c r="G199" s="21">
        <v>549854</v>
      </c>
      <c r="H199" s="21">
        <v>525824</v>
      </c>
      <c r="I199" s="21">
        <v>553284</v>
      </c>
      <c r="J199" s="21">
        <v>573328</v>
      </c>
      <c r="K199" s="21">
        <v>567442</v>
      </c>
      <c r="L199" s="21">
        <v>583636</v>
      </c>
      <c r="M199" s="21">
        <v>569092</v>
      </c>
      <c r="N199" s="21">
        <v>544173</v>
      </c>
      <c r="O199" s="21">
        <v>515499</v>
      </c>
      <c r="P199" s="21">
        <v>486781</v>
      </c>
      <c r="Q199" s="21">
        <v>447448</v>
      </c>
      <c r="R199" s="21">
        <v>364876</v>
      </c>
      <c r="S199" s="21">
        <v>328803</v>
      </c>
      <c r="T199" s="21">
        <v>351086</v>
      </c>
      <c r="U199" s="21">
        <v>362665</v>
      </c>
      <c r="V199" s="21">
        <v>363118</v>
      </c>
      <c r="W199" s="21">
        <v>388792</v>
      </c>
      <c r="X199" s="21">
        <v>328690</v>
      </c>
      <c r="Y199" s="21">
        <v>262555</v>
      </c>
      <c r="Z199" s="21">
        <v>266280</v>
      </c>
      <c r="AA199" s="21">
        <v>262816</v>
      </c>
      <c r="AB199" s="21">
        <v>239189</v>
      </c>
      <c r="AC199" s="21">
        <v>235685</v>
      </c>
      <c r="AD199" s="21">
        <v>203338</v>
      </c>
      <c r="AE199" s="21">
        <v>195689</v>
      </c>
      <c r="AF199" s="21">
        <v>199578</v>
      </c>
      <c r="AG199" s="21">
        <v>174370</v>
      </c>
      <c r="AH199" s="21">
        <v>88021</v>
      </c>
      <c r="AI199" s="21">
        <v>95812</v>
      </c>
      <c r="AJ199" s="21">
        <v>85918</v>
      </c>
      <c r="AK199" s="21">
        <v>102706</v>
      </c>
      <c r="AL199" s="21">
        <v>101295</v>
      </c>
      <c r="AM199" s="21">
        <v>111841</v>
      </c>
      <c r="AN199" s="21">
        <v>128114</v>
      </c>
      <c r="AO199" s="21">
        <v>136341</v>
      </c>
      <c r="AP199" s="21">
        <v>161538</v>
      </c>
      <c r="AQ199" s="21">
        <v>150947</v>
      </c>
      <c r="AR199" s="21">
        <v>139862</v>
      </c>
      <c r="AS199" s="21">
        <v>149705</v>
      </c>
      <c r="AT199" s="21">
        <v>89682</v>
      </c>
      <c r="AU199" s="21">
        <v>113060</v>
      </c>
      <c r="AV199" s="21">
        <v>133472</v>
      </c>
      <c r="AW199" s="21">
        <v>144472</v>
      </c>
      <c r="AX199" s="21">
        <v>111098</v>
      </c>
      <c r="AY199" s="21">
        <v>66515</v>
      </c>
      <c r="AZ199" s="21">
        <v>29529</v>
      </c>
      <c r="BA199" s="21">
        <v>36316</v>
      </c>
      <c r="BB199" s="21">
        <v>41244</v>
      </c>
      <c r="BC199" s="21">
        <v>25334</v>
      </c>
      <c r="BD199" s="21">
        <v>10949</v>
      </c>
      <c r="BE199" s="21">
        <v>10756</v>
      </c>
      <c r="BF199" s="21">
        <v>18620</v>
      </c>
      <c r="BG199" s="21">
        <v>13217</v>
      </c>
      <c r="BH199" s="21">
        <v>17991</v>
      </c>
      <c r="BI199" s="21">
        <v>10716</v>
      </c>
      <c r="BJ199" s="21">
        <v>11204</v>
      </c>
      <c r="BK199" s="21">
        <v>14016</v>
      </c>
      <c r="BL199" s="21">
        <v>15553</v>
      </c>
      <c r="BM199" s="21">
        <v>12298</v>
      </c>
    </row>
    <row r="200" spans="1:65" x14ac:dyDescent="0.2">
      <c r="A200" s="21" t="s">
        <v>1413</v>
      </c>
      <c r="B200" s="21" t="s">
        <v>1414</v>
      </c>
      <c r="C200" s="21" t="s">
        <v>607</v>
      </c>
      <c r="D200" s="21">
        <v>99340</v>
      </c>
      <c r="E200" s="21">
        <v>97248</v>
      </c>
      <c r="F200" s="21">
        <v>98033</v>
      </c>
      <c r="G200" s="21">
        <v>96976</v>
      </c>
      <c r="H200" s="21">
        <v>92738</v>
      </c>
      <c r="I200" s="21">
        <v>97581</v>
      </c>
      <c r="J200" s="21">
        <v>101116</v>
      </c>
      <c r="K200" s="21">
        <v>100078</v>
      </c>
      <c r="L200" s="21">
        <v>102934</v>
      </c>
      <c r="M200" s="21">
        <v>100369</v>
      </c>
      <c r="N200" s="21">
        <v>95974</v>
      </c>
      <c r="O200" s="21">
        <v>90917</v>
      </c>
      <c r="P200" s="21">
        <v>85852</v>
      </c>
      <c r="Q200" s="21">
        <v>78915</v>
      </c>
      <c r="R200" s="21">
        <v>64352</v>
      </c>
      <c r="S200" s="21">
        <v>57990</v>
      </c>
      <c r="T200" s="21">
        <v>61920</v>
      </c>
      <c r="U200" s="21">
        <v>63962</v>
      </c>
      <c r="V200" s="21">
        <v>64042</v>
      </c>
      <c r="W200" s="21">
        <v>68570</v>
      </c>
      <c r="X200" s="21">
        <v>57970</v>
      </c>
      <c r="Y200" s="21">
        <v>46306</v>
      </c>
      <c r="Z200" s="21">
        <v>46963</v>
      </c>
      <c r="AA200" s="21">
        <v>46352</v>
      </c>
      <c r="AB200" s="21">
        <v>42185</v>
      </c>
      <c r="AC200" s="21">
        <v>41567</v>
      </c>
      <c r="AD200" s="21">
        <v>35862</v>
      </c>
      <c r="AE200" s="21">
        <v>34513</v>
      </c>
      <c r="AF200" s="21">
        <v>35199</v>
      </c>
      <c r="AG200" s="21">
        <v>30753</v>
      </c>
      <c r="AH200" s="21">
        <v>15524</v>
      </c>
      <c r="AI200" s="21">
        <v>16898</v>
      </c>
      <c r="AJ200" s="21">
        <v>15153</v>
      </c>
      <c r="AK200" s="21">
        <v>18114</v>
      </c>
      <c r="AL200" s="21">
        <v>17865</v>
      </c>
      <c r="AM200" s="21">
        <v>19725</v>
      </c>
      <c r="AN200" s="21">
        <v>22595</v>
      </c>
      <c r="AO200" s="21">
        <v>24046</v>
      </c>
      <c r="AP200" s="21">
        <v>28490</v>
      </c>
      <c r="AQ200" s="21">
        <v>26622</v>
      </c>
      <c r="AR200" s="21">
        <v>24667</v>
      </c>
      <c r="AS200" s="21">
        <v>26403</v>
      </c>
      <c r="AT200" s="21">
        <v>15817</v>
      </c>
      <c r="AU200" s="21">
        <v>19940</v>
      </c>
      <c r="AV200" s="21">
        <v>23540</v>
      </c>
      <c r="AW200" s="21">
        <v>25480</v>
      </c>
      <c r="AX200" s="21">
        <v>19594</v>
      </c>
      <c r="AY200" s="21">
        <v>11731</v>
      </c>
      <c r="AZ200" s="21">
        <v>5208</v>
      </c>
      <c r="BA200" s="21">
        <v>6405</v>
      </c>
      <c r="BB200" s="21">
        <v>7274</v>
      </c>
      <c r="BC200" s="21">
        <v>4468</v>
      </c>
      <c r="BD200" s="21">
        <v>1931</v>
      </c>
      <c r="BE200" s="21">
        <v>1897</v>
      </c>
      <c r="BF200" s="21">
        <v>3284</v>
      </c>
      <c r="BG200" s="21">
        <v>2331</v>
      </c>
      <c r="BH200" s="21">
        <v>3173</v>
      </c>
      <c r="BI200" s="21">
        <v>1890</v>
      </c>
      <c r="BJ200" s="21">
        <v>1976</v>
      </c>
      <c r="BK200" s="21">
        <v>2472</v>
      </c>
      <c r="BL200" s="21">
        <v>2743</v>
      </c>
      <c r="BM200" s="21">
        <v>2169</v>
      </c>
    </row>
    <row r="201" spans="1:65" x14ac:dyDescent="0.2">
      <c r="A201" s="21" t="s">
        <v>1413</v>
      </c>
      <c r="B201" s="21" t="s">
        <v>1414</v>
      </c>
      <c r="C201" s="21" t="s">
        <v>610</v>
      </c>
      <c r="D201" s="21">
        <v>563258</v>
      </c>
      <c r="E201" s="21">
        <v>551396</v>
      </c>
      <c r="F201" s="21">
        <v>555847</v>
      </c>
      <c r="G201" s="21">
        <v>549854</v>
      </c>
      <c r="H201" s="21">
        <v>525824</v>
      </c>
      <c r="I201" s="21">
        <v>553284</v>
      </c>
      <c r="J201" s="21">
        <v>573328</v>
      </c>
      <c r="K201" s="21">
        <v>567442</v>
      </c>
      <c r="L201" s="21">
        <v>583636</v>
      </c>
      <c r="M201" s="21">
        <v>569092</v>
      </c>
      <c r="N201" s="21">
        <v>544173</v>
      </c>
      <c r="O201" s="21">
        <v>515499</v>
      </c>
      <c r="P201" s="21">
        <v>486781</v>
      </c>
      <c r="Q201" s="21">
        <v>447448</v>
      </c>
      <c r="R201" s="21">
        <v>364876</v>
      </c>
      <c r="S201" s="21">
        <v>328803</v>
      </c>
      <c r="T201" s="21">
        <v>351086</v>
      </c>
      <c r="U201" s="21">
        <v>362665</v>
      </c>
      <c r="V201" s="21">
        <v>363118</v>
      </c>
      <c r="W201" s="21">
        <v>388792</v>
      </c>
      <c r="X201" s="21">
        <v>328690</v>
      </c>
      <c r="Y201" s="21">
        <v>262555</v>
      </c>
      <c r="Z201" s="21">
        <v>266280</v>
      </c>
      <c r="AA201" s="21">
        <v>262816</v>
      </c>
      <c r="AB201" s="21">
        <v>239189</v>
      </c>
      <c r="AC201" s="21">
        <v>235685</v>
      </c>
      <c r="AD201" s="21">
        <v>203338</v>
      </c>
      <c r="AE201" s="21">
        <v>195689</v>
      </c>
      <c r="AF201" s="21">
        <v>199578</v>
      </c>
      <c r="AG201" s="21">
        <v>174370</v>
      </c>
      <c r="AH201" s="21">
        <v>88021</v>
      </c>
      <c r="AI201" s="21">
        <v>95812</v>
      </c>
      <c r="AJ201" s="21">
        <v>85918</v>
      </c>
      <c r="AK201" s="21">
        <v>102706</v>
      </c>
      <c r="AL201" s="21">
        <v>101295</v>
      </c>
      <c r="AM201" s="21">
        <v>111841</v>
      </c>
      <c r="AN201" s="21">
        <v>128114</v>
      </c>
      <c r="AO201" s="21">
        <v>136341</v>
      </c>
      <c r="AP201" s="21">
        <v>161538</v>
      </c>
      <c r="AQ201" s="21">
        <v>150947</v>
      </c>
      <c r="AR201" s="21">
        <v>139862</v>
      </c>
      <c r="AS201" s="21">
        <v>149705</v>
      </c>
      <c r="AT201" s="21">
        <v>89682</v>
      </c>
      <c r="AU201" s="21">
        <v>113060</v>
      </c>
      <c r="AV201" s="21">
        <v>133472</v>
      </c>
      <c r="AW201" s="21">
        <v>144472</v>
      </c>
      <c r="AX201" s="21">
        <v>111098</v>
      </c>
      <c r="AY201" s="21">
        <v>66515</v>
      </c>
      <c r="AZ201" s="21">
        <v>29529</v>
      </c>
      <c r="BA201" s="21">
        <v>36316</v>
      </c>
      <c r="BB201" s="21">
        <v>41244</v>
      </c>
      <c r="BC201" s="21">
        <v>25334</v>
      </c>
      <c r="BD201" s="21">
        <v>10949</v>
      </c>
      <c r="BE201" s="21">
        <v>10756</v>
      </c>
      <c r="BF201" s="21">
        <v>18620</v>
      </c>
      <c r="BG201" s="21">
        <v>13217</v>
      </c>
      <c r="BH201" s="21">
        <v>17991</v>
      </c>
      <c r="BI201" s="21">
        <v>10716</v>
      </c>
      <c r="BJ201" s="21">
        <v>11204</v>
      </c>
      <c r="BK201" s="21">
        <v>14016</v>
      </c>
      <c r="BL201" s="21">
        <v>15553</v>
      </c>
      <c r="BM201" s="21">
        <v>12298</v>
      </c>
    </row>
    <row r="202" spans="1:65" x14ac:dyDescent="0.2">
      <c r="A202" s="21" t="s">
        <v>1413</v>
      </c>
      <c r="B202" s="21" t="s">
        <v>1414</v>
      </c>
      <c r="C202" s="21" t="s">
        <v>614</v>
      </c>
      <c r="D202" s="21">
        <v>99340</v>
      </c>
      <c r="E202" s="21">
        <v>97248</v>
      </c>
      <c r="F202" s="21">
        <v>98033</v>
      </c>
      <c r="G202" s="21">
        <v>96976</v>
      </c>
      <c r="H202" s="21">
        <v>92738</v>
      </c>
      <c r="I202" s="21">
        <v>97581</v>
      </c>
      <c r="J202" s="21">
        <v>101116</v>
      </c>
      <c r="K202" s="21">
        <v>100078</v>
      </c>
      <c r="L202" s="21">
        <v>102934</v>
      </c>
      <c r="M202" s="21">
        <v>100369</v>
      </c>
      <c r="N202" s="21">
        <v>95974</v>
      </c>
      <c r="O202" s="21">
        <v>90917</v>
      </c>
      <c r="P202" s="21">
        <v>85852</v>
      </c>
      <c r="Q202" s="21">
        <v>78915</v>
      </c>
      <c r="R202" s="21">
        <v>64352</v>
      </c>
      <c r="S202" s="21">
        <v>57990</v>
      </c>
      <c r="T202" s="21">
        <v>61920</v>
      </c>
      <c r="U202" s="21">
        <v>63962</v>
      </c>
      <c r="V202" s="21">
        <v>64042</v>
      </c>
      <c r="W202" s="21">
        <v>68570</v>
      </c>
      <c r="X202" s="21">
        <v>57970</v>
      </c>
      <c r="Y202" s="21">
        <v>46306</v>
      </c>
      <c r="Z202" s="21">
        <v>46963</v>
      </c>
      <c r="AA202" s="21">
        <v>46352</v>
      </c>
      <c r="AB202" s="21">
        <v>42185</v>
      </c>
      <c r="AC202" s="21">
        <v>41567</v>
      </c>
      <c r="AD202" s="21">
        <v>35862</v>
      </c>
      <c r="AE202" s="21">
        <v>34513</v>
      </c>
      <c r="AF202" s="21">
        <v>35199</v>
      </c>
      <c r="AG202" s="21">
        <v>30753</v>
      </c>
      <c r="AH202" s="21">
        <v>15524</v>
      </c>
      <c r="AI202" s="21">
        <v>16898</v>
      </c>
      <c r="AJ202" s="21">
        <v>15153</v>
      </c>
      <c r="AK202" s="21">
        <v>18114</v>
      </c>
      <c r="AL202" s="21">
        <v>17865</v>
      </c>
      <c r="AM202" s="21">
        <v>19725</v>
      </c>
      <c r="AN202" s="21">
        <v>22595</v>
      </c>
      <c r="AO202" s="21">
        <v>24046</v>
      </c>
      <c r="AP202" s="21">
        <v>28490</v>
      </c>
      <c r="AQ202" s="21">
        <v>26622</v>
      </c>
      <c r="AR202" s="21">
        <v>24667</v>
      </c>
      <c r="AS202" s="21">
        <v>26403</v>
      </c>
      <c r="AT202" s="21">
        <v>15817</v>
      </c>
      <c r="AU202" s="21">
        <v>19940</v>
      </c>
      <c r="AV202" s="21">
        <v>23540</v>
      </c>
      <c r="AW202" s="21">
        <v>25480</v>
      </c>
      <c r="AX202" s="21">
        <v>19594</v>
      </c>
      <c r="AY202" s="21">
        <v>11731</v>
      </c>
      <c r="AZ202" s="21">
        <v>5208</v>
      </c>
      <c r="BA202" s="21">
        <v>6405</v>
      </c>
      <c r="BB202" s="21">
        <v>7274</v>
      </c>
      <c r="BC202" s="21">
        <v>4468</v>
      </c>
      <c r="BD202" s="21">
        <v>1931</v>
      </c>
      <c r="BE202" s="21">
        <v>1897</v>
      </c>
      <c r="BF202" s="21">
        <v>3284</v>
      </c>
      <c r="BG202" s="21">
        <v>2331</v>
      </c>
      <c r="BH202" s="21">
        <v>3173</v>
      </c>
      <c r="BI202" s="21">
        <v>1890</v>
      </c>
      <c r="BJ202" s="21">
        <v>1976</v>
      </c>
      <c r="BK202" s="21">
        <v>2472</v>
      </c>
      <c r="BL202" s="21">
        <v>2743</v>
      </c>
      <c r="BM202" s="21">
        <v>2169</v>
      </c>
    </row>
    <row r="203" spans="1:65" x14ac:dyDescent="0.2">
      <c r="A203" s="21" t="s">
        <v>1413</v>
      </c>
      <c r="B203" s="21" t="s">
        <v>1414</v>
      </c>
      <c r="C203" s="21" t="s">
        <v>617</v>
      </c>
      <c r="D203" s="21">
        <v>25867</v>
      </c>
      <c r="E203" s="21">
        <v>25068</v>
      </c>
      <c r="F203" s="21">
        <v>24421</v>
      </c>
      <c r="G203" s="21">
        <v>23797</v>
      </c>
      <c r="H203" s="21">
        <v>23789</v>
      </c>
      <c r="I203" s="21">
        <v>23809</v>
      </c>
      <c r="J203" s="21">
        <v>23109</v>
      </c>
      <c r="K203" s="21">
        <v>23910</v>
      </c>
      <c r="L203" s="21">
        <v>24371</v>
      </c>
      <c r="M203" s="21">
        <v>24857</v>
      </c>
      <c r="N203" s="21">
        <v>25708</v>
      </c>
      <c r="O203" s="21">
        <v>25230</v>
      </c>
      <c r="P203" s="21">
        <v>24831</v>
      </c>
      <c r="Q203" s="21">
        <v>24995</v>
      </c>
      <c r="R203" s="21">
        <v>23506</v>
      </c>
      <c r="S203" s="21">
        <v>24346</v>
      </c>
      <c r="T203" s="21">
        <v>24072</v>
      </c>
      <c r="U203" s="21">
        <v>24927</v>
      </c>
      <c r="V203" s="21">
        <v>24281</v>
      </c>
      <c r="W203" s="21">
        <v>24151</v>
      </c>
      <c r="X203" s="21">
        <v>26590</v>
      </c>
      <c r="Y203" s="21">
        <v>25456</v>
      </c>
      <c r="Z203" s="21">
        <v>26014</v>
      </c>
      <c r="AA203" s="21">
        <v>29808</v>
      </c>
      <c r="AB203" s="21">
        <v>32594</v>
      </c>
      <c r="AC203" s="21">
        <v>32405</v>
      </c>
      <c r="AD203" s="21">
        <v>33782</v>
      </c>
      <c r="AE203" s="21">
        <v>34451</v>
      </c>
      <c r="AF203" s="21">
        <v>35271</v>
      </c>
      <c r="AG203" s="21">
        <v>37571</v>
      </c>
      <c r="AH203" s="21">
        <v>38748</v>
      </c>
      <c r="AI203" s="21">
        <v>38145</v>
      </c>
      <c r="AJ203" s="21">
        <v>37771</v>
      </c>
      <c r="AK203" s="21">
        <v>37688</v>
      </c>
      <c r="AL203" s="21">
        <v>38142</v>
      </c>
      <c r="AM203" s="21">
        <v>38215</v>
      </c>
      <c r="AN203" s="21">
        <v>38196</v>
      </c>
      <c r="AO203" s="21">
        <v>38634</v>
      </c>
      <c r="AP203" s="21">
        <v>39123</v>
      </c>
      <c r="AQ203" s="21">
        <v>41389</v>
      </c>
      <c r="AR203" s="21">
        <v>42073</v>
      </c>
      <c r="AS203" s="21">
        <v>41887</v>
      </c>
      <c r="AT203" s="21">
        <v>42116</v>
      </c>
      <c r="AU203" s="21">
        <v>52708</v>
      </c>
      <c r="AV203" s="21">
        <v>55704</v>
      </c>
      <c r="AW203" s="21">
        <v>56750</v>
      </c>
      <c r="AX203" s="21">
        <v>54425</v>
      </c>
      <c r="AY203" s="21">
        <v>58624</v>
      </c>
      <c r="AZ203" s="21">
        <v>54706</v>
      </c>
      <c r="BA203" s="21">
        <v>54695</v>
      </c>
      <c r="BB203" s="21">
        <v>54205</v>
      </c>
      <c r="BC203" s="21">
        <v>52624</v>
      </c>
      <c r="BD203" s="21">
        <v>48863</v>
      </c>
      <c r="BE203" s="21">
        <v>50711</v>
      </c>
      <c r="BF203" s="21">
        <v>51467</v>
      </c>
      <c r="BG203" s="21">
        <v>49647</v>
      </c>
      <c r="BH203" s="21">
        <v>48520</v>
      </c>
      <c r="BI203" s="21">
        <v>48461</v>
      </c>
      <c r="BJ203" s="21">
        <v>48917</v>
      </c>
      <c r="BK203" s="21">
        <v>47349</v>
      </c>
      <c r="BL203" s="21">
        <v>39589</v>
      </c>
      <c r="BM203" s="21">
        <v>38218</v>
      </c>
    </row>
    <row r="204" spans="1:65" x14ac:dyDescent="0.2">
      <c r="A204" s="21" t="s">
        <v>1413</v>
      </c>
      <c r="B204" s="21" t="s">
        <v>1414</v>
      </c>
      <c r="C204" s="21" t="s">
        <v>619</v>
      </c>
      <c r="D204" s="21">
        <v>1343746</v>
      </c>
      <c r="E204" s="21">
        <v>1390766</v>
      </c>
      <c r="F204" s="21">
        <v>1491776</v>
      </c>
      <c r="G204" s="21">
        <v>1644155</v>
      </c>
      <c r="H204" s="21">
        <v>1754273</v>
      </c>
      <c r="I204" s="21">
        <v>1883814</v>
      </c>
      <c r="J204" s="21">
        <v>2060702</v>
      </c>
      <c r="K204" s="21">
        <v>2211681</v>
      </c>
      <c r="L204" s="21">
        <v>2420991</v>
      </c>
      <c r="M204" s="21">
        <v>2644377</v>
      </c>
      <c r="N204" s="21">
        <v>2908121</v>
      </c>
      <c r="O204" s="21">
        <v>3108498</v>
      </c>
      <c r="P204" s="21">
        <v>3373735</v>
      </c>
      <c r="Q204" s="21">
        <v>3602990</v>
      </c>
      <c r="R204" s="21">
        <v>3634086</v>
      </c>
      <c r="S204" s="21">
        <v>3834824</v>
      </c>
      <c r="T204" s="21">
        <v>4017840</v>
      </c>
      <c r="U204" s="21">
        <v>4194950</v>
      </c>
      <c r="V204" s="21">
        <v>4393454</v>
      </c>
      <c r="W204" s="21">
        <v>4430598</v>
      </c>
      <c r="X204" s="21">
        <v>4582222</v>
      </c>
      <c r="Y204" s="21">
        <v>4762719</v>
      </c>
      <c r="Z204" s="21">
        <v>4911790</v>
      </c>
      <c r="AA204" s="21">
        <v>4978017</v>
      </c>
      <c r="AB204" s="21">
        <v>5167261</v>
      </c>
      <c r="AC204" s="21">
        <v>5387976</v>
      </c>
      <c r="AD204" s="21">
        <v>5473626</v>
      </c>
      <c r="AE204" s="21">
        <v>5620527</v>
      </c>
      <c r="AF204" s="21">
        <v>5924495</v>
      </c>
      <c r="AG204" s="21">
        <v>6388721</v>
      </c>
      <c r="AH204" s="21">
        <v>6593252</v>
      </c>
      <c r="AI204" s="21">
        <v>6668400</v>
      </c>
      <c r="AJ204" s="21">
        <v>6585452</v>
      </c>
      <c r="AK204" s="21">
        <v>6856588</v>
      </c>
      <c r="AL204" s="21">
        <v>6986272</v>
      </c>
      <c r="AM204" s="21">
        <v>7365537</v>
      </c>
      <c r="AN204" s="21">
        <v>7583615</v>
      </c>
      <c r="AO204" s="21">
        <v>7925487</v>
      </c>
      <c r="AP204" s="21">
        <v>8328364</v>
      </c>
      <c r="AQ204" s="21">
        <v>8603659</v>
      </c>
      <c r="AR204" s="21">
        <v>8980378</v>
      </c>
      <c r="AS204" s="21">
        <v>9029427</v>
      </c>
      <c r="AT204" s="21">
        <v>9133147</v>
      </c>
      <c r="AU204" s="21">
        <v>8972497</v>
      </c>
      <c r="AV204" s="21">
        <v>9238583</v>
      </c>
      <c r="AW204" s="21">
        <v>9442944</v>
      </c>
      <c r="AX204" s="21">
        <v>9526804</v>
      </c>
      <c r="AY204" s="21">
        <v>9729797</v>
      </c>
      <c r="AZ204" s="21">
        <v>9698118</v>
      </c>
      <c r="BA204" s="21">
        <v>9337452</v>
      </c>
      <c r="BB204" s="21">
        <v>9459818</v>
      </c>
      <c r="BC204" s="21">
        <v>9345142</v>
      </c>
      <c r="BD204" s="21">
        <v>9112609</v>
      </c>
      <c r="BE204" s="21">
        <v>9156875</v>
      </c>
      <c r="BF204" s="21">
        <v>9205629</v>
      </c>
      <c r="BG204" s="21">
        <v>9027978</v>
      </c>
      <c r="BH204" s="21">
        <v>9005215</v>
      </c>
      <c r="BI204" s="21">
        <v>8875069</v>
      </c>
      <c r="BJ204" s="21">
        <v>8926380</v>
      </c>
      <c r="BK204" s="21">
        <v>8545279</v>
      </c>
      <c r="BL204" s="21">
        <v>7921884</v>
      </c>
      <c r="BM204" s="21">
        <v>8244326</v>
      </c>
    </row>
    <row r="205" spans="1:65" x14ac:dyDescent="0.2">
      <c r="A205" s="21" t="s">
        <v>1413</v>
      </c>
      <c r="B205" s="21" t="s">
        <v>1414</v>
      </c>
      <c r="C205" s="21" t="s">
        <v>621</v>
      </c>
      <c r="D205" s="21">
        <v>2738244</v>
      </c>
      <c r="E205" s="21">
        <v>2793490</v>
      </c>
      <c r="F205" s="21">
        <v>2949636</v>
      </c>
      <c r="G205" s="21">
        <v>3078784</v>
      </c>
      <c r="H205" s="21">
        <v>3284626</v>
      </c>
      <c r="I205" s="21">
        <v>3492060</v>
      </c>
      <c r="J205" s="21">
        <v>3791034</v>
      </c>
      <c r="K205" s="21">
        <v>3953138</v>
      </c>
      <c r="L205" s="21">
        <v>4242085</v>
      </c>
      <c r="M205" s="21">
        <v>4552896</v>
      </c>
      <c r="N205" s="21">
        <v>4712089</v>
      </c>
      <c r="O205" s="21">
        <v>4849870</v>
      </c>
      <c r="P205" s="21">
        <v>5237221</v>
      </c>
      <c r="Q205" s="21">
        <v>5555622</v>
      </c>
      <c r="R205" s="21">
        <v>5650129</v>
      </c>
      <c r="S205" s="21">
        <v>5628896</v>
      </c>
      <c r="T205" s="21">
        <v>6157680</v>
      </c>
      <c r="U205" s="21">
        <v>6411885</v>
      </c>
      <c r="V205" s="21">
        <v>6685927</v>
      </c>
      <c r="W205" s="21">
        <v>6857676</v>
      </c>
      <c r="X205" s="21">
        <v>6683277</v>
      </c>
      <c r="Y205" s="21">
        <v>6598700</v>
      </c>
      <c r="Z205" s="21">
        <v>6009370</v>
      </c>
      <c r="AA205" s="21">
        <v>6226418</v>
      </c>
      <c r="AB205" s="21">
        <v>6518042</v>
      </c>
      <c r="AC205" s="21">
        <v>6537707</v>
      </c>
      <c r="AD205" s="21">
        <v>6355963</v>
      </c>
      <c r="AE205" s="21">
        <v>6480280</v>
      </c>
      <c r="AF205" s="21">
        <v>6771978</v>
      </c>
      <c r="AG205" s="21">
        <v>7290321</v>
      </c>
      <c r="AH205" s="21">
        <v>7386866</v>
      </c>
      <c r="AI205" s="21">
        <v>7317993</v>
      </c>
      <c r="AJ205" s="21">
        <v>7469827</v>
      </c>
      <c r="AK205" s="21">
        <v>7521272</v>
      </c>
      <c r="AL205" s="21">
        <v>7680688</v>
      </c>
      <c r="AM205" s="21">
        <v>7782580</v>
      </c>
      <c r="AN205" s="21">
        <v>7947568</v>
      </c>
      <c r="AO205" s="21">
        <v>7939094</v>
      </c>
      <c r="AP205" s="21">
        <v>8052387</v>
      </c>
      <c r="AQ205" s="21">
        <v>8173661</v>
      </c>
      <c r="AR205" s="21">
        <v>8188988</v>
      </c>
      <c r="AS205" s="21">
        <v>7515986</v>
      </c>
      <c r="AT205" s="21">
        <v>7483695</v>
      </c>
      <c r="AU205" s="21">
        <v>7581133</v>
      </c>
      <c r="AV205" s="21">
        <v>7651208</v>
      </c>
      <c r="AW205" s="21">
        <v>7597474</v>
      </c>
      <c r="AX205" s="21">
        <v>7441134</v>
      </c>
      <c r="AY205" s="21">
        <v>7592958</v>
      </c>
      <c r="AZ205" s="21">
        <v>7440117</v>
      </c>
      <c r="BA205" s="21">
        <v>6654533</v>
      </c>
      <c r="BB205" s="21">
        <v>7015421</v>
      </c>
      <c r="BC205" s="21">
        <v>7095982</v>
      </c>
      <c r="BD205" s="21">
        <v>6924268</v>
      </c>
      <c r="BE205" s="21">
        <v>6884681</v>
      </c>
      <c r="BF205" s="21">
        <v>6931704</v>
      </c>
      <c r="BG205" s="21">
        <v>6666522</v>
      </c>
      <c r="BH205" s="21">
        <v>6541177</v>
      </c>
      <c r="BI205" s="21">
        <v>6579270</v>
      </c>
      <c r="BJ205" s="21">
        <v>6560328</v>
      </c>
      <c r="BK205" s="21">
        <v>6402615</v>
      </c>
      <c r="BL205" s="21">
        <v>5994875</v>
      </c>
      <c r="BM205" s="21">
        <v>6322447</v>
      </c>
    </row>
    <row r="206" spans="1:65" x14ac:dyDescent="0.2">
      <c r="A206" s="21" t="s">
        <v>1413</v>
      </c>
      <c r="B206" s="21" t="s">
        <v>1414</v>
      </c>
      <c r="C206" s="21" t="s">
        <v>623</v>
      </c>
      <c r="D206" s="21">
        <v>1701405</v>
      </c>
      <c r="E206" s="21">
        <v>1779055</v>
      </c>
      <c r="F206" s="21">
        <v>1908587</v>
      </c>
      <c r="G206" s="21">
        <v>2045919</v>
      </c>
      <c r="H206" s="21">
        <v>2205420</v>
      </c>
      <c r="I206" s="21">
        <v>2371617</v>
      </c>
      <c r="J206" s="21">
        <v>2592745</v>
      </c>
      <c r="K206" s="21">
        <v>2773762</v>
      </c>
      <c r="L206" s="21">
        <v>3107909</v>
      </c>
      <c r="M206" s="21">
        <v>3475209</v>
      </c>
      <c r="N206" s="21">
        <v>3851300</v>
      </c>
      <c r="O206" s="21">
        <v>4112804</v>
      </c>
      <c r="P206" s="21">
        <v>4403933</v>
      </c>
      <c r="Q206" s="21">
        <v>4693749</v>
      </c>
      <c r="R206" s="21">
        <v>4773851</v>
      </c>
      <c r="S206" s="21">
        <v>4816371</v>
      </c>
      <c r="T206" s="21">
        <v>4954872</v>
      </c>
      <c r="U206" s="21">
        <v>5265889</v>
      </c>
      <c r="V206" s="21">
        <v>5575932</v>
      </c>
      <c r="W206" s="21">
        <v>5566244</v>
      </c>
      <c r="X206" s="21">
        <v>5886057</v>
      </c>
      <c r="Y206" s="21">
        <v>5774051</v>
      </c>
      <c r="Z206" s="21">
        <v>5887593</v>
      </c>
      <c r="AA206" s="21">
        <v>6027525</v>
      </c>
      <c r="AB206" s="21">
        <v>6072573</v>
      </c>
      <c r="AC206" s="21">
        <v>6206405</v>
      </c>
      <c r="AD206" s="21">
        <v>6271725</v>
      </c>
      <c r="AE206" s="21">
        <v>6423105</v>
      </c>
      <c r="AF206" s="21">
        <v>6746295</v>
      </c>
      <c r="AG206" s="21">
        <v>7133853</v>
      </c>
      <c r="AH206" s="21">
        <v>7236251</v>
      </c>
      <c r="AI206" s="21">
        <v>7419462</v>
      </c>
      <c r="AJ206" s="21">
        <v>7215753</v>
      </c>
      <c r="AK206" s="21">
        <v>7681227</v>
      </c>
      <c r="AL206" s="21">
        <v>7694626</v>
      </c>
      <c r="AM206" s="21">
        <v>8027700</v>
      </c>
      <c r="AN206" s="21">
        <v>8346743</v>
      </c>
      <c r="AO206" s="21">
        <v>8263365</v>
      </c>
      <c r="AP206" s="21">
        <v>8682611</v>
      </c>
      <c r="AQ206" s="21">
        <v>8869967</v>
      </c>
      <c r="AR206" s="21">
        <v>9193744</v>
      </c>
      <c r="AS206" s="21">
        <v>9076101</v>
      </c>
      <c r="AT206" s="21">
        <v>9551369</v>
      </c>
      <c r="AU206" s="21">
        <v>9504548</v>
      </c>
      <c r="AV206" s="21">
        <v>9655560</v>
      </c>
      <c r="AW206" s="21">
        <v>10046641</v>
      </c>
      <c r="AX206" s="21">
        <v>9879172</v>
      </c>
      <c r="AY206" s="21">
        <v>10154756</v>
      </c>
      <c r="AZ206" s="21">
        <v>10045905</v>
      </c>
      <c r="BA206" s="21">
        <v>9762094</v>
      </c>
      <c r="BB206" s="21">
        <v>10296199</v>
      </c>
      <c r="BC206" s="21">
        <v>10022386</v>
      </c>
      <c r="BD206" s="21">
        <v>9459658</v>
      </c>
      <c r="BE206" s="21">
        <v>9572545</v>
      </c>
      <c r="BF206" s="21">
        <v>9613335</v>
      </c>
      <c r="BG206" s="21">
        <v>9329466</v>
      </c>
      <c r="BH206" s="21">
        <v>9308634</v>
      </c>
      <c r="BI206" s="21">
        <v>9046171</v>
      </c>
      <c r="BJ206" s="21">
        <v>9485297</v>
      </c>
      <c r="BK206" s="21">
        <v>9034902</v>
      </c>
      <c r="BL206" s="21">
        <v>8989884</v>
      </c>
      <c r="BM206" s="21">
        <v>9112938</v>
      </c>
    </row>
    <row r="207" spans="1:65" x14ac:dyDescent="0.2">
      <c r="A207" s="21" t="s">
        <v>1413</v>
      </c>
      <c r="B207" s="21" t="s">
        <v>1414</v>
      </c>
      <c r="C207" s="21" t="s">
        <v>625</v>
      </c>
      <c r="D207" s="21">
        <v>5809262</v>
      </c>
      <c r="E207" s="21">
        <v>5988378</v>
      </c>
      <c r="F207" s="21">
        <v>6374419</v>
      </c>
      <c r="G207" s="21">
        <v>6792655</v>
      </c>
      <c r="H207" s="21">
        <v>7268108</v>
      </c>
      <c r="I207" s="21">
        <v>7771300</v>
      </c>
      <c r="J207" s="21">
        <v>8467590</v>
      </c>
      <c r="K207" s="21">
        <v>8962491</v>
      </c>
      <c r="L207" s="21">
        <v>9795356</v>
      </c>
      <c r="M207" s="21">
        <v>10697338</v>
      </c>
      <c r="N207" s="21">
        <v>11497218</v>
      </c>
      <c r="O207" s="21">
        <v>12096402</v>
      </c>
      <c r="P207" s="21">
        <v>13039721</v>
      </c>
      <c r="Q207" s="21">
        <v>13877357</v>
      </c>
      <c r="R207" s="21">
        <v>14081572</v>
      </c>
      <c r="S207" s="21">
        <v>14304438</v>
      </c>
      <c r="T207" s="21">
        <v>15154464</v>
      </c>
      <c r="U207" s="21">
        <v>15897651</v>
      </c>
      <c r="V207" s="21">
        <v>16679593</v>
      </c>
      <c r="W207" s="21">
        <v>16878669</v>
      </c>
      <c r="X207" s="21">
        <v>17178145</v>
      </c>
      <c r="Y207" s="21">
        <v>17160926</v>
      </c>
      <c r="Z207" s="21">
        <v>16834767</v>
      </c>
      <c r="AA207" s="21">
        <v>17261768</v>
      </c>
      <c r="AB207" s="21">
        <v>17790469</v>
      </c>
      <c r="AC207" s="21">
        <v>18164492</v>
      </c>
      <c r="AD207" s="21">
        <v>18135096</v>
      </c>
      <c r="AE207" s="21">
        <v>18558364</v>
      </c>
      <c r="AF207" s="21">
        <v>19478039</v>
      </c>
      <c r="AG207" s="21">
        <v>20850467</v>
      </c>
      <c r="AH207" s="21">
        <v>21255118</v>
      </c>
      <c r="AI207" s="21">
        <v>21444000</v>
      </c>
      <c r="AJ207" s="21">
        <v>21308803</v>
      </c>
      <c r="AK207" s="21">
        <v>22096775</v>
      </c>
      <c r="AL207" s="21">
        <v>22399728</v>
      </c>
      <c r="AM207" s="21">
        <v>23214031</v>
      </c>
      <c r="AN207" s="21">
        <v>23916123</v>
      </c>
      <c r="AO207" s="21">
        <v>24166579</v>
      </c>
      <c r="AP207" s="21">
        <v>25102485</v>
      </c>
      <c r="AQ207" s="21">
        <v>25688676</v>
      </c>
      <c r="AR207" s="21">
        <v>26405183</v>
      </c>
      <c r="AS207" s="21">
        <v>25663402</v>
      </c>
      <c r="AT207" s="21">
        <v>26210327</v>
      </c>
      <c r="AU207" s="21">
        <v>26110885</v>
      </c>
      <c r="AV207" s="21">
        <v>26601055</v>
      </c>
      <c r="AW207" s="21">
        <v>27143810</v>
      </c>
      <c r="AX207" s="21">
        <v>26901536</v>
      </c>
      <c r="AY207" s="21">
        <v>27536135</v>
      </c>
      <c r="AZ207" s="21">
        <v>27238847</v>
      </c>
      <c r="BA207" s="21">
        <v>25808775</v>
      </c>
      <c r="BB207" s="21">
        <v>26825642</v>
      </c>
      <c r="BC207" s="21">
        <v>26516134</v>
      </c>
      <c r="BD207" s="21">
        <v>25545399</v>
      </c>
      <c r="BE207" s="21">
        <v>25664812</v>
      </c>
      <c r="BF207" s="21">
        <v>25802135</v>
      </c>
      <c r="BG207" s="21">
        <v>25073612</v>
      </c>
      <c r="BH207" s="21">
        <v>24903546</v>
      </c>
      <c r="BI207" s="21">
        <v>24548971</v>
      </c>
      <c r="BJ207" s="21">
        <v>25020921</v>
      </c>
      <c r="BK207" s="21">
        <v>24030144</v>
      </c>
      <c r="BL207" s="21">
        <v>22946232</v>
      </c>
      <c r="BM207" s="21">
        <v>23717928</v>
      </c>
    </row>
    <row r="208" spans="1:65" x14ac:dyDescent="0.2">
      <c r="A208" s="21" t="s">
        <v>1413</v>
      </c>
      <c r="B208" s="21" t="s">
        <v>1414</v>
      </c>
      <c r="C208" s="21" t="s">
        <v>627</v>
      </c>
      <c r="D208" s="21">
        <v>5809262</v>
      </c>
      <c r="E208" s="21">
        <v>5988378</v>
      </c>
      <c r="F208" s="21">
        <v>6374419</v>
      </c>
      <c r="G208" s="21">
        <v>6792655</v>
      </c>
      <c r="H208" s="21">
        <v>7268108</v>
      </c>
      <c r="I208" s="21">
        <v>7771300</v>
      </c>
      <c r="J208" s="21">
        <v>8467590</v>
      </c>
      <c r="K208" s="21">
        <v>8962491</v>
      </c>
      <c r="L208" s="21">
        <v>9795356</v>
      </c>
      <c r="M208" s="21">
        <v>10697338</v>
      </c>
      <c r="N208" s="21">
        <v>11497218</v>
      </c>
      <c r="O208" s="21">
        <v>12096402</v>
      </c>
      <c r="P208" s="21">
        <v>13039721</v>
      </c>
      <c r="Q208" s="21">
        <v>13877357</v>
      </c>
      <c r="R208" s="21">
        <v>14081572</v>
      </c>
      <c r="S208" s="21">
        <v>14304438</v>
      </c>
      <c r="T208" s="21">
        <v>15154464</v>
      </c>
      <c r="U208" s="21">
        <v>15897651</v>
      </c>
      <c r="V208" s="21">
        <v>16679593</v>
      </c>
      <c r="W208" s="21">
        <v>16878669</v>
      </c>
      <c r="X208" s="21">
        <v>17178145</v>
      </c>
      <c r="Y208" s="21">
        <v>17160926</v>
      </c>
      <c r="Z208" s="21">
        <v>16834767</v>
      </c>
      <c r="AA208" s="21">
        <v>17261768</v>
      </c>
      <c r="AB208" s="21">
        <v>17790469</v>
      </c>
      <c r="AC208" s="21">
        <v>18164492</v>
      </c>
      <c r="AD208" s="21">
        <v>18135096</v>
      </c>
      <c r="AE208" s="21">
        <v>18558364</v>
      </c>
      <c r="AF208" s="21">
        <v>19478039</v>
      </c>
      <c r="AG208" s="21">
        <v>20850467</v>
      </c>
      <c r="AH208" s="21">
        <v>21255118</v>
      </c>
      <c r="AI208" s="21">
        <v>21444000</v>
      </c>
      <c r="AJ208" s="21">
        <v>21308803</v>
      </c>
      <c r="AK208" s="21">
        <v>22096775</v>
      </c>
      <c r="AL208" s="21">
        <v>22399728</v>
      </c>
      <c r="AM208" s="21">
        <v>23214031</v>
      </c>
      <c r="AN208" s="21">
        <v>23916123</v>
      </c>
      <c r="AO208" s="21">
        <v>24166579</v>
      </c>
      <c r="AP208" s="21">
        <v>25102485</v>
      </c>
      <c r="AQ208" s="21">
        <v>25688676</v>
      </c>
      <c r="AR208" s="21">
        <v>26405183</v>
      </c>
      <c r="AS208" s="21">
        <v>25663402</v>
      </c>
      <c r="AT208" s="21">
        <v>26210327</v>
      </c>
      <c r="AU208" s="21">
        <v>26110885</v>
      </c>
      <c r="AV208" s="21">
        <v>26601055</v>
      </c>
      <c r="AW208" s="21">
        <v>27143810</v>
      </c>
      <c r="AX208" s="21">
        <v>26901536</v>
      </c>
      <c r="AY208" s="21">
        <v>27536135</v>
      </c>
      <c r="AZ208" s="21">
        <v>27238847</v>
      </c>
      <c r="BA208" s="21">
        <v>25808775</v>
      </c>
      <c r="BB208" s="21">
        <v>26825642</v>
      </c>
      <c r="BC208" s="21">
        <v>26516134</v>
      </c>
      <c r="BD208" s="21">
        <v>25545399</v>
      </c>
      <c r="BE208" s="21">
        <v>25664812</v>
      </c>
      <c r="BF208" s="21">
        <v>25802135</v>
      </c>
      <c r="BG208" s="21">
        <v>25073612</v>
      </c>
      <c r="BH208" s="21">
        <v>24903546</v>
      </c>
      <c r="BI208" s="21">
        <v>24548971</v>
      </c>
      <c r="BJ208" s="21">
        <v>25020921</v>
      </c>
      <c r="BK208" s="21">
        <v>24030144</v>
      </c>
      <c r="BL208" s="21">
        <v>22946232</v>
      </c>
      <c r="BM208" s="21">
        <v>23717928</v>
      </c>
    </row>
    <row r="209" spans="1:65" x14ac:dyDescent="0.2">
      <c r="A209" s="21" t="s">
        <v>1413</v>
      </c>
      <c r="B209" s="21" t="s">
        <v>1414</v>
      </c>
      <c r="C209" s="21" t="s">
        <v>629</v>
      </c>
      <c r="D209" s="21">
        <v>151860</v>
      </c>
      <c r="E209" s="21">
        <v>147797</v>
      </c>
      <c r="F209" s="21">
        <v>145503</v>
      </c>
      <c r="G209" s="21">
        <v>145456</v>
      </c>
      <c r="H209" s="21">
        <v>152752</v>
      </c>
      <c r="I209" s="21">
        <v>148517</v>
      </c>
      <c r="J209" s="21">
        <v>154282</v>
      </c>
      <c r="K209" s="21">
        <v>135458</v>
      </c>
      <c r="L209" s="21">
        <v>148794</v>
      </c>
      <c r="M209" s="21">
        <v>143964</v>
      </c>
      <c r="N209" s="21">
        <v>146652</v>
      </c>
      <c r="O209" s="21">
        <v>147215</v>
      </c>
      <c r="P209" s="21">
        <v>157638</v>
      </c>
      <c r="Q209" s="21">
        <v>163388</v>
      </c>
      <c r="R209" s="21">
        <v>156482</v>
      </c>
      <c r="S209" s="21">
        <v>154777</v>
      </c>
      <c r="T209" s="21">
        <v>171939</v>
      </c>
      <c r="U209" s="21">
        <v>171778</v>
      </c>
      <c r="V209" s="21">
        <v>184472</v>
      </c>
      <c r="W209" s="21">
        <v>193030</v>
      </c>
      <c r="X209" s="21">
        <v>171890</v>
      </c>
      <c r="Y209" s="21">
        <v>164849</v>
      </c>
      <c r="Z209" s="21">
        <v>150328</v>
      </c>
      <c r="AA209" s="21">
        <v>157390</v>
      </c>
      <c r="AB209" s="21">
        <v>167836</v>
      </c>
      <c r="AC209" s="21">
        <v>156417</v>
      </c>
      <c r="AD209" s="21">
        <v>152941</v>
      </c>
      <c r="AE209" s="21">
        <v>172909</v>
      </c>
      <c r="AF209" s="21">
        <v>166743</v>
      </c>
      <c r="AG209" s="21">
        <v>171026</v>
      </c>
      <c r="AH209" s="21">
        <v>175999</v>
      </c>
      <c r="AI209" s="21">
        <v>157451</v>
      </c>
      <c r="AJ209" s="21">
        <v>160527</v>
      </c>
      <c r="AK209" s="21">
        <v>163458</v>
      </c>
      <c r="AL209" s="21">
        <v>170847</v>
      </c>
      <c r="AM209" s="21">
        <v>167913</v>
      </c>
      <c r="AN209" s="21">
        <v>162957</v>
      </c>
      <c r="AO209" s="21">
        <v>172146</v>
      </c>
      <c r="AP209" s="21">
        <v>180212</v>
      </c>
      <c r="AQ209" s="21">
        <v>182097</v>
      </c>
      <c r="AR209" s="21">
        <v>179366</v>
      </c>
      <c r="AS209" s="21">
        <v>164339</v>
      </c>
      <c r="AT209" s="21">
        <v>162395</v>
      </c>
      <c r="AU209" s="21">
        <v>150134</v>
      </c>
      <c r="AV209" s="21">
        <v>152099</v>
      </c>
      <c r="AW209" s="21">
        <v>151306</v>
      </c>
      <c r="AX209" s="21">
        <v>147415</v>
      </c>
      <c r="AY209" s="21">
        <v>152231</v>
      </c>
      <c r="AZ209" s="21">
        <v>141328</v>
      </c>
      <c r="BA209" s="21">
        <v>127064</v>
      </c>
      <c r="BB209" s="21">
        <v>154773</v>
      </c>
      <c r="BC209" s="21">
        <v>148373</v>
      </c>
      <c r="BD209" s="21">
        <v>135409</v>
      </c>
      <c r="BE209" s="21">
        <v>143360</v>
      </c>
      <c r="BF209" s="21">
        <v>149359</v>
      </c>
      <c r="BG209" s="21">
        <v>162813</v>
      </c>
      <c r="BH209" s="21">
        <v>154352</v>
      </c>
      <c r="BI209" s="21">
        <v>141983</v>
      </c>
      <c r="BJ209" s="21">
        <v>136987</v>
      </c>
      <c r="BK209" s="21">
        <v>131328</v>
      </c>
      <c r="BL209" s="21">
        <v>115615</v>
      </c>
      <c r="BM209" s="21">
        <v>119039</v>
      </c>
    </row>
    <row r="210" spans="1:65" x14ac:dyDescent="0.2">
      <c r="A210" s="21" t="s">
        <v>1413</v>
      </c>
      <c r="B210" s="21" t="s">
        <v>1414</v>
      </c>
      <c r="C210" s="21" t="s">
        <v>633</v>
      </c>
      <c r="D210" s="21">
        <v>25039</v>
      </c>
      <c r="E210" s="21">
        <v>24369</v>
      </c>
      <c r="F210" s="21">
        <v>23991</v>
      </c>
      <c r="G210" s="21">
        <v>23983</v>
      </c>
      <c r="H210" s="21">
        <v>25186</v>
      </c>
      <c r="I210" s="21">
        <v>24488</v>
      </c>
      <c r="J210" s="21">
        <v>25438</v>
      </c>
      <c r="K210" s="21">
        <v>22334</v>
      </c>
      <c r="L210" s="21">
        <v>24533</v>
      </c>
      <c r="M210" s="21">
        <v>23737</v>
      </c>
      <c r="N210" s="21">
        <v>24180</v>
      </c>
      <c r="O210" s="21">
        <v>24273</v>
      </c>
      <c r="P210" s="21">
        <v>25991</v>
      </c>
      <c r="Q210" s="21">
        <v>26939</v>
      </c>
      <c r="R210" s="21">
        <v>25801</v>
      </c>
      <c r="S210" s="21">
        <v>25520</v>
      </c>
      <c r="T210" s="21">
        <v>28349</v>
      </c>
      <c r="U210" s="21">
        <v>28323</v>
      </c>
      <c r="V210" s="21">
        <v>30416</v>
      </c>
      <c r="W210" s="21">
        <v>31827</v>
      </c>
      <c r="X210" s="21">
        <v>28341</v>
      </c>
      <c r="Y210" s="21">
        <v>27180</v>
      </c>
      <c r="Z210" s="21">
        <v>24786</v>
      </c>
      <c r="AA210" s="21">
        <v>25950</v>
      </c>
      <c r="AB210" s="21">
        <v>27673</v>
      </c>
      <c r="AC210" s="21">
        <v>25790</v>
      </c>
      <c r="AD210" s="21">
        <v>25217</v>
      </c>
      <c r="AE210" s="21">
        <v>28509</v>
      </c>
      <c r="AF210" s="21">
        <v>27493</v>
      </c>
      <c r="AG210" s="21">
        <v>28199</v>
      </c>
      <c r="AH210" s="21">
        <v>29019</v>
      </c>
      <c r="AI210" s="21">
        <v>25961</v>
      </c>
      <c r="AJ210" s="21">
        <v>26468</v>
      </c>
      <c r="AK210" s="21">
        <v>26951</v>
      </c>
      <c r="AL210" s="21">
        <v>28169</v>
      </c>
      <c r="AM210" s="21">
        <v>27685</v>
      </c>
      <c r="AN210" s="21">
        <v>26868</v>
      </c>
      <c r="AO210" s="21">
        <v>28383</v>
      </c>
      <c r="AP210" s="21">
        <v>29713</v>
      </c>
      <c r="AQ210" s="21">
        <v>30024</v>
      </c>
      <c r="AR210" s="21">
        <v>29574</v>
      </c>
      <c r="AS210" s="21">
        <v>27096</v>
      </c>
      <c r="AT210" s="21">
        <v>26776</v>
      </c>
      <c r="AU210" s="21">
        <v>24754</v>
      </c>
      <c r="AV210" s="21">
        <v>25078</v>
      </c>
      <c r="AW210" s="21">
        <v>24947</v>
      </c>
      <c r="AX210" s="21">
        <v>24306</v>
      </c>
      <c r="AY210" s="21">
        <v>25100</v>
      </c>
      <c r="AZ210" s="21">
        <v>23302</v>
      </c>
      <c r="BA210" s="21">
        <v>20950</v>
      </c>
      <c r="BB210" s="21">
        <v>25519</v>
      </c>
      <c r="BC210" s="21">
        <v>24464</v>
      </c>
      <c r="BD210" s="21">
        <v>22326</v>
      </c>
      <c r="BE210" s="21">
        <v>23637</v>
      </c>
      <c r="BF210" s="21">
        <v>24626</v>
      </c>
      <c r="BG210" s="21">
        <v>26845</v>
      </c>
      <c r="BH210" s="21">
        <v>25450</v>
      </c>
      <c r="BI210" s="21">
        <v>23410</v>
      </c>
      <c r="BJ210" s="21">
        <v>22587</v>
      </c>
      <c r="BK210" s="21">
        <v>21653</v>
      </c>
      <c r="BL210" s="21">
        <v>19063</v>
      </c>
      <c r="BM210" s="21">
        <v>19627</v>
      </c>
    </row>
    <row r="211" spans="1:65" x14ac:dyDescent="0.2">
      <c r="A211" s="21" t="s">
        <v>1413</v>
      </c>
      <c r="B211" s="21" t="s">
        <v>1414</v>
      </c>
      <c r="C211" s="21" t="s">
        <v>636</v>
      </c>
      <c r="D211" s="21">
        <v>106970</v>
      </c>
      <c r="E211" s="21">
        <v>104107</v>
      </c>
      <c r="F211" s="21">
        <v>119022</v>
      </c>
      <c r="G211" s="21">
        <v>118984</v>
      </c>
      <c r="H211" s="21">
        <v>124952</v>
      </c>
      <c r="I211" s="21">
        <v>137265</v>
      </c>
      <c r="J211" s="21">
        <v>142594</v>
      </c>
      <c r="K211" s="21">
        <v>132148</v>
      </c>
      <c r="L211" s="21">
        <v>145159</v>
      </c>
      <c r="M211" s="21">
        <v>151899</v>
      </c>
      <c r="N211" s="21">
        <v>154736</v>
      </c>
      <c r="O211" s="21">
        <v>151917</v>
      </c>
      <c r="P211" s="21">
        <v>162673</v>
      </c>
      <c r="Q211" s="21">
        <v>195484</v>
      </c>
      <c r="R211" s="21">
        <v>187222</v>
      </c>
      <c r="S211" s="21">
        <v>149498</v>
      </c>
      <c r="T211" s="21">
        <v>166075</v>
      </c>
      <c r="U211" s="21">
        <v>181873</v>
      </c>
      <c r="V211" s="21">
        <v>195313</v>
      </c>
      <c r="W211" s="21">
        <v>204373</v>
      </c>
      <c r="X211" s="21">
        <v>181991</v>
      </c>
      <c r="Y211" s="21">
        <v>174537</v>
      </c>
      <c r="Z211" s="21">
        <v>159163</v>
      </c>
      <c r="AA211" s="21">
        <v>166639</v>
      </c>
      <c r="AB211" s="21">
        <v>177699</v>
      </c>
      <c r="AC211" s="21">
        <v>165610</v>
      </c>
      <c r="AD211" s="21">
        <v>161929</v>
      </c>
      <c r="AE211" s="21">
        <v>183070</v>
      </c>
      <c r="AF211" s="21">
        <v>176542</v>
      </c>
      <c r="AG211" s="21">
        <v>181077</v>
      </c>
      <c r="AH211" s="21">
        <v>186342</v>
      </c>
      <c r="AI211" s="21">
        <v>166705</v>
      </c>
      <c r="AJ211" s="21">
        <v>169961</v>
      </c>
      <c r="AK211" s="21">
        <v>173064</v>
      </c>
      <c r="AL211" s="21">
        <v>180887</v>
      </c>
      <c r="AM211" s="21">
        <v>177780</v>
      </c>
      <c r="AN211" s="21">
        <v>172534</v>
      </c>
      <c r="AO211" s="21">
        <v>182262</v>
      </c>
      <c r="AP211" s="21">
        <v>190802</v>
      </c>
      <c r="AQ211" s="21">
        <v>192799</v>
      </c>
      <c r="AR211" s="21">
        <v>189907</v>
      </c>
      <c r="AS211" s="21">
        <v>173997</v>
      </c>
      <c r="AT211" s="21">
        <v>171938</v>
      </c>
      <c r="AU211" s="21">
        <v>158957</v>
      </c>
      <c r="AV211" s="21">
        <v>161037</v>
      </c>
      <c r="AW211" s="21">
        <v>160198</v>
      </c>
      <c r="AX211" s="21">
        <v>156078</v>
      </c>
      <c r="AY211" s="21">
        <v>161178</v>
      </c>
      <c r="AZ211" s="21">
        <v>149634</v>
      </c>
      <c r="BA211" s="21">
        <v>134531</v>
      </c>
      <c r="BB211" s="21">
        <v>135880</v>
      </c>
      <c r="BC211" s="21">
        <v>127397</v>
      </c>
      <c r="BD211" s="21">
        <v>118314</v>
      </c>
      <c r="BE211" s="21">
        <v>125089</v>
      </c>
      <c r="BF211" s="21">
        <v>130662</v>
      </c>
      <c r="BG211" s="21">
        <v>142136</v>
      </c>
      <c r="BH211" s="21">
        <v>135149</v>
      </c>
      <c r="BI211" s="21">
        <v>124895</v>
      </c>
      <c r="BJ211" s="21">
        <v>121988</v>
      </c>
      <c r="BK211" s="21">
        <v>118313</v>
      </c>
      <c r="BL211" s="21">
        <v>111089</v>
      </c>
      <c r="BM211" s="21">
        <v>113493</v>
      </c>
    </row>
    <row r="212" spans="1:65" x14ac:dyDescent="0.2">
      <c r="A212" s="21" t="s">
        <v>1413</v>
      </c>
      <c r="B212" s="21" t="s">
        <v>1414</v>
      </c>
      <c r="C212" s="21" t="s">
        <v>640</v>
      </c>
      <c r="D212" s="21">
        <v>17637</v>
      </c>
      <c r="E212" s="21">
        <v>17165</v>
      </c>
      <c r="F212" s="21">
        <v>19624</v>
      </c>
      <c r="G212" s="21">
        <v>19618</v>
      </c>
      <c r="H212" s="21">
        <v>20602</v>
      </c>
      <c r="I212" s="21">
        <v>22632</v>
      </c>
      <c r="J212" s="21">
        <v>23511</v>
      </c>
      <c r="K212" s="21">
        <v>21789</v>
      </c>
      <c r="L212" s="21">
        <v>23934</v>
      </c>
      <c r="M212" s="21">
        <v>25045</v>
      </c>
      <c r="N212" s="21">
        <v>25513</v>
      </c>
      <c r="O212" s="21">
        <v>25048</v>
      </c>
      <c r="P212" s="21">
        <v>26822</v>
      </c>
      <c r="Q212" s="21">
        <v>32232</v>
      </c>
      <c r="R212" s="21">
        <v>30869</v>
      </c>
      <c r="S212" s="21">
        <v>24649</v>
      </c>
      <c r="T212" s="21">
        <v>27383</v>
      </c>
      <c r="U212" s="21">
        <v>29987</v>
      </c>
      <c r="V212" s="21">
        <v>32203</v>
      </c>
      <c r="W212" s="21">
        <v>33697</v>
      </c>
      <c r="X212" s="21">
        <v>30007</v>
      </c>
      <c r="Y212" s="21">
        <v>28778</v>
      </c>
      <c r="Z212" s="21">
        <v>26243</v>
      </c>
      <c r="AA212" s="21">
        <v>27476</v>
      </c>
      <c r="AB212" s="21">
        <v>29299</v>
      </c>
      <c r="AC212" s="21">
        <v>27306</v>
      </c>
      <c r="AD212" s="21">
        <v>26699</v>
      </c>
      <c r="AE212" s="21">
        <v>30185</v>
      </c>
      <c r="AF212" s="21">
        <v>29108</v>
      </c>
      <c r="AG212" s="21">
        <v>29856</v>
      </c>
      <c r="AH212" s="21">
        <v>30724</v>
      </c>
      <c r="AI212" s="21">
        <v>27486</v>
      </c>
      <c r="AJ212" s="21">
        <v>28023</v>
      </c>
      <c r="AK212" s="21">
        <v>28535</v>
      </c>
      <c r="AL212" s="21">
        <v>29825</v>
      </c>
      <c r="AM212" s="21">
        <v>29313</v>
      </c>
      <c r="AN212" s="21">
        <v>28448</v>
      </c>
      <c r="AO212" s="21">
        <v>30052</v>
      </c>
      <c r="AP212" s="21">
        <v>31460</v>
      </c>
      <c r="AQ212" s="21">
        <v>31789</v>
      </c>
      <c r="AR212" s="21">
        <v>31312</v>
      </c>
      <c r="AS212" s="21">
        <v>28689</v>
      </c>
      <c r="AT212" s="21">
        <v>28349</v>
      </c>
      <c r="AU212" s="21">
        <v>26209</v>
      </c>
      <c r="AV212" s="21">
        <v>26552</v>
      </c>
      <c r="AW212" s="21">
        <v>26414</v>
      </c>
      <c r="AX212" s="21">
        <v>25734</v>
      </c>
      <c r="AY212" s="21">
        <v>26575</v>
      </c>
      <c r="AZ212" s="21">
        <v>24672</v>
      </c>
      <c r="BA212" s="21">
        <v>22182</v>
      </c>
      <c r="BB212" s="21">
        <v>22404</v>
      </c>
      <c r="BC212" s="21">
        <v>21005</v>
      </c>
      <c r="BD212" s="21">
        <v>19508</v>
      </c>
      <c r="BE212" s="21">
        <v>20625</v>
      </c>
      <c r="BF212" s="21">
        <v>21544</v>
      </c>
      <c r="BG212" s="21">
        <v>23435</v>
      </c>
      <c r="BH212" s="21">
        <v>22283</v>
      </c>
      <c r="BI212" s="21">
        <v>20593</v>
      </c>
      <c r="BJ212" s="21">
        <v>20113</v>
      </c>
      <c r="BK212" s="21">
        <v>19508</v>
      </c>
      <c r="BL212" s="21">
        <v>18316</v>
      </c>
      <c r="BM212" s="21">
        <v>18713</v>
      </c>
    </row>
    <row r="213" spans="1:65" x14ac:dyDescent="0.2">
      <c r="A213" s="21" t="s">
        <v>1413</v>
      </c>
      <c r="B213" s="21" t="s">
        <v>1414</v>
      </c>
      <c r="C213" s="21" t="s">
        <v>643</v>
      </c>
      <c r="D213" s="21">
        <v>258830</v>
      </c>
      <c r="E213" s="21">
        <v>251904</v>
      </c>
      <c r="F213" s="21">
        <v>264525</v>
      </c>
      <c r="G213" s="21">
        <v>264440</v>
      </c>
      <c r="H213" s="21">
        <v>277704</v>
      </c>
      <c r="I213" s="21">
        <v>285783</v>
      </c>
      <c r="J213" s="21">
        <v>296876</v>
      </c>
      <c r="K213" s="21">
        <v>267606</v>
      </c>
      <c r="L213" s="21">
        <v>293952</v>
      </c>
      <c r="M213" s="21">
        <v>295863</v>
      </c>
      <c r="N213" s="21">
        <v>301388</v>
      </c>
      <c r="O213" s="21">
        <v>299132</v>
      </c>
      <c r="P213" s="21">
        <v>320311</v>
      </c>
      <c r="Q213" s="21">
        <v>358872</v>
      </c>
      <c r="R213" s="21">
        <v>343704</v>
      </c>
      <c r="S213" s="21">
        <v>304275</v>
      </c>
      <c r="T213" s="21">
        <v>338015</v>
      </c>
      <c r="U213" s="21">
        <v>353650</v>
      </c>
      <c r="V213" s="21">
        <v>379784</v>
      </c>
      <c r="W213" s="21">
        <v>397403</v>
      </c>
      <c r="X213" s="21">
        <v>353881</v>
      </c>
      <c r="Y213" s="21">
        <v>339385</v>
      </c>
      <c r="Z213" s="21">
        <v>309491</v>
      </c>
      <c r="AA213" s="21">
        <v>324029</v>
      </c>
      <c r="AB213" s="21">
        <v>345535</v>
      </c>
      <c r="AC213" s="21">
        <v>322027</v>
      </c>
      <c r="AD213" s="21">
        <v>314871</v>
      </c>
      <c r="AE213" s="21">
        <v>355979</v>
      </c>
      <c r="AF213" s="21">
        <v>343285</v>
      </c>
      <c r="AG213" s="21">
        <v>352104</v>
      </c>
      <c r="AH213" s="21">
        <v>362341</v>
      </c>
      <c r="AI213" s="21">
        <v>324156</v>
      </c>
      <c r="AJ213" s="21">
        <v>330488</v>
      </c>
      <c r="AK213" s="21">
        <v>336523</v>
      </c>
      <c r="AL213" s="21">
        <v>351734</v>
      </c>
      <c r="AM213" s="21">
        <v>345693</v>
      </c>
      <c r="AN213" s="21">
        <v>335492</v>
      </c>
      <c r="AO213" s="21">
        <v>354408</v>
      </c>
      <c r="AP213" s="21">
        <v>371014</v>
      </c>
      <c r="AQ213" s="21">
        <v>374896</v>
      </c>
      <c r="AR213" s="21">
        <v>369274</v>
      </c>
      <c r="AS213" s="21">
        <v>338336</v>
      </c>
      <c r="AT213" s="21">
        <v>334333</v>
      </c>
      <c r="AU213" s="21">
        <v>309091</v>
      </c>
      <c r="AV213" s="21">
        <v>313136</v>
      </c>
      <c r="AW213" s="21">
        <v>311504</v>
      </c>
      <c r="AX213" s="21">
        <v>303493</v>
      </c>
      <c r="AY213" s="21">
        <v>313409</v>
      </c>
      <c r="AZ213" s="21">
        <v>290962</v>
      </c>
      <c r="BA213" s="21">
        <v>261596</v>
      </c>
      <c r="BB213" s="21">
        <v>290653</v>
      </c>
      <c r="BC213" s="21">
        <v>275769</v>
      </c>
      <c r="BD213" s="21">
        <v>253723</v>
      </c>
      <c r="BE213" s="21">
        <v>268449</v>
      </c>
      <c r="BF213" s="21">
        <v>280021</v>
      </c>
      <c r="BG213" s="21">
        <v>304948</v>
      </c>
      <c r="BH213" s="21">
        <v>289501</v>
      </c>
      <c r="BI213" s="21">
        <v>266878</v>
      </c>
      <c r="BJ213" s="21">
        <v>258975</v>
      </c>
      <c r="BK213" s="21">
        <v>249641</v>
      </c>
      <c r="BL213" s="21">
        <v>226704</v>
      </c>
      <c r="BM213" s="21">
        <v>232532</v>
      </c>
    </row>
    <row r="214" spans="1:65" x14ac:dyDescent="0.2">
      <c r="A214" s="21" t="s">
        <v>1413</v>
      </c>
      <c r="B214" s="21" t="s">
        <v>1414</v>
      </c>
      <c r="C214" s="21" t="s">
        <v>647</v>
      </c>
      <c r="D214" s="21">
        <v>42676</v>
      </c>
      <c r="E214" s="21">
        <v>41534</v>
      </c>
      <c r="F214" s="21">
        <v>43615</v>
      </c>
      <c r="G214" s="21">
        <v>43601</v>
      </c>
      <c r="H214" s="21">
        <v>45788</v>
      </c>
      <c r="I214" s="21">
        <v>47120</v>
      </c>
      <c r="J214" s="21">
        <v>48949</v>
      </c>
      <c r="K214" s="21">
        <v>44123</v>
      </c>
      <c r="L214" s="21">
        <v>48467</v>
      </c>
      <c r="M214" s="21">
        <v>48782</v>
      </c>
      <c r="N214" s="21">
        <v>49693</v>
      </c>
      <c r="O214" s="21">
        <v>49321</v>
      </c>
      <c r="P214" s="21">
        <v>52813</v>
      </c>
      <c r="Q214" s="21">
        <v>59171</v>
      </c>
      <c r="R214" s="21">
        <v>56670</v>
      </c>
      <c r="S214" s="21">
        <v>50169</v>
      </c>
      <c r="T214" s="21">
        <v>55732</v>
      </c>
      <c r="U214" s="21">
        <v>58310</v>
      </c>
      <c r="V214" s="21">
        <v>62619</v>
      </c>
      <c r="W214" s="21">
        <v>65524</v>
      </c>
      <c r="X214" s="21">
        <v>58348</v>
      </c>
      <c r="Y214" s="21">
        <v>55958</v>
      </c>
      <c r="Z214" s="21">
        <v>51029</v>
      </c>
      <c r="AA214" s="21">
        <v>53426</v>
      </c>
      <c r="AB214" s="21">
        <v>56972</v>
      </c>
      <c r="AC214" s="21">
        <v>53096</v>
      </c>
      <c r="AD214" s="21">
        <v>51916</v>
      </c>
      <c r="AE214" s="21">
        <v>58694</v>
      </c>
      <c r="AF214" s="21">
        <v>56601</v>
      </c>
      <c r="AG214" s="21">
        <v>58055</v>
      </c>
      <c r="AH214" s="21">
        <v>59743</v>
      </c>
      <c r="AI214" s="21">
        <v>53447</v>
      </c>
      <c r="AJ214" s="21">
        <v>54491</v>
      </c>
      <c r="AK214" s="21">
        <v>55486</v>
      </c>
      <c r="AL214" s="21">
        <v>57994</v>
      </c>
      <c r="AM214" s="21">
        <v>56998</v>
      </c>
      <c r="AN214" s="21">
        <v>55316</v>
      </c>
      <c r="AO214" s="21">
        <v>58435</v>
      </c>
      <c r="AP214" s="21">
        <v>61173</v>
      </c>
      <c r="AQ214" s="21">
        <v>61813</v>
      </c>
      <c r="AR214" s="21">
        <v>60886</v>
      </c>
      <c r="AS214" s="21">
        <v>55785</v>
      </c>
      <c r="AT214" s="21">
        <v>55125</v>
      </c>
      <c r="AU214" s="21">
        <v>50963</v>
      </c>
      <c r="AV214" s="21">
        <v>51630</v>
      </c>
      <c r="AW214" s="21">
        <v>51361</v>
      </c>
      <c r="AX214" s="21">
        <v>50040</v>
      </c>
      <c r="AY214" s="21">
        <v>51675</v>
      </c>
      <c r="AZ214" s="21">
        <v>47974</v>
      </c>
      <c r="BA214" s="21">
        <v>43132</v>
      </c>
      <c r="BB214" s="21">
        <v>47923</v>
      </c>
      <c r="BC214" s="21">
        <v>45469</v>
      </c>
      <c r="BD214" s="21">
        <v>41834</v>
      </c>
      <c r="BE214" s="21">
        <v>44262</v>
      </c>
      <c r="BF214" s="21">
        <v>46170</v>
      </c>
      <c r="BG214" s="21">
        <v>50280</v>
      </c>
      <c r="BH214" s="21">
        <v>47733</v>
      </c>
      <c r="BI214" s="21">
        <v>44003</v>
      </c>
      <c r="BJ214" s="21">
        <v>42700</v>
      </c>
      <c r="BK214" s="21">
        <v>41161</v>
      </c>
      <c r="BL214" s="21">
        <v>37379</v>
      </c>
      <c r="BM214" s="21">
        <v>38340</v>
      </c>
    </row>
    <row r="215" spans="1:65" x14ac:dyDescent="0.2">
      <c r="A215" s="21" t="s">
        <v>1413</v>
      </c>
      <c r="B215" s="21" t="s">
        <v>1414</v>
      </c>
      <c r="C215" s="21" t="s">
        <v>650</v>
      </c>
      <c r="D215" s="21">
        <v>258830</v>
      </c>
      <c r="E215" s="21">
        <v>251904</v>
      </c>
      <c r="F215" s="21">
        <v>264525</v>
      </c>
      <c r="G215" s="21">
        <v>264440</v>
      </c>
      <c r="H215" s="21">
        <v>277704</v>
      </c>
      <c r="I215" s="21">
        <v>285783</v>
      </c>
      <c r="J215" s="21">
        <v>296876</v>
      </c>
      <c r="K215" s="21">
        <v>267606</v>
      </c>
      <c r="L215" s="21">
        <v>293952</v>
      </c>
      <c r="M215" s="21">
        <v>295863</v>
      </c>
      <c r="N215" s="21">
        <v>301388</v>
      </c>
      <c r="O215" s="21">
        <v>299132</v>
      </c>
      <c r="P215" s="21">
        <v>320311</v>
      </c>
      <c r="Q215" s="21">
        <v>358872</v>
      </c>
      <c r="R215" s="21">
        <v>343704</v>
      </c>
      <c r="S215" s="21">
        <v>304275</v>
      </c>
      <c r="T215" s="21">
        <v>338015</v>
      </c>
      <c r="U215" s="21">
        <v>353650</v>
      </c>
      <c r="V215" s="21">
        <v>379784</v>
      </c>
      <c r="W215" s="21">
        <v>397403</v>
      </c>
      <c r="X215" s="21">
        <v>353881</v>
      </c>
      <c r="Y215" s="21">
        <v>339385</v>
      </c>
      <c r="Z215" s="21">
        <v>309491</v>
      </c>
      <c r="AA215" s="21">
        <v>324029</v>
      </c>
      <c r="AB215" s="21">
        <v>345535</v>
      </c>
      <c r="AC215" s="21">
        <v>322027</v>
      </c>
      <c r="AD215" s="21">
        <v>314871</v>
      </c>
      <c r="AE215" s="21">
        <v>355979</v>
      </c>
      <c r="AF215" s="21">
        <v>343285</v>
      </c>
      <c r="AG215" s="21">
        <v>352104</v>
      </c>
      <c r="AH215" s="21">
        <v>362341</v>
      </c>
      <c r="AI215" s="21">
        <v>324156</v>
      </c>
      <c r="AJ215" s="21">
        <v>330488</v>
      </c>
      <c r="AK215" s="21">
        <v>336523</v>
      </c>
      <c r="AL215" s="21">
        <v>351734</v>
      </c>
      <c r="AM215" s="21">
        <v>345693</v>
      </c>
      <c r="AN215" s="21">
        <v>335492</v>
      </c>
      <c r="AO215" s="21">
        <v>354408</v>
      </c>
      <c r="AP215" s="21">
        <v>371014</v>
      </c>
      <c r="AQ215" s="21">
        <v>374896</v>
      </c>
      <c r="AR215" s="21">
        <v>369274</v>
      </c>
      <c r="AS215" s="21">
        <v>338336</v>
      </c>
      <c r="AT215" s="21">
        <v>334333</v>
      </c>
      <c r="AU215" s="21">
        <v>309091</v>
      </c>
      <c r="AV215" s="21">
        <v>313136</v>
      </c>
      <c r="AW215" s="21">
        <v>311504</v>
      </c>
      <c r="AX215" s="21">
        <v>303493</v>
      </c>
      <c r="AY215" s="21">
        <v>313409</v>
      </c>
      <c r="AZ215" s="21">
        <v>290962</v>
      </c>
      <c r="BA215" s="21">
        <v>261596</v>
      </c>
      <c r="BB215" s="21">
        <v>290653</v>
      </c>
      <c r="BC215" s="21">
        <v>275769</v>
      </c>
      <c r="BD215" s="21">
        <v>253723</v>
      </c>
      <c r="BE215" s="21">
        <v>268449</v>
      </c>
      <c r="BF215" s="21">
        <v>280021</v>
      </c>
      <c r="BG215" s="21">
        <v>304948</v>
      </c>
      <c r="BH215" s="21">
        <v>289501</v>
      </c>
      <c r="BI215" s="21">
        <v>266878</v>
      </c>
      <c r="BJ215" s="21">
        <v>258975</v>
      </c>
      <c r="BK215" s="21">
        <v>249641</v>
      </c>
      <c r="BL215" s="21">
        <v>226704</v>
      </c>
      <c r="BM215" s="21">
        <v>232532</v>
      </c>
    </row>
    <row r="216" spans="1:65" x14ac:dyDescent="0.2">
      <c r="A216" s="21" t="s">
        <v>1413</v>
      </c>
      <c r="B216" s="21" t="s">
        <v>1414</v>
      </c>
      <c r="C216" s="21" t="s">
        <v>654</v>
      </c>
      <c r="D216" s="21">
        <v>42676</v>
      </c>
      <c r="E216" s="21">
        <v>41534</v>
      </c>
      <c r="F216" s="21">
        <v>43615</v>
      </c>
      <c r="G216" s="21">
        <v>43601</v>
      </c>
      <c r="H216" s="21">
        <v>45788</v>
      </c>
      <c r="I216" s="21">
        <v>47120</v>
      </c>
      <c r="J216" s="21">
        <v>48949</v>
      </c>
      <c r="K216" s="21">
        <v>44123</v>
      </c>
      <c r="L216" s="21">
        <v>48467</v>
      </c>
      <c r="M216" s="21">
        <v>48782</v>
      </c>
      <c r="N216" s="21">
        <v>49693</v>
      </c>
      <c r="O216" s="21">
        <v>49321</v>
      </c>
      <c r="P216" s="21">
        <v>52813</v>
      </c>
      <c r="Q216" s="21">
        <v>59171</v>
      </c>
      <c r="R216" s="21">
        <v>56670</v>
      </c>
      <c r="S216" s="21">
        <v>50169</v>
      </c>
      <c r="T216" s="21">
        <v>55732</v>
      </c>
      <c r="U216" s="21">
        <v>58310</v>
      </c>
      <c r="V216" s="21">
        <v>62619</v>
      </c>
      <c r="W216" s="21">
        <v>65524</v>
      </c>
      <c r="X216" s="21">
        <v>58348</v>
      </c>
      <c r="Y216" s="21">
        <v>55958</v>
      </c>
      <c r="Z216" s="21">
        <v>51029</v>
      </c>
      <c r="AA216" s="21">
        <v>53426</v>
      </c>
      <c r="AB216" s="21">
        <v>56972</v>
      </c>
      <c r="AC216" s="21">
        <v>53096</v>
      </c>
      <c r="AD216" s="21">
        <v>51916</v>
      </c>
      <c r="AE216" s="21">
        <v>58694</v>
      </c>
      <c r="AF216" s="21">
        <v>56601</v>
      </c>
      <c r="AG216" s="21">
        <v>58055</v>
      </c>
      <c r="AH216" s="21">
        <v>59743</v>
      </c>
      <c r="AI216" s="21">
        <v>53447</v>
      </c>
      <c r="AJ216" s="21">
        <v>54491</v>
      </c>
      <c r="AK216" s="21">
        <v>55486</v>
      </c>
      <c r="AL216" s="21">
        <v>57994</v>
      </c>
      <c r="AM216" s="21">
        <v>56998</v>
      </c>
      <c r="AN216" s="21">
        <v>55316</v>
      </c>
      <c r="AO216" s="21">
        <v>58435</v>
      </c>
      <c r="AP216" s="21">
        <v>61173</v>
      </c>
      <c r="AQ216" s="21">
        <v>61813</v>
      </c>
      <c r="AR216" s="21">
        <v>60886</v>
      </c>
      <c r="AS216" s="21">
        <v>55785</v>
      </c>
      <c r="AT216" s="21">
        <v>55125</v>
      </c>
      <c r="AU216" s="21">
        <v>50963</v>
      </c>
      <c r="AV216" s="21">
        <v>51630</v>
      </c>
      <c r="AW216" s="21">
        <v>51361</v>
      </c>
      <c r="AX216" s="21">
        <v>50040</v>
      </c>
      <c r="AY216" s="21">
        <v>51675</v>
      </c>
      <c r="AZ216" s="21">
        <v>47974</v>
      </c>
      <c r="BA216" s="21">
        <v>43132</v>
      </c>
      <c r="BB216" s="21">
        <v>47923</v>
      </c>
      <c r="BC216" s="21">
        <v>45469</v>
      </c>
      <c r="BD216" s="21">
        <v>41834</v>
      </c>
      <c r="BE216" s="21">
        <v>44262</v>
      </c>
      <c r="BF216" s="21">
        <v>46170</v>
      </c>
      <c r="BG216" s="21">
        <v>50280</v>
      </c>
      <c r="BH216" s="21">
        <v>47733</v>
      </c>
      <c r="BI216" s="21">
        <v>44003</v>
      </c>
      <c r="BJ216" s="21">
        <v>42700</v>
      </c>
      <c r="BK216" s="21">
        <v>41161</v>
      </c>
      <c r="BL216" s="21">
        <v>37379</v>
      </c>
      <c r="BM216" s="21">
        <v>38340</v>
      </c>
    </row>
    <row r="217" spans="1:65" x14ac:dyDescent="0.2">
      <c r="A217" s="21" t="s">
        <v>1413</v>
      </c>
      <c r="B217" s="21" t="s">
        <v>1414</v>
      </c>
      <c r="C217" s="21" t="s">
        <v>657</v>
      </c>
      <c r="D217" s="21">
        <v>0</v>
      </c>
      <c r="E217" s="21">
        <v>0</v>
      </c>
      <c r="F217" s="21">
        <v>0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21">
        <v>0</v>
      </c>
      <c r="V217" s="21">
        <v>0</v>
      </c>
      <c r="W217" s="21">
        <v>0</v>
      </c>
      <c r="X217" s="21">
        <v>0</v>
      </c>
      <c r="Y217" s="21">
        <v>-252874</v>
      </c>
      <c r="Z217" s="21">
        <v>-203806</v>
      </c>
      <c r="AA217" s="21">
        <v>-143969</v>
      </c>
      <c r="AB217" s="21">
        <v>-67396</v>
      </c>
      <c r="AC217" s="21">
        <v>-202120</v>
      </c>
      <c r="AD217" s="21">
        <v>-284119</v>
      </c>
      <c r="AE217" s="21">
        <v>-128488</v>
      </c>
      <c r="AF217" s="21">
        <v>-58928</v>
      </c>
      <c r="AG217" s="21">
        <v>57021</v>
      </c>
      <c r="AH217" s="21">
        <v>53696</v>
      </c>
      <c r="AI217" s="21">
        <v>-25918</v>
      </c>
      <c r="AJ217" s="21">
        <v>75685</v>
      </c>
      <c r="AK217" s="21">
        <v>0</v>
      </c>
      <c r="AL217" s="21">
        <v>0</v>
      </c>
      <c r="AM217" s="21">
        <v>0</v>
      </c>
      <c r="AN217" s="21">
        <v>0</v>
      </c>
      <c r="AO217" s="21">
        <v>0</v>
      </c>
      <c r="AP217" s="21">
        <v>0</v>
      </c>
      <c r="AQ217" s="21">
        <v>0</v>
      </c>
      <c r="AR217" s="21">
        <v>0</v>
      </c>
      <c r="AS217" s="21">
        <v>0</v>
      </c>
      <c r="AT217" s="21">
        <v>0</v>
      </c>
      <c r="AU217" s="21">
        <v>0</v>
      </c>
      <c r="AV217" s="21">
        <v>0</v>
      </c>
      <c r="AW217" s="21">
        <v>0</v>
      </c>
      <c r="AX217" s="21">
        <v>0</v>
      </c>
      <c r="AY217" s="21">
        <v>0</v>
      </c>
      <c r="AZ217" s="21">
        <v>0</v>
      </c>
      <c r="BA217" s="21">
        <v>0</v>
      </c>
      <c r="BB217" s="21">
        <v>0</v>
      </c>
      <c r="BC217" s="21">
        <v>0</v>
      </c>
      <c r="BD217" s="21">
        <v>0</v>
      </c>
      <c r="BE217" s="21">
        <v>0</v>
      </c>
      <c r="BF217" s="21">
        <v>0</v>
      </c>
      <c r="BG217" s="21">
        <v>0</v>
      </c>
      <c r="BH217" s="21">
        <v>0</v>
      </c>
      <c r="BI217" s="21">
        <v>0</v>
      </c>
      <c r="BJ217" s="21">
        <v>0</v>
      </c>
      <c r="BK217" s="21">
        <v>0</v>
      </c>
      <c r="BL217" s="21">
        <v>0</v>
      </c>
      <c r="BM217" s="21">
        <v>0</v>
      </c>
    </row>
    <row r="218" spans="1:65" x14ac:dyDescent="0.2">
      <c r="A218" s="21" t="s">
        <v>1413</v>
      </c>
      <c r="B218" s="21" t="s">
        <v>1414</v>
      </c>
      <c r="C218" s="21" t="s">
        <v>659</v>
      </c>
      <c r="D218" s="21">
        <v>0</v>
      </c>
      <c r="E218" s="21">
        <v>0</v>
      </c>
      <c r="F218" s="21"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1">
        <v>0</v>
      </c>
      <c r="S218" s="21">
        <v>0</v>
      </c>
      <c r="T218" s="21">
        <v>0</v>
      </c>
      <c r="U218" s="21">
        <v>0</v>
      </c>
      <c r="V218" s="21">
        <v>0</v>
      </c>
      <c r="W218" s="21">
        <v>0</v>
      </c>
      <c r="X218" s="21">
        <v>0</v>
      </c>
      <c r="Y218" s="21">
        <v>-48139</v>
      </c>
      <c r="Z218" s="21">
        <v>-38798</v>
      </c>
      <c r="AA218" s="21">
        <v>-27407</v>
      </c>
      <c r="AB218" s="21">
        <v>-12830</v>
      </c>
      <c r="AC218" s="21">
        <v>-38477</v>
      </c>
      <c r="AD218" s="21">
        <v>-54087</v>
      </c>
      <c r="AE218" s="21">
        <v>-24460</v>
      </c>
      <c r="AF218" s="21">
        <v>-11218</v>
      </c>
      <c r="AG218" s="21">
        <v>10855</v>
      </c>
      <c r="AH218" s="21">
        <v>10222</v>
      </c>
      <c r="AI218" s="21">
        <v>-4934</v>
      </c>
      <c r="AJ218" s="21">
        <v>14408</v>
      </c>
      <c r="AK218" s="21">
        <v>0</v>
      </c>
      <c r="AL218" s="21">
        <v>0</v>
      </c>
      <c r="AM218" s="21">
        <v>0</v>
      </c>
      <c r="AN218" s="21">
        <v>0</v>
      </c>
      <c r="AO218" s="21">
        <v>0</v>
      </c>
      <c r="AP218" s="21">
        <v>0</v>
      </c>
      <c r="AQ218" s="21">
        <v>0</v>
      </c>
      <c r="AR218" s="21">
        <v>0</v>
      </c>
      <c r="AS218" s="21">
        <v>0</v>
      </c>
      <c r="AT218" s="21">
        <v>0</v>
      </c>
      <c r="AU218" s="21">
        <v>0</v>
      </c>
      <c r="AV218" s="21">
        <v>0</v>
      </c>
      <c r="AW218" s="21">
        <v>0</v>
      </c>
      <c r="AX218" s="21">
        <v>0</v>
      </c>
      <c r="AY218" s="21">
        <v>0</v>
      </c>
      <c r="AZ218" s="21">
        <v>0</v>
      </c>
      <c r="BA218" s="21">
        <v>0</v>
      </c>
      <c r="BB218" s="21">
        <v>0</v>
      </c>
      <c r="BC218" s="21">
        <v>0</v>
      </c>
      <c r="BD218" s="21">
        <v>0</v>
      </c>
      <c r="BE218" s="21">
        <v>0</v>
      </c>
      <c r="BF218" s="21">
        <v>0</v>
      </c>
      <c r="BG218" s="21">
        <v>0</v>
      </c>
      <c r="BH218" s="21">
        <v>0</v>
      </c>
      <c r="BI218" s="21">
        <v>0</v>
      </c>
      <c r="BJ218" s="21">
        <v>0</v>
      </c>
      <c r="BK218" s="21">
        <v>0</v>
      </c>
      <c r="BL218" s="21">
        <v>0</v>
      </c>
      <c r="BM218" s="21">
        <v>0</v>
      </c>
    </row>
    <row r="219" spans="1:65" x14ac:dyDescent="0.2">
      <c r="A219" s="21" t="s">
        <v>1413</v>
      </c>
      <c r="B219" s="21" t="s">
        <v>1414</v>
      </c>
      <c r="C219" s="21" t="s">
        <v>660</v>
      </c>
      <c r="D219" s="21">
        <v>5.2530000000000001</v>
      </c>
      <c r="E219" s="21">
        <v>5.2530000000000001</v>
      </c>
      <c r="F219" s="21">
        <v>5.2530000000000001</v>
      </c>
      <c r="G219" s="21">
        <v>5.2530000000000001</v>
      </c>
      <c r="H219" s="21">
        <v>5.2530000000000001</v>
      </c>
      <c r="I219" s="21">
        <v>5.2530000000000001</v>
      </c>
      <c r="J219" s="21">
        <v>5.2530000000000001</v>
      </c>
      <c r="K219" s="21">
        <v>5.2530000000000001</v>
      </c>
      <c r="L219" s="21">
        <v>5.2530000000000001</v>
      </c>
      <c r="M219" s="21">
        <v>5.2530000000000001</v>
      </c>
      <c r="N219" s="21">
        <v>5.2530000000000001</v>
      </c>
      <c r="O219" s="21">
        <v>5.2530000000000001</v>
      </c>
      <c r="P219" s="21">
        <v>5.2530000000000001</v>
      </c>
      <c r="Q219" s="21">
        <v>5.2530000000000001</v>
      </c>
      <c r="R219" s="21">
        <v>5.2530000000000001</v>
      </c>
      <c r="S219" s="21">
        <v>5.2530000000000001</v>
      </c>
      <c r="T219" s="21">
        <v>5.2530000000000001</v>
      </c>
      <c r="U219" s="21">
        <v>5.2530000000000001</v>
      </c>
      <c r="V219" s="21">
        <v>5.2530000000000001</v>
      </c>
      <c r="W219" s="21">
        <v>5.2530000000000001</v>
      </c>
      <c r="X219" s="21">
        <v>5.2530000000000001</v>
      </c>
      <c r="Y219" s="21">
        <v>5.2530000000000001</v>
      </c>
      <c r="Z219" s="21">
        <v>5.2530000000000001</v>
      </c>
      <c r="AA219" s="21">
        <v>5.2530000000000001</v>
      </c>
      <c r="AB219" s="21">
        <v>5.2530000000000001</v>
      </c>
      <c r="AC219" s="21">
        <v>5.2530000000000001</v>
      </c>
      <c r="AD219" s="21">
        <v>5.2530000000000001</v>
      </c>
      <c r="AE219" s="21">
        <v>5.2530000000000001</v>
      </c>
      <c r="AF219" s="21">
        <v>5.2530000000000001</v>
      </c>
      <c r="AG219" s="21">
        <v>5.2530000000000001</v>
      </c>
      <c r="AH219" s="21">
        <v>5.2530000000000001</v>
      </c>
      <c r="AI219" s="21">
        <v>5.2530000000000001</v>
      </c>
      <c r="AJ219" s="21">
        <v>5.2530000000000001</v>
      </c>
      <c r="AK219" s="21">
        <v>5.2530000000000001</v>
      </c>
      <c r="AL219" s="21">
        <v>5.2530000000000001</v>
      </c>
      <c r="AM219" s="21">
        <v>5.2530000000000001</v>
      </c>
      <c r="AN219" s="21">
        <v>5.2530000000000001</v>
      </c>
      <c r="AO219" s="21">
        <v>5.2530000000000001</v>
      </c>
      <c r="AP219" s="21">
        <v>5.2530000000000001</v>
      </c>
      <c r="AQ219" s="21">
        <v>5.2530000000000001</v>
      </c>
      <c r="AR219" s="21">
        <v>5.2530000000000001</v>
      </c>
      <c r="AS219" s="21">
        <v>5.2530000000000001</v>
      </c>
      <c r="AT219" s="21">
        <v>5.2530000000000001</v>
      </c>
      <c r="AU219" s="21">
        <v>5.2530000000000001</v>
      </c>
      <c r="AV219" s="21">
        <v>5.2530000000000001</v>
      </c>
      <c r="AW219" s="21">
        <v>5.2530000000000001</v>
      </c>
      <c r="AX219" s="21">
        <v>5.2530000000000001</v>
      </c>
      <c r="AY219" s="21">
        <v>5.2220000000000004</v>
      </c>
      <c r="AZ219" s="21">
        <v>5.2220000000000004</v>
      </c>
      <c r="BA219" s="21">
        <v>5.2220000000000004</v>
      </c>
      <c r="BB219" s="21">
        <v>5.2220000000000004</v>
      </c>
      <c r="BC219" s="21">
        <v>5.2220000000000004</v>
      </c>
      <c r="BD219" s="21">
        <v>5.2220000000000004</v>
      </c>
      <c r="BE219" s="21">
        <v>5.2220000000000004</v>
      </c>
      <c r="BF219" s="21">
        <v>5.2220000000000004</v>
      </c>
      <c r="BG219" s="21">
        <v>5.2220000000000004</v>
      </c>
      <c r="BH219" s="21">
        <v>5.2220000000000004</v>
      </c>
      <c r="BI219" s="21">
        <v>5.2220000000000004</v>
      </c>
      <c r="BJ219" s="21">
        <v>5.2220000000000004</v>
      </c>
      <c r="BK219" s="21">
        <v>5.2220000000000004</v>
      </c>
      <c r="BL219" s="21">
        <v>5.2220000000000004</v>
      </c>
      <c r="BM219" s="21">
        <v>5.2220000000000004</v>
      </c>
    </row>
    <row r="220" spans="1:65" x14ac:dyDescent="0.2">
      <c r="A220" s="21" t="s">
        <v>1413</v>
      </c>
      <c r="B220" s="21" t="s">
        <v>1414</v>
      </c>
      <c r="C220" s="21" t="s">
        <v>662</v>
      </c>
      <c r="D220" s="21">
        <v>7182528</v>
      </c>
      <c r="E220" s="21">
        <v>7317983</v>
      </c>
      <c r="F220" s="21">
        <v>7608940</v>
      </c>
      <c r="G220" s="21">
        <v>7883509</v>
      </c>
      <c r="H220" s="21">
        <v>8049561</v>
      </c>
      <c r="I220" s="21">
        <v>8386381</v>
      </c>
      <c r="J220" s="21">
        <v>8818795</v>
      </c>
      <c r="K220" s="21">
        <v>9120231</v>
      </c>
      <c r="L220" s="21">
        <v>9726143</v>
      </c>
      <c r="M220" s="21">
        <v>10216412</v>
      </c>
      <c r="N220" s="21">
        <v>10716486</v>
      </c>
      <c r="O220" s="21">
        <v>11173181</v>
      </c>
      <c r="P220" s="21">
        <v>11918310</v>
      </c>
      <c r="Q220" s="21">
        <v>12455040</v>
      </c>
      <c r="R220" s="21">
        <v>12216510</v>
      </c>
      <c r="S220" s="21">
        <v>12485280</v>
      </c>
      <c r="T220" s="21">
        <v>13107282</v>
      </c>
      <c r="U220" s="21">
        <v>13463508</v>
      </c>
      <c r="V220" s="21">
        <v>13926650</v>
      </c>
      <c r="W220" s="21">
        <v>13221447</v>
      </c>
      <c r="X220" s="21">
        <v>12382694</v>
      </c>
      <c r="Y220" s="21">
        <v>12379135</v>
      </c>
      <c r="Z220" s="21">
        <v>12312213</v>
      </c>
      <c r="AA220" s="21">
        <v>12482323</v>
      </c>
      <c r="AB220" s="21">
        <v>12599997</v>
      </c>
      <c r="AC220" s="21">
        <v>12783585</v>
      </c>
      <c r="AD220" s="21">
        <v>13174194</v>
      </c>
      <c r="AE220" s="21">
        <v>13499433</v>
      </c>
      <c r="AF220" s="21">
        <v>13801767</v>
      </c>
      <c r="AG220" s="21">
        <v>13749322</v>
      </c>
      <c r="AH220" s="21">
        <v>13575410</v>
      </c>
      <c r="AI220" s="21">
        <v>13502563</v>
      </c>
      <c r="AJ220" s="21">
        <v>13698699</v>
      </c>
      <c r="AK220" s="21">
        <v>14028748</v>
      </c>
      <c r="AL220" s="21">
        <v>14249246</v>
      </c>
      <c r="AM220" s="21">
        <v>14576449</v>
      </c>
      <c r="AN220" s="21">
        <v>14822887</v>
      </c>
      <c r="AO220" s="21">
        <v>14976413</v>
      </c>
      <c r="AP220" s="21">
        <v>15436018</v>
      </c>
      <c r="AQ220" s="21">
        <v>15828026</v>
      </c>
      <c r="AR220" s="21">
        <v>15932694</v>
      </c>
      <c r="AS220" s="21">
        <v>16013092</v>
      </c>
      <c r="AT220" s="21">
        <v>16436495</v>
      </c>
      <c r="AU220" s="21">
        <v>16565426</v>
      </c>
      <c r="AV220" s="21">
        <v>16900603</v>
      </c>
      <c r="AW220" s="21">
        <v>16957630</v>
      </c>
      <c r="AX220" s="21">
        <v>17088254</v>
      </c>
      <c r="AY220" s="21">
        <v>17065743</v>
      </c>
      <c r="AZ220" s="21">
        <v>16509630</v>
      </c>
      <c r="BA220" s="21">
        <v>16424742</v>
      </c>
      <c r="BB220" s="21">
        <v>16320164</v>
      </c>
      <c r="BC220" s="21">
        <v>15876719</v>
      </c>
      <c r="BD220" s="21">
        <v>15794521</v>
      </c>
      <c r="BE220" s="21">
        <v>16029662</v>
      </c>
      <c r="BF220" s="21">
        <v>16208815</v>
      </c>
      <c r="BG220" s="21">
        <v>16307655</v>
      </c>
      <c r="BH220" s="21">
        <v>16601127</v>
      </c>
      <c r="BI220" s="21">
        <v>16576273</v>
      </c>
      <c r="BJ220" s="21">
        <v>16573443</v>
      </c>
      <c r="BK220" s="21">
        <v>16530634</v>
      </c>
      <c r="BL220" s="21">
        <v>14242892</v>
      </c>
      <c r="BM220" s="21">
        <v>15610718</v>
      </c>
    </row>
    <row r="221" spans="1:65" x14ac:dyDescent="0.2">
      <c r="A221" s="21" t="s">
        <v>1413</v>
      </c>
      <c r="B221" s="21" t="s">
        <v>1414</v>
      </c>
      <c r="C221" s="21" t="s">
        <v>666</v>
      </c>
      <c r="D221" s="21">
        <v>1367319</v>
      </c>
      <c r="E221" s="21">
        <v>1393106</v>
      </c>
      <c r="F221" s="21">
        <v>1448494</v>
      </c>
      <c r="G221" s="21">
        <v>1500763</v>
      </c>
      <c r="H221" s="21">
        <v>1532374</v>
      </c>
      <c r="I221" s="21">
        <v>1596494</v>
      </c>
      <c r="J221" s="21">
        <v>1678811</v>
      </c>
      <c r="K221" s="21">
        <v>1736195</v>
      </c>
      <c r="L221" s="21">
        <v>1851541</v>
      </c>
      <c r="M221" s="21">
        <v>1944872</v>
      </c>
      <c r="N221" s="21">
        <v>2040070</v>
      </c>
      <c r="O221" s="21">
        <v>2127010</v>
      </c>
      <c r="P221" s="21">
        <v>2268858</v>
      </c>
      <c r="Q221" s="21">
        <v>2371034</v>
      </c>
      <c r="R221" s="21">
        <v>2325625</v>
      </c>
      <c r="S221" s="21">
        <v>2376790</v>
      </c>
      <c r="T221" s="21">
        <v>2495199</v>
      </c>
      <c r="U221" s="21">
        <v>2563013</v>
      </c>
      <c r="V221" s="21">
        <v>2651180</v>
      </c>
      <c r="W221" s="21">
        <v>2516933</v>
      </c>
      <c r="X221" s="21">
        <v>2357261</v>
      </c>
      <c r="Y221" s="21">
        <v>2356584</v>
      </c>
      <c r="Z221" s="21">
        <v>2343844</v>
      </c>
      <c r="AA221" s="21">
        <v>2376228</v>
      </c>
      <c r="AB221" s="21">
        <v>2398629</v>
      </c>
      <c r="AC221" s="21">
        <v>2433578</v>
      </c>
      <c r="AD221" s="21">
        <v>2507937</v>
      </c>
      <c r="AE221" s="21">
        <v>2569852</v>
      </c>
      <c r="AF221" s="21">
        <v>2627407</v>
      </c>
      <c r="AG221" s="21">
        <v>2617423</v>
      </c>
      <c r="AH221" s="21">
        <v>2584316</v>
      </c>
      <c r="AI221" s="21">
        <v>2570448</v>
      </c>
      <c r="AJ221" s="21">
        <v>2607786</v>
      </c>
      <c r="AK221" s="21">
        <v>2689045</v>
      </c>
      <c r="AL221" s="21">
        <v>2732882</v>
      </c>
      <c r="AM221" s="21">
        <v>2801009</v>
      </c>
      <c r="AN221" s="21">
        <v>2844538</v>
      </c>
      <c r="AO221" s="21">
        <v>2877313</v>
      </c>
      <c r="AP221" s="21">
        <v>2966753</v>
      </c>
      <c r="AQ221" s="21">
        <v>3042681</v>
      </c>
      <c r="AR221" s="21">
        <v>3063390</v>
      </c>
      <c r="AS221" s="21">
        <v>3078849</v>
      </c>
      <c r="AT221" s="21">
        <v>3161472</v>
      </c>
      <c r="AU221" s="21">
        <v>3187498</v>
      </c>
      <c r="AV221" s="21">
        <v>3252618</v>
      </c>
      <c r="AW221" s="21">
        <v>3266107</v>
      </c>
      <c r="AX221" s="21">
        <v>3295709</v>
      </c>
      <c r="AY221" s="21">
        <v>3318892</v>
      </c>
      <c r="AZ221" s="21">
        <v>3233378</v>
      </c>
      <c r="BA221" s="21">
        <v>3226865</v>
      </c>
      <c r="BB221" s="21">
        <v>3220873</v>
      </c>
      <c r="BC221" s="21">
        <v>3135832</v>
      </c>
      <c r="BD221" s="21">
        <v>3120214</v>
      </c>
      <c r="BE221" s="21">
        <v>3167917</v>
      </c>
      <c r="BF221" s="21">
        <v>3203956</v>
      </c>
      <c r="BG221" s="21">
        <v>3224769</v>
      </c>
      <c r="BH221" s="21">
        <v>3284100</v>
      </c>
      <c r="BI221" s="21">
        <v>3280481</v>
      </c>
      <c r="BJ221" s="21">
        <v>3279272</v>
      </c>
      <c r="BK221" s="21">
        <v>3272097</v>
      </c>
      <c r="BL221" s="21">
        <v>2819258</v>
      </c>
      <c r="BM221" s="21">
        <v>3091231</v>
      </c>
    </row>
    <row r="222" spans="1:65" x14ac:dyDescent="0.2">
      <c r="A222" s="21" t="s">
        <v>1413</v>
      </c>
      <c r="B222" s="21" t="s">
        <v>1414</v>
      </c>
      <c r="C222" s="21" t="s">
        <v>669</v>
      </c>
      <c r="D222" s="21">
        <v>66905</v>
      </c>
      <c r="E222" s="21">
        <v>69372</v>
      </c>
      <c r="F222" s="21">
        <v>72380</v>
      </c>
      <c r="G222" s="21">
        <v>72501</v>
      </c>
      <c r="H222" s="21">
        <v>73801</v>
      </c>
      <c r="I222" s="21">
        <v>76832</v>
      </c>
      <c r="J222" s="21">
        <v>78561</v>
      </c>
      <c r="K222" s="21">
        <v>83074</v>
      </c>
      <c r="L222" s="21">
        <v>83091</v>
      </c>
      <c r="M222" s="21">
        <v>83765</v>
      </c>
      <c r="N222" s="21">
        <v>86375</v>
      </c>
      <c r="O222" s="21">
        <v>83972</v>
      </c>
      <c r="P222" s="21">
        <v>87277</v>
      </c>
      <c r="Q222" s="21">
        <v>86824</v>
      </c>
      <c r="R222" s="21">
        <v>82977</v>
      </c>
      <c r="S222" s="21">
        <v>88971</v>
      </c>
      <c r="T222" s="21">
        <v>96926</v>
      </c>
      <c r="U222" s="21">
        <v>100594</v>
      </c>
      <c r="V222" s="21">
        <v>106601</v>
      </c>
      <c r="W222" s="21">
        <v>104442</v>
      </c>
      <c r="X222" s="21">
        <v>107066</v>
      </c>
      <c r="Y222" s="21">
        <v>91579</v>
      </c>
      <c r="Z222" s="21">
        <v>87572</v>
      </c>
      <c r="AA222" s="21">
        <v>102339</v>
      </c>
      <c r="AB222" s="21">
        <v>107148</v>
      </c>
      <c r="AC222" s="21">
        <v>96110</v>
      </c>
      <c r="AD222" s="21">
        <v>106339</v>
      </c>
      <c r="AE222" s="21">
        <v>110761</v>
      </c>
      <c r="AF222" s="21">
        <v>110326</v>
      </c>
      <c r="AG222" s="21">
        <v>101938</v>
      </c>
      <c r="AH222" s="21">
        <v>111193</v>
      </c>
      <c r="AI222" s="21">
        <v>85068</v>
      </c>
      <c r="AJ222" s="21">
        <v>79584</v>
      </c>
      <c r="AK222" s="21">
        <v>29393</v>
      </c>
      <c r="AL222" s="21">
        <v>25142</v>
      </c>
      <c r="AM222" s="21">
        <v>18078</v>
      </c>
      <c r="AN222" s="21">
        <v>26511</v>
      </c>
      <c r="AO222" s="21">
        <v>42665</v>
      </c>
      <c r="AP222" s="21">
        <v>38901</v>
      </c>
      <c r="AQ222" s="21">
        <v>28368</v>
      </c>
      <c r="AR222" s="21">
        <v>44460</v>
      </c>
      <c r="AS222" s="21">
        <v>37370</v>
      </c>
      <c r="AT222" s="21">
        <v>45034</v>
      </c>
      <c r="AU222" s="21">
        <v>59797</v>
      </c>
      <c r="AV222" s="21">
        <v>44544</v>
      </c>
      <c r="AW222" s="21">
        <v>45527</v>
      </c>
      <c r="AX222" s="21">
        <v>48383</v>
      </c>
      <c r="AY222" s="21">
        <v>60268</v>
      </c>
      <c r="AZ222" s="21">
        <v>44752</v>
      </c>
      <c r="BA222" s="21">
        <v>51835</v>
      </c>
      <c r="BB222" s="21">
        <v>51821</v>
      </c>
      <c r="BC222" s="21">
        <v>44038</v>
      </c>
      <c r="BD222" s="21">
        <v>38601</v>
      </c>
      <c r="BE222" s="21">
        <v>39877</v>
      </c>
      <c r="BF222" s="21">
        <v>53824</v>
      </c>
      <c r="BG222" s="21">
        <v>375962</v>
      </c>
      <c r="BH222" s="21">
        <v>374685</v>
      </c>
      <c r="BI222" s="21">
        <v>360771</v>
      </c>
      <c r="BJ222" s="21">
        <v>366398</v>
      </c>
      <c r="BK222" s="21">
        <v>369055</v>
      </c>
      <c r="BL222" s="21">
        <v>371279</v>
      </c>
      <c r="BM222" s="21">
        <v>374564</v>
      </c>
    </row>
    <row r="223" spans="1:65" x14ac:dyDescent="0.2">
      <c r="A223" s="21" t="s">
        <v>1413</v>
      </c>
      <c r="B223" s="21" t="s">
        <v>1414</v>
      </c>
      <c r="C223" s="21" t="s">
        <v>673</v>
      </c>
      <c r="D223" s="21">
        <v>12737</v>
      </c>
      <c r="E223" s="21">
        <v>13206</v>
      </c>
      <c r="F223" s="21">
        <v>13779</v>
      </c>
      <c r="G223" s="21">
        <v>13802</v>
      </c>
      <c r="H223" s="21">
        <v>14049</v>
      </c>
      <c r="I223" s="21">
        <v>14626</v>
      </c>
      <c r="J223" s="21">
        <v>14955</v>
      </c>
      <c r="K223" s="21">
        <v>15815</v>
      </c>
      <c r="L223" s="21">
        <v>15818</v>
      </c>
      <c r="M223" s="21">
        <v>15946</v>
      </c>
      <c r="N223" s="21">
        <v>16443</v>
      </c>
      <c r="O223" s="21">
        <v>15986</v>
      </c>
      <c r="P223" s="21">
        <v>16615</v>
      </c>
      <c r="Q223" s="21">
        <v>16528</v>
      </c>
      <c r="R223" s="21">
        <v>15796</v>
      </c>
      <c r="S223" s="21">
        <v>16937</v>
      </c>
      <c r="T223" s="21">
        <v>18452</v>
      </c>
      <c r="U223" s="21">
        <v>19150</v>
      </c>
      <c r="V223" s="21">
        <v>20293</v>
      </c>
      <c r="W223" s="21">
        <v>19882</v>
      </c>
      <c r="X223" s="21">
        <v>20382</v>
      </c>
      <c r="Y223" s="21">
        <v>17434</v>
      </c>
      <c r="Z223" s="21">
        <v>16671</v>
      </c>
      <c r="AA223" s="21">
        <v>19482</v>
      </c>
      <c r="AB223" s="21">
        <v>20397</v>
      </c>
      <c r="AC223" s="21">
        <v>18296</v>
      </c>
      <c r="AD223" s="21">
        <v>20243</v>
      </c>
      <c r="AE223" s="21">
        <v>21085</v>
      </c>
      <c r="AF223" s="21">
        <v>21003</v>
      </c>
      <c r="AG223" s="21">
        <v>19406</v>
      </c>
      <c r="AH223" s="21">
        <v>21168</v>
      </c>
      <c r="AI223" s="21">
        <v>16194</v>
      </c>
      <c r="AJ223" s="21">
        <v>15150</v>
      </c>
      <c r="AK223" s="21">
        <v>5634</v>
      </c>
      <c r="AL223" s="21">
        <v>4822</v>
      </c>
      <c r="AM223" s="21">
        <v>3474</v>
      </c>
      <c r="AN223" s="21">
        <v>5088</v>
      </c>
      <c r="AO223" s="21">
        <v>8197</v>
      </c>
      <c r="AP223" s="21">
        <v>7477</v>
      </c>
      <c r="AQ223" s="21">
        <v>5453</v>
      </c>
      <c r="AR223" s="21">
        <v>8548</v>
      </c>
      <c r="AS223" s="21">
        <v>7185</v>
      </c>
      <c r="AT223" s="21">
        <v>8662</v>
      </c>
      <c r="AU223" s="21">
        <v>11506</v>
      </c>
      <c r="AV223" s="21">
        <v>8573</v>
      </c>
      <c r="AW223" s="21">
        <v>8769</v>
      </c>
      <c r="AX223" s="21">
        <v>9331</v>
      </c>
      <c r="AY223" s="21">
        <v>11721</v>
      </c>
      <c r="AZ223" s="21">
        <v>8765</v>
      </c>
      <c r="BA223" s="21">
        <v>10184</v>
      </c>
      <c r="BB223" s="21">
        <v>10227</v>
      </c>
      <c r="BC223" s="21">
        <v>8698</v>
      </c>
      <c r="BD223" s="21">
        <v>7626</v>
      </c>
      <c r="BE223" s="21">
        <v>7881</v>
      </c>
      <c r="BF223" s="21">
        <v>10639</v>
      </c>
      <c r="BG223" s="21">
        <v>74345</v>
      </c>
      <c r="BH223" s="21">
        <v>74122</v>
      </c>
      <c r="BI223" s="21">
        <v>71397</v>
      </c>
      <c r="BJ223" s="21">
        <v>72497</v>
      </c>
      <c r="BK223" s="21">
        <v>73051</v>
      </c>
      <c r="BL223" s="21">
        <v>73491</v>
      </c>
      <c r="BM223" s="21">
        <v>74171</v>
      </c>
    </row>
    <row r="224" spans="1:65" x14ac:dyDescent="0.2">
      <c r="A224" s="21" t="s">
        <v>1413</v>
      </c>
      <c r="B224" s="21" t="s">
        <v>1414</v>
      </c>
      <c r="C224" s="21" t="s">
        <v>676</v>
      </c>
      <c r="D224" s="21">
        <v>381369</v>
      </c>
      <c r="E224" s="21">
        <v>364213</v>
      </c>
      <c r="F224" s="21">
        <v>369469</v>
      </c>
      <c r="G224" s="21">
        <v>353953</v>
      </c>
      <c r="H224" s="21">
        <v>341049</v>
      </c>
      <c r="I224" s="21">
        <v>342412</v>
      </c>
      <c r="J224" s="21">
        <v>321303</v>
      </c>
      <c r="K224" s="21">
        <v>303480</v>
      </c>
      <c r="L224" s="21">
        <v>304767</v>
      </c>
      <c r="M224" s="21">
        <v>295098</v>
      </c>
      <c r="N224" s="21">
        <v>288056</v>
      </c>
      <c r="O224" s="21">
        <v>274584</v>
      </c>
      <c r="P224" s="21">
        <v>253749</v>
      </c>
      <c r="Q224" s="21">
        <v>255263</v>
      </c>
      <c r="R224" s="21">
        <v>235100</v>
      </c>
      <c r="S224" s="21">
        <v>223260</v>
      </c>
      <c r="T224" s="21">
        <v>211082</v>
      </c>
      <c r="U224" s="21">
        <v>196341</v>
      </c>
      <c r="V224" s="21">
        <v>177737</v>
      </c>
      <c r="W224" s="21">
        <v>161572</v>
      </c>
      <c r="X224" s="21">
        <v>158135</v>
      </c>
      <c r="Y224" s="21">
        <v>159847</v>
      </c>
      <c r="Z224" s="21">
        <v>138202</v>
      </c>
      <c r="AA224" s="21">
        <v>112280</v>
      </c>
      <c r="AB224" s="21">
        <v>159875</v>
      </c>
      <c r="AC224" s="21">
        <v>217930</v>
      </c>
      <c r="AD224" s="21">
        <v>206208</v>
      </c>
      <c r="AE224" s="21">
        <v>205664</v>
      </c>
      <c r="AF224" s="21">
        <v>192973</v>
      </c>
      <c r="AG224" s="21">
        <v>198776</v>
      </c>
      <c r="AH224" s="21">
        <v>185209</v>
      </c>
      <c r="AI224" s="21">
        <v>193321</v>
      </c>
      <c r="AJ224" s="21">
        <v>194240</v>
      </c>
      <c r="AK224" s="21">
        <v>178270</v>
      </c>
      <c r="AL224" s="21">
        <v>191850</v>
      </c>
      <c r="AM224" s="21">
        <v>199690</v>
      </c>
      <c r="AN224" s="21">
        <v>199725</v>
      </c>
      <c r="AO224" s="21">
        <v>211522</v>
      </c>
      <c r="AP224" s="21">
        <v>199103</v>
      </c>
      <c r="AQ224" s="21">
        <v>151419</v>
      </c>
      <c r="AR224" s="21">
        <v>149972</v>
      </c>
      <c r="AS224" s="21">
        <v>294512</v>
      </c>
      <c r="AT224" s="21">
        <v>308429</v>
      </c>
      <c r="AU224" s="21">
        <v>323426</v>
      </c>
      <c r="AV224" s="21">
        <v>370934</v>
      </c>
      <c r="AW224" s="21">
        <v>354379</v>
      </c>
      <c r="AX224" s="21">
        <v>374010</v>
      </c>
      <c r="AY224" s="21">
        <v>301610</v>
      </c>
      <c r="AZ224" s="21">
        <v>244650</v>
      </c>
      <c r="BA224" s="21">
        <v>237609</v>
      </c>
      <c r="BB224" s="21">
        <v>259525</v>
      </c>
      <c r="BC224" s="21">
        <v>254283</v>
      </c>
      <c r="BD224" s="21">
        <v>252329</v>
      </c>
      <c r="BE224" s="21">
        <v>262567</v>
      </c>
      <c r="BF224" s="21">
        <v>210007</v>
      </c>
      <c r="BG224" s="21">
        <v>257869</v>
      </c>
      <c r="BH224" s="21">
        <v>261995</v>
      </c>
      <c r="BI224" s="21">
        <v>264308</v>
      </c>
      <c r="BJ224" s="21">
        <v>269429</v>
      </c>
      <c r="BK224" s="21">
        <v>266547</v>
      </c>
      <c r="BL224" s="21">
        <v>269092</v>
      </c>
      <c r="BM224" s="21">
        <v>264255</v>
      </c>
    </row>
    <row r="225" spans="1:65" x14ac:dyDescent="0.2">
      <c r="A225" s="21" t="s">
        <v>1413</v>
      </c>
      <c r="B225" s="21" t="s">
        <v>1414</v>
      </c>
      <c r="C225" s="21" t="s">
        <v>680</v>
      </c>
      <c r="D225" s="21">
        <v>72600</v>
      </c>
      <c r="E225" s="21">
        <v>69334</v>
      </c>
      <c r="F225" s="21">
        <v>70335</v>
      </c>
      <c r="G225" s="21">
        <v>67381</v>
      </c>
      <c r="H225" s="21">
        <v>64925</v>
      </c>
      <c r="I225" s="21">
        <v>65184</v>
      </c>
      <c r="J225" s="21">
        <v>61166</v>
      </c>
      <c r="K225" s="21">
        <v>57773</v>
      </c>
      <c r="L225" s="21">
        <v>58018</v>
      </c>
      <c r="M225" s="21">
        <v>56177</v>
      </c>
      <c r="N225" s="21">
        <v>54836</v>
      </c>
      <c r="O225" s="21">
        <v>52272</v>
      </c>
      <c r="P225" s="21">
        <v>48305</v>
      </c>
      <c r="Q225" s="21">
        <v>48594</v>
      </c>
      <c r="R225" s="21">
        <v>44755</v>
      </c>
      <c r="S225" s="21">
        <v>42501</v>
      </c>
      <c r="T225" s="21">
        <v>40183</v>
      </c>
      <c r="U225" s="21">
        <v>37377</v>
      </c>
      <c r="V225" s="21">
        <v>33835</v>
      </c>
      <c r="W225" s="21">
        <v>30758</v>
      </c>
      <c r="X225" s="21">
        <v>30104</v>
      </c>
      <c r="Y225" s="21">
        <v>30430</v>
      </c>
      <c r="Z225" s="21">
        <v>26309</v>
      </c>
      <c r="AA225" s="21">
        <v>21374</v>
      </c>
      <c r="AB225" s="21">
        <v>30435</v>
      </c>
      <c r="AC225" s="21">
        <v>41487</v>
      </c>
      <c r="AD225" s="21">
        <v>39255</v>
      </c>
      <c r="AE225" s="21">
        <v>39152</v>
      </c>
      <c r="AF225" s="21">
        <v>36736</v>
      </c>
      <c r="AG225" s="21">
        <v>37841</v>
      </c>
      <c r="AH225" s="21">
        <v>35258</v>
      </c>
      <c r="AI225" s="21">
        <v>36802</v>
      </c>
      <c r="AJ225" s="21">
        <v>36977</v>
      </c>
      <c r="AK225" s="21">
        <v>34171</v>
      </c>
      <c r="AL225" s="21">
        <v>36795</v>
      </c>
      <c r="AM225" s="21">
        <v>38372</v>
      </c>
      <c r="AN225" s="21">
        <v>38328</v>
      </c>
      <c r="AO225" s="21">
        <v>40638</v>
      </c>
      <c r="AP225" s="21">
        <v>38267</v>
      </c>
      <c r="AQ225" s="21">
        <v>29108</v>
      </c>
      <c r="AR225" s="21">
        <v>28835</v>
      </c>
      <c r="AS225" s="21">
        <v>56626</v>
      </c>
      <c r="AT225" s="21">
        <v>59325</v>
      </c>
      <c r="AU225" s="21">
        <v>62233</v>
      </c>
      <c r="AV225" s="21">
        <v>71388</v>
      </c>
      <c r="AW225" s="21">
        <v>68255</v>
      </c>
      <c r="AX225" s="21">
        <v>72133</v>
      </c>
      <c r="AY225" s="21">
        <v>58656</v>
      </c>
      <c r="AZ225" s="21">
        <v>47914</v>
      </c>
      <c r="BA225" s="21">
        <v>46682</v>
      </c>
      <c r="BB225" s="21">
        <v>51219</v>
      </c>
      <c r="BC225" s="21">
        <v>50224</v>
      </c>
      <c r="BD225" s="21">
        <v>49848</v>
      </c>
      <c r="BE225" s="21">
        <v>51891</v>
      </c>
      <c r="BF225" s="21">
        <v>41512</v>
      </c>
      <c r="BG225" s="21">
        <v>50993</v>
      </c>
      <c r="BH225" s="21">
        <v>51829</v>
      </c>
      <c r="BI225" s="21">
        <v>52307</v>
      </c>
      <c r="BJ225" s="21">
        <v>53310</v>
      </c>
      <c r="BK225" s="21">
        <v>52761</v>
      </c>
      <c r="BL225" s="21">
        <v>53264</v>
      </c>
      <c r="BM225" s="21">
        <v>52328</v>
      </c>
    </row>
    <row r="226" spans="1:65" x14ac:dyDescent="0.2">
      <c r="A226" s="21" t="s">
        <v>1413</v>
      </c>
      <c r="B226" s="21" t="s">
        <v>1414</v>
      </c>
      <c r="C226" s="21" t="s">
        <v>683</v>
      </c>
      <c r="D226" s="21">
        <v>7630802</v>
      </c>
      <c r="E226" s="21">
        <v>7751568</v>
      </c>
      <c r="F226" s="21">
        <v>8050790</v>
      </c>
      <c r="G226" s="21">
        <v>8309962</v>
      </c>
      <c r="H226" s="21">
        <v>8464411</v>
      </c>
      <c r="I226" s="21">
        <v>8805625</v>
      </c>
      <c r="J226" s="21">
        <v>9218658</v>
      </c>
      <c r="K226" s="21">
        <v>9506785</v>
      </c>
      <c r="L226" s="21">
        <v>10114000</v>
      </c>
      <c r="M226" s="21">
        <v>10595275</v>
      </c>
      <c r="N226" s="21">
        <v>11090916</v>
      </c>
      <c r="O226" s="21">
        <v>11531738</v>
      </c>
      <c r="P226" s="21">
        <v>12259336</v>
      </c>
      <c r="Q226" s="21">
        <v>12797127</v>
      </c>
      <c r="R226" s="21">
        <v>12534588</v>
      </c>
      <c r="S226" s="21">
        <v>12797511</v>
      </c>
      <c r="T226" s="21">
        <v>13415290</v>
      </c>
      <c r="U226" s="21">
        <v>13760444</v>
      </c>
      <c r="V226" s="21">
        <v>14210988</v>
      </c>
      <c r="W226" s="21">
        <v>13487461</v>
      </c>
      <c r="X226" s="21">
        <v>12647895</v>
      </c>
      <c r="Y226" s="21">
        <v>12630560</v>
      </c>
      <c r="Z226" s="21">
        <v>12537986</v>
      </c>
      <c r="AA226" s="21">
        <v>12696942</v>
      </c>
      <c r="AB226" s="21">
        <v>12867019</v>
      </c>
      <c r="AC226" s="21">
        <v>13097625</v>
      </c>
      <c r="AD226" s="21">
        <v>13486741</v>
      </c>
      <c r="AE226" s="21">
        <v>13815858</v>
      </c>
      <c r="AF226" s="21">
        <v>14105067</v>
      </c>
      <c r="AG226" s="21">
        <v>14050036</v>
      </c>
      <c r="AH226" s="21">
        <v>13871812</v>
      </c>
      <c r="AI226" s="21">
        <v>13780951</v>
      </c>
      <c r="AJ226" s="21">
        <v>13972523</v>
      </c>
      <c r="AK226" s="21">
        <v>14236410</v>
      </c>
      <c r="AL226" s="21">
        <v>14466238</v>
      </c>
      <c r="AM226" s="21">
        <v>14794217</v>
      </c>
      <c r="AN226" s="21">
        <v>15049123</v>
      </c>
      <c r="AO226" s="21">
        <v>15230600</v>
      </c>
      <c r="AP226" s="21">
        <v>15674022</v>
      </c>
      <c r="AQ226" s="21">
        <v>16007813</v>
      </c>
      <c r="AR226" s="21">
        <v>16127126</v>
      </c>
      <c r="AS226" s="21">
        <v>16344975</v>
      </c>
      <c r="AT226" s="21">
        <v>16789957</v>
      </c>
      <c r="AU226" s="21">
        <v>16948649</v>
      </c>
      <c r="AV226" s="21">
        <v>17316080</v>
      </c>
      <c r="AW226" s="21">
        <v>17357536</v>
      </c>
      <c r="AX226" s="21">
        <v>17510647</v>
      </c>
      <c r="AY226" s="21">
        <v>17427621</v>
      </c>
      <c r="AZ226" s="21">
        <v>16799031</v>
      </c>
      <c r="BA226" s="21">
        <v>16714186</v>
      </c>
      <c r="BB226" s="21">
        <v>16631510</v>
      </c>
      <c r="BC226" s="21">
        <v>16175040</v>
      </c>
      <c r="BD226" s="21">
        <v>16085452</v>
      </c>
      <c r="BE226" s="21">
        <v>16332106</v>
      </c>
      <c r="BF226" s="21">
        <v>16472645</v>
      </c>
      <c r="BG226" s="21">
        <v>16941486</v>
      </c>
      <c r="BH226" s="21">
        <v>17237808</v>
      </c>
      <c r="BI226" s="21">
        <v>17201352</v>
      </c>
      <c r="BJ226" s="21">
        <v>17209269</v>
      </c>
      <c r="BK226" s="21">
        <v>17166236</v>
      </c>
      <c r="BL226" s="21">
        <v>14883263</v>
      </c>
      <c r="BM226" s="21">
        <v>16249537</v>
      </c>
    </row>
    <row r="227" spans="1:65" x14ac:dyDescent="0.2">
      <c r="A227" s="21" t="s">
        <v>1413</v>
      </c>
      <c r="B227" s="21" t="s">
        <v>1414</v>
      </c>
      <c r="C227" s="21" t="s">
        <v>687</v>
      </c>
      <c r="D227" s="21">
        <v>5.2530000000000001</v>
      </c>
      <c r="E227" s="21">
        <v>5.2530000000000001</v>
      </c>
      <c r="F227" s="21">
        <v>5.2530000000000001</v>
      </c>
      <c r="G227" s="21">
        <v>5.2530000000000001</v>
      </c>
      <c r="H227" s="21">
        <v>5.2530000000000001</v>
      </c>
      <c r="I227" s="21">
        <v>5.2530000000000001</v>
      </c>
      <c r="J227" s="21">
        <v>5.2530000000000001</v>
      </c>
      <c r="K227" s="21">
        <v>5.2530000000000001</v>
      </c>
      <c r="L227" s="21">
        <v>5.2530000000000001</v>
      </c>
      <c r="M227" s="21">
        <v>5.2530000000000001</v>
      </c>
      <c r="N227" s="21">
        <v>5.2530000000000001</v>
      </c>
      <c r="O227" s="21">
        <v>5.2530000000000001</v>
      </c>
      <c r="P227" s="21">
        <v>5.2530000000000001</v>
      </c>
      <c r="Q227" s="21">
        <v>5.2530000000000001</v>
      </c>
      <c r="R227" s="21">
        <v>5.2530000000000001</v>
      </c>
      <c r="S227" s="21">
        <v>5.2530000000000001</v>
      </c>
      <c r="T227" s="21">
        <v>5.2530000000000001</v>
      </c>
      <c r="U227" s="21">
        <v>5.2530000000000001</v>
      </c>
      <c r="V227" s="21">
        <v>5.2530000000000001</v>
      </c>
      <c r="W227" s="21">
        <v>5.2530000000000001</v>
      </c>
      <c r="X227" s="21">
        <v>5.2530000000000001</v>
      </c>
      <c r="Y227" s="21">
        <v>5.2530000000000001</v>
      </c>
      <c r="Z227" s="21">
        <v>5.2530000000000001</v>
      </c>
      <c r="AA227" s="21">
        <v>5.2530000000000001</v>
      </c>
      <c r="AB227" s="21">
        <v>5.2530000000000001</v>
      </c>
      <c r="AC227" s="21">
        <v>5.2530000000000001</v>
      </c>
      <c r="AD227" s="21">
        <v>5.2530000000000001</v>
      </c>
      <c r="AE227" s="21">
        <v>5.2530000000000001</v>
      </c>
      <c r="AF227" s="21">
        <v>5.2530000000000001</v>
      </c>
      <c r="AG227" s="21">
        <v>5.2530000000000001</v>
      </c>
      <c r="AH227" s="21">
        <v>5.2530000000000001</v>
      </c>
      <c r="AI227" s="21">
        <v>5.2530000000000001</v>
      </c>
      <c r="AJ227" s="21">
        <v>5.2530000000000001</v>
      </c>
      <c r="AK227" s="21">
        <v>5.2169999999999996</v>
      </c>
      <c r="AL227" s="21">
        <v>5.2140000000000004</v>
      </c>
      <c r="AM227" s="21">
        <v>5.2039999999999997</v>
      </c>
      <c r="AN227" s="21">
        <v>5.2110000000000003</v>
      </c>
      <c r="AO227" s="21">
        <v>5.2050000000000001</v>
      </c>
      <c r="AP227" s="21">
        <v>5.2030000000000003</v>
      </c>
      <c r="AQ227" s="21">
        <v>5.202</v>
      </c>
      <c r="AR227" s="21">
        <v>5.2009999999999996</v>
      </c>
      <c r="AS227" s="21">
        <v>5.2009999999999996</v>
      </c>
      <c r="AT227" s="21">
        <v>5.1989999999999998</v>
      </c>
      <c r="AU227" s="21">
        <v>5.1970000000000001</v>
      </c>
      <c r="AV227" s="21">
        <v>5.1959999999999997</v>
      </c>
      <c r="AW227" s="21">
        <v>5.1920000000000002</v>
      </c>
      <c r="AX227" s="21">
        <v>5.1849999999999996</v>
      </c>
      <c r="AY227" s="21">
        <v>5.1420000000000003</v>
      </c>
      <c r="AZ227" s="21">
        <v>5.1059999999999999</v>
      </c>
      <c r="BA227" s="21">
        <v>5.09</v>
      </c>
      <c r="BB227" s="21">
        <v>5.0670000000000002</v>
      </c>
      <c r="BC227" s="21">
        <v>5.0629999999999997</v>
      </c>
      <c r="BD227" s="21">
        <v>5.0620000000000003</v>
      </c>
      <c r="BE227" s="21">
        <v>5.0599999999999996</v>
      </c>
      <c r="BF227" s="21">
        <v>5.0590000000000002</v>
      </c>
      <c r="BG227" s="21">
        <v>5.0570000000000004</v>
      </c>
      <c r="BH227" s="21">
        <v>5.0549999999999997</v>
      </c>
      <c r="BI227" s="21">
        <v>5.0529999999999999</v>
      </c>
      <c r="BJ227" s="21">
        <v>5.0540000000000003</v>
      </c>
      <c r="BK227" s="21">
        <v>5.0519999999999996</v>
      </c>
      <c r="BL227" s="21">
        <v>5.0519999999999996</v>
      </c>
      <c r="BM227" s="21">
        <v>5.05</v>
      </c>
    </row>
    <row r="228" spans="1:65" x14ac:dyDescent="0.2">
      <c r="A228" s="21" t="s">
        <v>1413</v>
      </c>
      <c r="B228" s="21" t="s">
        <v>1414</v>
      </c>
      <c r="C228" s="21" t="s">
        <v>689</v>
      </c>
      <c r="D228" s="21">
        <v>1452656</v>
      </c>
      <c r="E228" s="21">
        <v>1475646</v>
      </c>
      <c r="F228" s="21">
        <v>1532608</v>
      </c>
      <c r="G228" s="21">
        <v>1581946</v>
      </c>
      <c r="H228" s="21">
        <v>1611348</v>
      </c>
      <c r="I228" s="21">
        <v>1676304</v>
      </c>
      <c r="J228" s="21">
        <v>1754932</v>
      </c>
      <c r="K228" s="21">
        <v>1809782</v>
      </c>
      <c r="L228" s="21">
        <v>1925376</v>
      </c>
      <c r="M228" s="21">
        <v>2016995</v>
      </c>
      <c r="N228" s="21">
        <v>2111349</v>
      </c>
      <c r="O228" s="21">
        <v>2195267</v>
      </c>
      <c r="P228" s="21">
        <v>2333778</v>
      </c>
      <c r="Q228" s="21">
        <v>2436156</v>
      </c>
      <c r="R228" s="21">
        <v>2386177</v>
      </c>
      <c r="S228" s="21">
        <v>2436229</v>
      </c>
      <c r="T228" s="21">
        <v>2553834</v>
      </c>
      <c r="U228" s="21">
        <v>2619540</v>
      </c>
      <c r="V228" s="21">
        <v>2705309</v>
      </c>
      <c r="W228" s="21">
        <v>2567573</v>
      </c>
      <c r="X228" s="21">
        <v>2407747</v>
      </c>
      <c r="Y228" s="21">
        <v>2404447</v>
      </c>
      <c r="Z228" s="21">
        <v>2386824</v>
      </c>
      <c r="AA228" s="21">
        <v>2417084</v>
      </c>
      <c r="AB228" s="21">
        <v>2449461</v>
      </c>
      <c r="AC228" s="21">
        <v>2493361</v>
      </c>
      <c r="AD228" s="21">
        <v>2567436</v>
      </c>
      <c r="AE228" s="21">
        <v>2630089</v>
      </c>
      <c r="AF228" s="21">
        <v>2685145</v>
      </c>
      <c r="AG228" s="21">
        <v>2674669</v>
      </c>
      <c r="AH228" s="21">
        <v>2640741</v>
      </c>
      <c r="AI228" s="21">
        <v>2623444</v>
      </c>
      <c r="AJ228" s="21">
        <v>2659913</v>
      </c>
      <c r="AK228" s="21">
        <v>2728850</v>
      </c>
      <c r="AL228" s="21">
        <v>2774499</v>
      </c>
      <c r="AM228" s="21">
        <v>2842855</v>
      </c>
      <c r="AN228" s="21">
        <v>2887953</v>
      </c>
      <c r="AO228" s="21">
        <v>2926148</v>
      </c>
      <c r="AP228" s="21">
        <v>3012497</v>
      </c>
      <c r="AQ228" s="21">
        <v>3077242</v>
      </c>
      <c r="AR228" s="21">
        <v>3100774</v>
      </c>
      <c r="AS228" s="21">
        <v>3142660</v>
      </c>
      <c r="AT228" s="21">
        <v>3229459</v>
      </c>
      <c r="AU228" s="21">
        <v>3261237</v>
      </c>
      <c r="AV228" s="21">
        <v>3332579</v>
      </c>
      <c r="AW228" s="21">
        <v>3343131</v>
      </c>
      <c r="AX228" s="21">
        <v>3377174</v>
      </c>
      <c r="AY228" s="21">
        <v>3389269</v>
      </c>
      <c r="AZ228" s="21">
        <v>3290057</v>
      </c>
      <c r="BA228" s="21">
        <v>3283730</v>
      </c>
      <c r="BB228" s="21">
        <v>3282319</v>
      </c>
      <c r="BC228" s="21">
        <v>3194754</v>
      </c>
      <c r="BD228" s="21">
        <v>3177687</v>
      </c>
      <c r="BE228" s="21">
        <v>3227689</v>
      </c>
      <c r="BF228" s="21">
        <v>3256107</v>
      </c>
      <c r="BG228" s="21">
        <v>3350106</v>
      </c>
      <c r="BH228" s="21">
        <v>3410051</v>
      </c>
      <c r="BI228" s="21">
        <v>3404186</v>
      </c>
      <c r="BJ228" s="21">
        <v>3405079</v>
      </c>
      <c r="BK228" s="21">
        <v>3397909</v>
      </c>
      <c r="BL228" s="21">
        <v>2946014</v>
      </c>
      <c r="BM228" s="21">
        <v>3217730</v>
      </c>
    </row>
    <row r="229" spans="1:65" x14ac:dyDescent="0.2">
      <c r="A229" s="21" t="s">
        <v>1413</v>
      </c>
      <c r="B229" s="21" t="s">
        <v>1414</v>
      </c>
      <c r="C229" s="21" t="s">
        <v>695</v>
      </c>
      <c r="D229" s="21">
        <v>7630802</v>
      </c>
      <c r="E229" s="21">
        <v>7751568</v>
      </c>
      <c r="F229" s="21">
        <v>8050790</v>
      </c>
      <c r="G229" s="21">
        <v>8309962</v>
      </c>
      <c r="H229" s="21">
        <v>8464411</v>
      </c>
      <c r="I229" s="21">
        <v>8805625</v>
      </c>
      <c r="J229" s="21">
        <v>9218658</v>
      </c>
      <c r="K229" s="21">
        <v>9506785</v>
      </c>
      <c r="L229" s="21">
        <v>10114000</v>
      </c>
      <c r="M229" s="21">
        <v>10595275</v>
      </c>
      <c r="N229" s="21">
        <v>11090916</v>
      </c>
      <c r="O229" s="21">
        <v>11531738</v>
      </c>
      <c r="P229" s="21">
        <v>12259336</v>
      </c>
      <c r="Q229" s="21">
        <v>12797127</v>
      </c>
      <c r="R229" s="21">
        <v>12534588</v>
      </c>
      <c r="S229" s="21">
        <v>12797511</v>
      </c>
      <c r="T229" s="21">
        <v>13415290</v>
      </c>
      <c r="U229" s="21">
        <v>13760444</v>
      </c>
      <c r="V229" s="21">
        <v>14210988</v>
      </c>
      <c r="W229" s="21">
        <v>13487461</v>
      </c>
      <c r="X229" s="21">
        <v>12647895</v>
      </c>
      <c r="Y229" s="21">
        <v>12630560</v>
      </c>
      <c r="Z229" s="21">
        <v>12537986</v>
      </c>
      <c r="AA229" s="21">
        <v>12696942</v>
      </c>
      <c r="AB229" s="21">
        <v>12867019</v>
      </c>
      <c r="AC229" s="21">
        <v>13097625</v>
      </c>
      <c r="AD229" s="21">
        <v>13486741</v>
      </c>
      <c r="AE229" s="21">
        <v>13815858</v>
      </c>
      <c r="AF229" s="21">
        <v>14105067</v>
      </c>
      <c r="AG229" s="21">
        <v>14050036</v>
      </c>
      <c r="AH229" s="21">
        <v>13871812</v>
      </c>
      <c r="AI229" s="21">
        <v>13780951</v>
      </c>
      <c r="AJ229" s="21">
        <v>13972523</v>
      </c>
      <c r="AK229" s="21">
        <v>14236410</v>
      </c>
      <c r="AL229" s="21">
        <v>14466238</v>
      </c>
      <c r="AM229" s="21">
        <v>14794217</v>
      </c>
      <c r="AN229" s="21">
        <v>15049123</v>
      </c>
      <c r="AO229" s="21">
        <v>15230600</v>
      </c>
      <c r="AP229" s="21">
        <v>15674022</v>
      </c>
      <c r="AQ229" s="21">
        <v>16007813</v>
      </c>
      <c r="AR229" s="21">
        <v>16127126</v>
      </c>
      <c r="AS229" s="21">
        <v>16344975</v>
      </c>
      <c r="AT229" s="21">
        <v>16789957</v>
      </c>
      <c r="AU229" s="21">
        <v>16948649</v>
      </c>
      <c r="AV229" s="21">
        <v>17316080</v>
      </c>
      <c r="AW229" s="21">
        <v>17357536</v>
      </c>
      <c r="AX229" s="21">
        <v>17510647</v>
      </c>
      <c r="AY229" s="21">
        <v>17427621</v>
      </c>
      <c r="AZ229" s="21">
        <v>16799031</v>
      </c>
      <c r="BA229" s="21">
        <v>16714186</v>
      </c>
      <c r="BB229" s="21">
        <v>16631510</v>
      </c>
      <c r="BC229" s="21">
        <v>16175040</v>
      </c>
      <c r="BD229" s="21">
        <v>16085452</v>
      </c>
      <c r="BE229" s="21">
        <v>16332106</v>
      </c>
      <c r="BF229" s="21">
        <v>16472645</v>
      </c>
      <c r="BG229" s="21">
        <v>16941486</v>
      </c>
      <c r="BH229" s="21">
        <v>17237808</v>
      </c>
      <c r="BI229" s="21">
        <v>17201352</v>
      </c>
      <c r="BJ229" s="21">
        <v>17209269</v>
      </c>
      <c r="BK229" s="21">
        <v>17166236</v>
      </c>
      <c r="BL229" s="21">
        <v>14883263</v>
      </c>
      <c r="BM229" s="21">
        <v>16249537</v>
      </c>
    </row>
    <row r="230" spans="1:65" x14ac:dyDescent="0.2">
      <c r="A230" s="21" t="s">
        <v>1413</v>
      </c>
      <c r="B230" s="21" t="s">
        <v>1414</v>
      </c>
      <c r="C230" s="21" t="s">
        <v>699</v>
      </c>
      <c r="D230" s="21">
        <v>1452656</v>
      </c>
      <c r="E230" s="21">
        <v>1475646</v>
      </c>
      <c r="F230" s="21">
        <v>1532608</v>
      </c>
      <c r="G230" s="21">
        <v>1581946</v>
      </c>
      <c r="H230" s="21">
        <v>1611348</v>
      </c>
      <c r="I230" s="21">
        <v>1676304</v>
      </c>
      <c r="J230" s="21">
        <v>1754932</v>
      </c>
      <c r="K230" s="21">
        <v>1809782</v>
      </c>
      <c r="L230" s="21">
        <v>1925376</v>
      </c>
      <c r="M230" s="21">
        <v>2016995</v>
      </c>
      <c r="N230" s="21">
        <v>2111349</v>
      </c>
      <c r="O230" s="21">
        <v>2195267</v>
      </c>
      <c r="P230" s="21">
        <v>2333778</v>
      </c>
      <c r="Q230" s="21">
        <v>2436156</v>
      </c>
      <c r="R230" s="21">
        <v>2386177</v>
      </c>
      <c r="S230" s="21">
        <v>2436229</v>
      </c>
      <c r="T230" s="21">
        <v>2553834</v>
      </c>
      <c r="U230" s="21">
        <v>2619540</v>
      </c>
      <c r="V230" s="21">
        <v>2705309</v>
      </c>
      <c r="W230" s="21">
        <v>2567573</v>
      </c>
      <c r="X230" s="21">
        <v>2407747</v>
      </c>
      <c r="Y230" s="21">
        <v>2404447</v>
      </c>
      <c r="Z230" s="21">
        <v>2386824</v>
      </c>
      <c r="AA230" s="21">
        <v>2417084</v>
      </c>
      <c r="AB230" s="21">
        <v>2449461</v>
      </c>
      <c r="AC230" s="21">
        <v>2493361</v>
      </c>
      <c r="AD230" s="21">
        <v>2567436</v>
      </c>
      <c r="AE230" s="21">
        <v>2630089</v>
      </c>
      <c r="AF230" s="21">
        <v>2685145</v>
      </c>
      <c r="AG230" s="21">
        <v>2674669</v>
      </c>
      <c r="AH230" s="21">
        <v>2640741</v>
      </c>
      <c r="AI230" s="21">
        <v>2623444</v>
      </c>
      <c r="AJ230" s="21">
        <v>2659913</v>
      </c>
      <c r="AK230" s="21">
        <v>2728850</v>
      </c>
      <c r="AL230" s="21">
        <v>2774499</v>
      </c>
      <c r="AM230" s="21">
        <v>2842855</v>
      </c>
      <c r="AN230" s="21">
        <v>2887953</v>
      </c>
      <c r="AO230" s="21">
        <v>2926148</v>
      </c>
      <c r="AP230" s="21">
        <v>3012497</v>
      </c>
      <c r="AQ230" s="21">
        <v>3077242</v>
      </c>
      <c r="AR230" s="21">
        <v>3100774</v>
      </c>
      <c r="AS230" s="21">
        <v>3142660</v>
      </c>
      <c r="AT230" s="21">
        <v>3229459</v>
      </c>
      <c r="AU230" s="21">
        <v>3261237</v>
      </c>
      <c r="AV230" s="21">
        <v>3332579</v>
      </c>
      <c r="AW230" s="21">
        <v>3343131</v>
      </c>
      <c r="AX230" s="21">
        <v>3377174</v>
      </c>
      <c r="AY230" s="21">
        <v>3389269</v>
      </c>
      <c r="AZ230" s="21">
        <v>3290057</v>
      </c>
      <c r="BA230" s="21">
        <v>3283730</v>
      </c>
      <c r="BB230" s="21">
        <v>3282319</v>
      </c>
      <c r="BC230" s="21">
        <v>3194754</v>
      </c>
      <c r="BD230" s="21">
        <v>3177687</v>
      </c>
      <c r="BE230" s="21">
        <v>3227689</v>
      </c>
      <c r="BF230" s="21">
        <v>3256107</v>
      </c>
      <c r="BG230" s="21">
        <v>3350106</v>
      </c>
      <c r="BH230" s="21">
        <v>3410051</v>
      </c>
      <c r="BI230" s="21">
        <v>3404186</v>
      </c>
      <c r="BJ230" s="21">
        <v>3405079</v>
      </c>
      <c r="BK230" s="21">
        <v>3397909</v>
      </c>
      <c r="BL230" s="21">
        <v>2946014</v>
      </c>
      <c r="BM230" s="21">
        <v>3217730</v>
      </c>
    </row>
    <row r="231" spans="1:65" x14ac:dyDescent="0.2">
      <c r="A231" s="21" t="s">
        <v>1413</v>
      </c>
      <c r="B231" s="21" t="s">
        <v>1414</v>
      </c>
      <c r="C231" s="21" t="s">
        <v>702</v>
      </c>
      <c r="D231" s="21">
        <v>7630802</v>
      </c>
      <c r="E231" s="21">
        <v>7751568</v>
      </c>
      <c r="F231" s="21">
        <v>8050790</v>
      </c>
      <c r="G231" s="21">
        <v>8309962</v>
      </c>
      <c r="H231" s="21">
        <v>8464411</v>
      </c>
      <c r="I231" s="21">
        <v>8805625</v>
      </c>
      <c r="J231" s="21">
        <v>9218658</v>
      </c>
      <c r="K231" s="21">
        <v>9506785</v>
      </c>
      <c r="L231" s="21">
        <v>10114000</v>
      </c>
      <c r="M231" s="21">
        <v>10595275</v>
      </c>
      <c r="N231" s="21">
        <v>11090916</v>
      </c>
      <c r="O231" s="21">
        <v>11531738</v>
      </c>
      <c r="P231" s="21">
        <v>12259336</v>
      </c>
      <c r="Q231" s="21">
        <v>12797127</v>
      </c>
      <c r="R231" s="21">
        <v>12534588</v>
      </c>
      <c r="S231" s="21">
        <v>12797511</v>
      </c>
      <c r="T231" s="21">
        <v>13415290</v>
      </c>
      <c r="U231" s="21">
        <v>13760444</v>
      </c>
      <c r="V231" s="21">
        <v>14210988</v>
      </c>
      <c r="W231" s="21">
        <v>13487461</v>
      </c>
      <c r="X231" s="21">
        <v>12647895</v>
      </c>
      <c r="Y231" s="21">
        <v>12630560</v>
      </c>
      <c r="Z231" s="21">
        <v>12537986</v>
      </c>
      <c r="AA231" s="21">
        <v>12696942</v>
      </c>
      <c r="AB231" s="21">
        <v>12867019</v>
      </c>
      <c r="AC231" s="21">
        <v>13097625</v>
      </c>
      <c r="AD231" s="21">
        <v>13486741</v>
      </c>
      <c r="AE231" s="21">
        <v>13815858</v>
      </c>
      <c r="AF231" s="21">
        <v>14105067</v>
      </c>
      <c r="AG231" s="21">
        <v>14050036</v>
      </c>
      <c r="AH231" s="21">
        <v>13871812</v>
      </c>
      <c r="AI231" s="21">
        <v>13780951</v>
      </c>
      <c r="AJ231" s="21">
        <v>13972523</v>
      </c>
      <c r="AK231" s="21">
        <v>14141364</v>
      </c>
      <c r="AL231" s="21">
        <v>14359802</v>
      </c>
      <c r="AM231" s="21">
        <v>14680047</v>
      </c>
      <c r="AN231" s="21">
        <v>14967231</v>
      </c>
      <c r="AO231" s="21">
        <v>15126904</v>
      </c>
      <c r="AP231" s="21">
        <v>15559439</v>
      </c>
      <c r="AQ231" s="21">
        <v>15888680</v>
      </c>
      <c r="AR231" s="21">
        <v>15990592</v>
      </c>
      <c r="AS231" s="21">
        <v>16201234</v>
      </c>
      <c r="AT231" s="21">
        <v>16618766</v>
      </c>
      <c r="AU231" s="21">
        <v>16715286</v>
      </c>
      <c r="AV231" s="21">
        <v>17022752</v>
      </c>
      <c r="AW231" s="21">
        <v>17022388</v>
      </c>
      <c r="AX231" s="21">
        <v>17058027</v>
      </c>
      <c r="AY231" s="21">
        <v>16859024</v>
      </c>
      <c r="AZ231" s="21">
        <v>15999412</v>
      </c>
      <c r="BA231" s="21">
        <v>15804533</v>
      </c>
      <c r="BB231" s="21">
        <v>15570293</v>
      </c>
      <c r="BC231" s="21">
        <v>15110405</v>
      </c>
      <c r="BD231" s="21">
        <v>15021605</v>
      </c>
      <c r="BE231" s="21">
        <v>15240281</v>
      </c>
      <c r="BF231" s="21">
        <v>15361358</v>
      </c>
      <c r="BG231" s="21">
        <v>15788432</v>
      </c>
      <c r="BH231" s="21">
        <v>16050927</v>
      </c>
      <c r="BI231" s="21">
        <v>16002227</v>
      </c>
      <c r="BJ231" s="21">
        <v>16012638</v>
      </c>
      <c r="BK231" s="21">
        <v>15959958</v>
      </c>
      <c r="BL231" s="21">
        <v>13833718</v>
      </c>
      <c r="BM231" s="21">
        <v>15094584</v>
      </c>
    </row>
    <row r="232" spans="1:65" x14ac:dyDescent="0.2">
      <c r="A232" s="21" t="s">
        <v>1413</v>
      </c>
      <c r="B232" s="21" t="s">
        <v>1414</v>
      </c>
      <c r="C232" s="21" t="s">
        <v>704</v>
      </c>
      <c r="D232" s="21">
        <v>146106</v>
      </c>
      <c r="E232" s="21">
        <v>163123</v>
      </c>
      <c r="F232" s="21">
        <v>179038</v>
      </c>
      <c r="G232" s="21">
        <v>94765</v>
      </c>
      <c r="H232" s="21">
        <v>94782</v>
      </c>
      <c r="I232" s="21">
        <v>92475</v>
      </c>
      <c r="J232" s="21">
        <v>99239</v>
      </c>
      <c r="K232" s="21">
        <v>92707</v>
      </c>
      <c r="L232" s="21">
        <v>103412</v>
      </c>
      <c r="M232" s="21">
        <v>96312</v>
      </c>
      <c r="N232" s="21">
        <v>86030</v>
      </c>
      <c r="O232" s="21">
        <v>86447</v>
      </c>
      <c r="P232" s="21">
        <v>88586</v>
      </c>
      <c r="Q232" s="21">
        <v>109741</v>
      </c>
      <c r="R232" s="21">
        <v>140628</v>
      </c>
      <c r="S232" s="21">
        <v>189379</v>
      </c>
      <c r="T232" s="21">
        <v>275101</v>
      </c>
      <c r="U232" s="21">
        <v>311176</v>
      </c>
      <c r="V232" s="21">
        <v>270685</v>
      </c>
      <c r="W232" s="21">
        <v>250515</v>
      </c>
      <c r="X232" s="21">
        <v>237520</v>
      </c>
      <c r="Y232" s="21">
        <v>209891</v>
      </c>
      <c r="Z232" s="21">
        <v>183988</v>
      </c>
      <c r="AA232" s="21">
        <v>164919</v>
      </c>
      <c r="AB232" s="21">
        <v>141602</v>
      </c>
      <c r="AC232" s="21">
        <v>142605</v>
      </c>
      <c r="AD232" s="21">
        <v>136757</v>
      </c>
      <c r="AE232" s="21">
        <v>137330</v>
      </c>
      <c r="AF232" s="21">
        <v>166542</v>
      </c>
      <c r="AG232" s="21">
        <v>153217</v>
      </c>
      <c r="AH232" s="21">
        <v>137835</v>
      </c>
      <c r="AI232" s="21">
        <v>152626</v>
      </c>
      <c r="AJ232" s="21">
        <v>100062</v>
      </c>
      <c r="AK232" s="21">
        <v>94718</v>
      </c>
      <c r="AL232" s="21">
        <v>105852</v>
      </c>
      <c r="AM232" s="21">
        <v>97124</v>
      </c>
      <c r="AN232" s="21">
        <v>89032</v>
      </c>
      <c r="AO232" s="21">
        <v>97750</v>
      </c>
      <c r="AP232" s="21">
        <v>118986</v>
      </c>
      <c r="AQ232" s="21">
        <v>111909</v>
      </c>
      <c r="AR232" s="21">
        <v>119206</v>
      </c>
      <c r="AS232" s="21">
        <v>124910</v>
      </c>
      <c r="AT232" s="21">
        <v>134183</v>
      </c>
      <c r="AU232" s="21">
        <v>125959</v>
      </c>
      <c r="AV232" s="21">
        <v>113422</v>
      </c>
      <c r="AW232" s="21">
        <v>112790</v>
      </c>
      <c r="AX232" s="21">
        <v>136032</v>
      </c>
      <c r="AY232" s="21">
        <v>133476</v>
      </c>
      <c r="AZ232" s="21">
        <v>142031</v>
      </c>
      <c r="BA232" s="21">
        <v>151826</v>
      </c>
      <c r="BB232" s="21">
        <v>158700</v>
      </c>
      <c r="BC232" s="21">
        <v>164740</v>
      </c>
      <c r="BD232" s="21">
        <v>161581</v>
      </c>
      <c r="BE232" s="21">
        <v>171162</v>
      </c>
      <c r="BF232" s="21">
        <v>182742</v>
      </c>
      <c r="BG232" s="21">
        <v>188926</v>
      </c>
      <c r="BH232" s="21">
        <v>191343</v>
      </c>
      <c r="BI232" s="21">
        <v>198809</v>
      </c>
      <c r="BJ232" s="21">
        <v>197968</v>
      </c>
      <c r="BK232" s="21">
        <v>180157</v>
      </c>
      <c r="BL232" s="21">
        <v>170663</v>
      </c>
      <c r="BM232" s="21">
        <v>170802</v>
      </c>
    </row>
    <row r="233" spans="1:65" x14ac:dyDescent="0.2">
      <c r="A233" s="21" t="s">
        <v>1413</v>
      </c>
      <c r="B233" s="21" t="s">
        <v>1414</v>
      </c>
      <c r="C233" s="21" t="s">
        <v>708</v>
      </c>
      <c r="D233" s="21">
        <v>25208</v>
      </c>
      <c r="E233" s="21">
        <v>28144</v>
      </c>
      <c r="F233" s="21">
        <v>30890</v>
      </c>
      <c r="G233" s="21">
        <v>16350</v>
      </c>
      <c r="H233" s="21">
        <v>16353</v>
      </c>
      <c r="I233" s="21">
        <v>15955</v>
      </c>
      <c r="J233" s="21">
        <v>17122</v>
      </c>
      <c r="K233" s="21">
        <v>15995</v>
      </c>
      <c r="L233" s="21">
        <v>17842</v>
      </c>
      <c r="M233" s="21">
        <v>16617</v>
      </c>
      <c r="N233" s="21">
        <v>14843</v>
      </c>
      <c r="O233" s="21">
        <v>14915</v>
      </c>
      <c r="P233" s="21">
        <v>15284</v>
      </c>
      <c r="Q233" s="21">
        <v>18934</v>
      </c>
      <c r="R233" s="21">
        <v>24263</v>
      </c>
      <c r="S233" s="21">
        <v>32674</v>
      </c>
      <c r="T233" s="21">
        <v>47464</v>
      </c>
      <c r="U233" s="21">
        <v>53688</v>
      </c>
      <c r="V233" s="21">
        <v>46702</v>
      </c>
      <c r="W233" s="21">
        <v>43222</v>
      </c>
      <c r="X233" s="21">
        <v>40980</v>
      </c>
      <c r="Y233" s="21">
        <v>36213</v>
      </c>
      <c r="Z233" s="21">
        <v>31744</v>
      </c>
      <c r="AA233" s="21">
        <v>28454</v>
      </c>
      <c r="AB233" s="21">
        <v>24431</v>
      </c>
      <c r="AC233" s="21">
        <v>24604</v>
      </c>
      <c r="AD233" s="21">
        <v>23595</v>
      </c>
      <c r="AE233" s="21">
        <v>23694</v>
      </c>
      <c r="AF233" s="21">
        <v>28734</v>
      </c>
      <c r="AG233" s="21">
        <v>26435</v>
      </c>
      <c r="AH233" s="21">
        <v>23781</v>
      </c>
      <c r="AI233" s="21">
        <v>26333</v>
      </c>
      <c r="AJ233" s="21">
        <v>17264</v>
      </c>
      <c r="AK233" s="21">
        <v>16342</v>
      </c>
      <c r="AL233" s="21">
        <v>18263</v>
      </c>
      <c r="AM233" s="21">
        <v>16757</v>
      </c>
      <c r="AN233" s="21">
        <v>15361</v>
      </c>
      <c r="AO233" s="21">
        <v>16865</v>
      </c>
      <c r="AP233" s="21">
        <v>20529</v>
      </c>
      <c r="AQ233" s="21">
        <v>19308</v>
      </c>
      <c r="AR233" s="21">
        <v>20567</v>
      </c>
      <c r="AS233" s="21">
        <v>21551</v>
      </c>
      <c r="AT233" s="21">
        <v>23151</v>
      </c>
      <c r="AU233" s="21">
        <v>21732</v>
      </c>
      <c r="AV233" s="21">
        <v>19569</v>
      </c>
      <c r="AW233" s="21">
        <v>19460</v>
      </c>
      <c r="AX233" s="21">
        <v>23470</v>
      </c>
      <c r="AY233" s="21">
        <v>23029</v>
      </c>
      <c r="AZ233" s="21">
        <v>24505</v>
      </c>
      <c r="BA233" s="21">
        <v>26195</v>
      </c>
      <c r="BB233" s="21">
        <v>27381</v>
      </c>
      <c r="BC233" s="21">
        <v>28423</v>
      </c>
      <c r="BD233" s="21">
        <v>27878</v>
      </c>
      <c r="BE233" s="21">
        <v>29531</v>
      </c>
      <c r="BF233" s="21">
        <v>31529</v>
      </c>
      <c r="BG233" s="21">
        <v>32596</v>
      </c>
      <c r="BH233" s="21">
        <v>33013</v>
      </c>
      <c r="BI233" s="21">
        <v>34301</v>
      </c>
      <c r="BJ233" s="21">
        <v>34156</v>
      </c>
      <c r="BK233" s="21">
        <v>31083</v>
      </c>
      <c r="BL233" s="21">
        <v>29445</v>
      </c>
      <c r="BM233" s="21">
        <v>29469</v>
      </c>
    </row>
    <row r="234" spans="1:65" x14ac:dyDescent="0.2">
      <c r="A234" s="21" t="s">
        <v>1413</v>
      </c>
      <c r="B234" s="21" t="s">
        <v>1414</v>
      </c>
      <c r="C234" s="21" t="s">
        <v>711</v>
      </c>
      <c r="D234" s="21">
        <v>0</v>
      </c>
      <c r="E234" s="21">
        <v>0</v>
      </c>
      <c r="F234" s="21">
        <v>0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  <c r="W234" s="21">
        <v>121752</v>
      </c>
      <c r="X234" s="21">
        <v>204211</v>
      </c>
      <c r="Y234" s="21">
        <v>196480</v>
      </c>
      <c r="Z234" s="21">
        <v>168489</v>
      </c>
      <c r="AA234" s="21">
        <v>48068</v>
      </c>
      <c r="AB234" s="21">
        <v>0</v>
      </c>
      <c r="AC234" s="21">
        <v>0</v>
      </c>
      <c r="AD234" s="21">
        <v>0</v>
      </c>
      <c r="AE234" s="21">
        <v>0</v>
      </c>
      <c r="AF234" s="21">
        <v>0</v>
      </c>
      <c r="AG234" s="21">
        <v>0</v>
      </c>
      <c r="AH234" s="21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0</v>
      </c>
      <c r="AN234" s="21">
        <v>0</v>
      </c>
      <c r="AO234" s="21">
        <v>0</v>
      </c>
      <c r="AP234" s="21">
        <v>0</v>
      </c>
      <c r="AQ234" s="21">
        <v>0</v>
      </c>
      <c r="AR234" s="21">
        <v>0</v>
      </c>
      <c r="AS234" s="21">
        <v>0</v>
      </c>
      <c r="AT234" s="21">
        <v>0</v>
      </c>
      <c r="AU234" s="21">
        <v>0</v>
      </c>
      <c r="AV234" s="21">
        <v>0</v>
      </c>
      <c r="AW234" s="21">
        <v>0</v>
      </c>
      <c r="AX234" s="21">
        <v>0</v>
      </c>
      <c r="AY234" s="21">
        <v>0</v>
      </c>
      <c r="AZ234" s="21">
        <v>0</v>
      </c>
      <c r="BA234" s="21">
        <v>0</v>
      </c>
      <c r="BB234" s="21">
        <v>0</v>
      </c>
      <c r="BC234" s="21">
        <v>0</v>
      </c>
      <c r="BD234" s="21">
        <v>0</v>
      </c>
      <c r="BE234" s="21">
        <v>0</v>
      </c>
      <c r="BF234" s="21">
        <v>0</v>
      </c>
      <c r="BG234" s="21">
        <v>0</v>
      </c>
      <c r="BH234" s="21">
        <v>0</v>
      </c>
      <c r="BI234" s="21">
        <v>0</v>
      </c>
      <c r="BJ234" s="21">
        <v>0</v>
      </c>
      <c r="BK234" s="21">
        <v>0</v>
      </c>
      <c r="BL234" s="21">
        <v>0</v>
      </c>
      <c r="BM234" s="21">
        <v>0</v>
      </c>
    </row>
    <row r="235" spans="1:65" x14ac:dyDescent="0.2">
      <c r="A235" s="21" t="s">
        <v>1413</v>
      </c>
      <c r="B235" s="21" t="s">
        <v>1414</v>
      </c>
      <c r="C235" s="21" t="s">
        <v>713</v>
      </c>
      <c r="D235" s="21">
        <v>0</v>
      </c>
      <c r="E235" s="21">
        <v>0</v>
      </c>
      <c r="F235" s="21">
        <v>0</v>
      </c>
      <c r="G235" s="21">
        <v>0</v>
      </c>
      <c r="H235" s="21">
        <v>0</v>
      </c>
      <c r="I235" s="21">
        <v>0</v>
      </c>
      <c r="J235" s="21">
        <v>0</v>
      </c>
      <c r="K235" s="21">
        <v>0</v>
      </c>
      <c r="L235" s="21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1">
        <v>0</v>
      </c>
      <c r="S235" s="21">
        <v>0</v>
      </c>
      <c r="T235" s="21">
        <v>0</v>
      </c>
      <c r="U235" s="21">
        <v>0</v>
      </c>
      <c r="V235" s="21">
        <v>0</v>
      </c>
      <c r="W235" s="21">
        <v>26251</v>
      </c>
      <c r="X235" s="21">
        <v>44030</v>
      </c>
      <c r="Y235" s="21">
        <v>42363</v>
      </c>
      <c r="Z235" s="21">
        <v>36328</v>
      </c>
      <c r="AA235" s="21">
        <v>10364</v>
      </c>
      <c r="AB235" s="21">
        <v>0</v>
      </c>
      <c r="AC235" s="21">
        <v>0</v>
      </c>
      <c r="AD235" s="21">
        <v>0</v>
      </c>
      <c r="AE235" s="21">
        <v>0</v>
      </c>
      <c r="AF235" s="21">
        <v>0</v>
      </c>
      <c r="AG235" s="21">
        <v>0</v>
      </c>
      <c r="AH235" s="21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0</v>
      </c>
      <c r="AN235" s="21">
        <v>0</v>
      </c>
      <c r="AO235" s="21">
        <v>0</v>
      </c>
      <c r="AP235" s="21">
        <v>0</v>
      </c>
      <c r="AQ235" s="21">
        <v>0</v>
      </c>
      <c r="AR235" s="21">
        <v>0</v>
      </c>
      <c r="AS235" s="21">
        <v>0</v>
      </c>
      <c r="AT235" s="21">
        <v>0</v>
      </c>
      <c r="AU235" s="21">
        <v>0</v>
      </c>
      <c r="AV235" s="21">
        <v>0</v>
      </c>
      <c r="AW235" s="21">
        <v>0</v>
      </c>
      <c r="AX235" s="21">
        <v>0</v>
      </c>
      <c r="AY235" s="21">
        <v>0</v>
      </c>
      <c r="AZ235" s="21">
        <v>0</v>
      </c>
      <c r="BA235" s="21">
        <v>0</v>
      </c>
      <c r="BB235" s="21">
        <v>0</v>
      </c>
      <c r="BC235" s="21">
        <v>0</v>
      </c>
      <c r="BD235" s="21">
        <v>0</v>
      </c>
      <c r="BE235" s="21">
        <v>0</v>
      </c>
      <c r="BF235" s="21">
        <v>0</v>
      </c>
      <c r="BG235" s="21">
        <v>0</v>
      </c>
      <c r="BH235" s="21">
        <v>0</v>
      </c>
      <c r="BI235" s="21">
        <v>0</v>
      </c>
      <c r="BJ235" s="21">
        <v>0</v>
      </c>
      <c r="BK235" s="21">
        <v>0</v>
      </c>
      <c r="BL235" s="21">
        <v>0</v>
      </c>
      <c r="BM235" s="21">
        <v>0</v>
      </c>
    </row>
    <row r="236" spans="1:65" x14ac:dyDescent="0.2">
      <c r="A236" s="21" t="s">
        <v>1413</v>
      </c>
      <c r="B236" s="21" t="s">
        <v>1414</v>
      </c>
      <c r="C236" s="21" t="s">
        <v>716</v>
      </c>
      <c r="D236" s="21">
        <v>359223</v>
      </c>
      <c r="E236" s="21">
        <v>390823</v>
      </c>
      <c r="F236" s="21">
        <v>395883</v>
      </c>
      <c r="G236" s="21">
        <v>437996</v>
      </c>
      <c r="H236" s="21">
        <v>451204</v>
      </c>
      <c r="I236" s="21">
        <v>517864</v>
      </c>
      <c r="J236" s="21">
        <v>553293</v>
      </c>
      <c r="K236" s="21">
        <v>593396</v>
      </c>
      <c r="L236" s="21">
        <v>608008</v>
      </c>
      <c r="M236" s="21">
        <v>648592</v>
      </c>
      <c r="N236" s="21">
        <v>740413</v>
      </c>
      <c r="O236" s="21">
        <v>761467</v>
      </c>
      <c r="P236" s="21">
        <v>785598</v>
      </c>
      <c r="Q236" s="21">
        <v>745253</v>
      </c>
      <c r="R236" s="21">
        <v>683746</v>
      </c>
      <c r="S236" s="21">
        <v>594622</v>
      </c>
      <c r="T236" s="21">
        <v>559039</v>
      </c>
      <c r="U236" s="21">
        <v>543994</v>
      </c>
      <c r="V236" s="21">
        <v>541177</v>
      </c>
      <c r="W236" s="21">
        <v>612733</v>
      </c>
      <c r="X236" s="21">
        <v>649919</v>
      </c>
      <c r="Y236" s="21">
        <v>659629</v>
      </c>
      <c r="Z236" s="21">
        <v>613917</v>
      </c>
      <c r="AA236" s="21">
        <v>505197</v>
      </c>
      <c r="AB236" s="21">
        <v>544748</v>
      </c>
      <c r="AC236" s="21">
        <v>520729</v>
      </c>
      <c r="AD236" s="21">
        <v>501058</v>
      </c>
      <c r="AE236" s="21">
        <v>537996</v>
      </c>
      <c r="AF236" s="21">
        <v>633494</v>
      </c>
      <c r="AG236" s="21">
        <v>649648</v>
      </c>
      <c r="AH236" s="21">
        <v>682744</v>
      </c>
      <c r="AI236" s="21">
        <v>621810</v>
      </c>
      <c r="AJ236" s="21">
        <v>610580</v>
      </c>
      <c r="AK236" s="21">
        <v>646010</v>
      </c>
      <c r="AL236" s="21">
        <v>709703</v>
      </c>
      <c r="AM236" s="21">
        <v>727798</v>
      </c>
      <c r="AN236" s="21">
        <v>740468</v>
      </c>
      <c r="AO236" s="21">
        <v>789878</v>
      </c>
      <c r="AP236" s="21">
        <v>666552</v>
      </c>
      <c r="AQ236" s="21">
        <v>675002</v>
      </c>
      <c r="AR236" s="21">
        <v>673616</v>
      </c>
      <c r="AS236" s="21">
        <v>655507</v>
      </c>
      <c r="AT236" s="21">
        <v>698694</v>
      </c>
      <c r="AU236" s="21">
        <v>627336</v>
      </c>
      <c r="AV236" s="21">
        <v>602590</v>
      </c>
      <c r="AW236" s="21">
        <v>624976</v>
      </c>
      <c r="AX236" s="21">
        <v>626779</v>
      </c>
      <c r="AY236" s="21">
        <v>665156</v>
      </c>
      <c r="AZ236" s="21">
        <v>693744</v>
      </c>
      <c r="BA236" s="21">
        <v>716864</v>
      </c>
      <c r="BB236" s="21">
        <v>720931</v>
      </c>
      <c r="BC236" s="21">
        <v>736007</v>
      </c>
      <c r="BD236" s="21">
        <v>781761</v>
      </c>
      <c r="BE236" s="21">
        <v>888140</v>
      </c>
      <c r="BF236" s="21">
        <v>762235</v>
      </c>
      <c r="BG236" s="21">
        <v>747400</v>
      </c>
      <c r="BH236" s="21">
        <v>758188</v>
      </c>
      <c r="BI236" s="21">
        <v>800958</v>
      </c>
      <c r="BJ236" s="21">
        <v>962482</v>
      </c>
      <c r="BK236" s="21">
        <v>1112957</v>
      </c>
      <c r="BL236" s="21">
        <v>1106850</v>
      </c>
      <c r="BM236" s="21">
        <v>1226892</v>
      </c>
    </row>
    <row r="237" spans="1:65" x14ac:dyDescent="0.2">
      <c r="A237" s="21" t="s">
        <v>1413</v>
      </c>
      <c r="B237" s="21" t="s">
        <v>1414</v>
      </c>
      <c r="C237" s="21" t="s">
        <v>720</v>
      </c>
      <c r="D237" s="21">
        <v>347075</v>
      </c>
      <c r="E237" s="21">
        <v>377607</v>
      </c>
      <c r="F237" s="21">
        <v>382496</v>
      </c>
      <c r="G237" s="21">
        <v>423783</v>
      </c>
      <c r="H237" s="21">
        <v>435570</v>
      </c>
      <c r="I237" s="21">
        <v>500524</v>
      </c>
      <c r="J237" s="21">
        <v>535353</v>
      </c>
      <c r="K237" s="21">
        <v>575752</v>
      </c>
      <c r="L237" s="21">
        <v>590965</v>
      </c>
      <c r="M237" s="21">
        <v>630962</v>
      </c>
      <c r="N237" s="21">
        <v>722166</v>
      </c>
      <c r="O237" s="21">
        <v>742592</v>
      </c>
      <c r="P237" s="21">
        <v>766156</v>
      </c>
      <c r="Q237" s="21">
        <v>728177</v>
      </c>
      <c r="R237" s="21">
        <v>668792</v>
      </c>
      <c r="S237" s="21">
        <v>582963</v>
      </c>
      <c r="T237" s="21">
        <v>548323</v>
      </c>
      <c r="U237" s="21">
        <v>532669</v>
      </c>
      <c r="V237" s="21">
        <v>530451</v>
      </c>
      <c r="W237" s="21">
        <v>600964</v>
      </c>
      <c r="X237" s="21">
        <v>634622</v>
      </c>
      <c r="Y237" s="21">
        <v>642326</v>
      </c>
      <c r="Z237" s="21">
        <v>596410</v>
      </c>
      <c r="AA237" s="21">
        <v>490041</v>
      </c>
      <c r="AB237" s="21">
        <v>528753</v>
      </c>
      <c r="AC237" s="21">
        <v>503764</v>
      </c>
      <c r="AD237" s="21">
        <v>485041</v>
      </c>
      <c r="AE237" s="21">
        <v>519172</v>
      </c>
      <c r="AF237" s="21">
        <v>613914</v>
      </c>
      <c r="AG237" s="21">
        <v>629308</v>
      </c>
      <c r="AH237" s="21">
        <v>660084</v>
      </c>
      <c r="AI237" s="21">
        <v>601672</v>
      </c>
      <c r="AJ237" s="21">
        <v>589825</v>
      </c>
      <c r="AK237" s="21">
        <v>627163</v>
      </c>
      <c r="AL237" s="21">
        <v>688569</v>
      </c>
      <c r="AM237" s="21">
        <v>704920</v>
      </c>
      <c r="AN237" s="21">
        <v>717513</v>
      </c>
      <c r="AO237" s="21">
        <v>759798</v>
      </c>
      <c r="AP237" s="21">
        <v>644818</v>
      </c>
      <c r="AQ237" s="21">
        <v>656941</v>
      </c>
      <c r="AR237" s="21">
        <v>654962</v>
      </c>
      <c r="AS237" s="21">
        <v>639501</v>
      </c>
      <c r="AT237" s="21">
        <v>681869</v>
      </c>
      <c r="AU237" s="21">
        <v>609763</v>
      </c>
      <c r="AV237" s="21">
        <v>586701</v>
      </c>
      <c r="AW237" s="21">
        <v>606909</v>
      </c>
      <c r="AX237" s="21">
        <v>607952</v>
      </c>
      <c r="AY237" s="21">
        <v>646020</v>
      </c>
      <c r="AZ237" s="21">
        <v>673934</v>
      </c>
      <c r="BA237" s="21">
        <v>697435</v>
      </c>
      <c r="BB237" s="21">
        <v>702787</v>
      </c>
      <c r="BC237" s="21">
        <v>717761</v>
      </c>
      <c r="BD237" s="21">
        <v>760758</v>
      </c>
      <c r="BE237" s="21">
        <v>863107</v>
      </c>
      <c r="BF237" s="21">
        <v>735431</v>
      </c>
      <c r="BG237" s="21">
        <v>717573</v>
      </c>
      <c r="BH237" s="21">
        <v>728758</v>
      </c>
      <c r="BI237" s="21">
        <v>770255</v>
      </c>
      <c r="BJ237" s="21">
        <v>926981</v>
      </c>
      <c r="BK237" s="21">
        <v>1071257</v>
      </c>
      <c r="BL237" s="21">
        <v>1067042</v>
      </c>
      <c r="BM237" s="21">
        <v>1184044</v>
      </c>
    </row>
    <row r="238" spans="1:65" x14ac:dyDescent="0.2">
      <c r="A238" s="21" t="s">
        <v>1413</v>
      </c>
      <c r="B238" s="21" t="s">
        <v>1414</v>
      </c>
      <c r="C238" s="21" t="s">
        <v>727</v>
      </c>
      <c r="D238" s="21">
        <v>1055930</v>
      </c>
      <c r="E238" s="21">
        <v>1114539</v>
      </c>
      <c r="F238" s="21">
        <v>1248901</v>
      </c>
      <c r="G238" s="21">
        <v>1301641</v>
      </c>
      <c r="H238" s="21">
        <v>1412030</v>
      </c>
      <c r="I238" s="21">
        <v>1483348</v>
      </c>
      <c r="J238" s="21">
        <v>1668682</v>
      </c>
      <c r="K238" s="21">
        <v>2014729</v>
      </c>
      <c r="L238" s="21">
        <v>2134287</v>
      </c>
      <c r="M238" s="21">
        <v>2315795</v>
      </c>
      <c r="N238" s="21">
        <v>2454632</v>
      </c>
      <c r="O238" s="21">
        <v>2568948</v>
      </c>
      <c r="P238" s="21">
        <v>2674113</v>
      </c>
      <c r="Q238" s="21">
        <v>2659984</v>
      </c>
      <c r="R238" s="21">
        <v>2614155</v>
      </c>
      <c r="S238" s="21">
        <v>2556170</v>
      </c>
      <c r="T238" s="21">
        <v>2716794</v>
      </c>
      <c r="U238" s="21">
        <v>2546850</v>
      </c>
      <c r="V238" s="21">
        <v>2642124</v>
      </c>
      <c r="W238" s="21">
        <v>2834037</v>
      </c>
      <c r="X238" s="21">
        <v>2665735</v>
      </c>
      <c r="Y238" s="21">
        <v>2577502</v>
      </c>
      <c r="Z238" s="21">
        <v>2670767</v>
      </c>
      <c r="AA238" s="21">
        <v>2504620</v>
      </c>
      <c r="AB238" s="21">
        <v>2593947</v>
      </c>
      <c r="AC238" s="21">
        <v>2503330</v>
      </c>
      <c r="AD238" s="21">
        <v>2382601</v>
      </c>
      <c r="AE238" s="21">
        <v>2499090</v>
      </c>
      <c r="AF238" s="21">
        <v>2743691</v>
      </c>
      <c r="AG238" s="21">
        <v>2799728</v>
      </c>
      <c r="AH238" s="21">
        <v>2697844</v>
      </c>
      <c r="AI238" s="21">
        <v>2806642</v>
      </c>
      <c r="AJ238" s="21">
        <v>2882823</v>
      </c>
      <c r="AK238" s="21">
        <v>2944305</v>
      </c>
      <c r="AL238" s="21">
        <v>2978127</v>
      </c>
      <c r="AM238" s="21">
        <v>3116504</v>
      </c>
      <c r="AN238" s="21">
        <v>3250942</v>
      </c>
      <c r="AO238" s="21">
        <v>3306403</v>
      </c>
      <c r="AP238" s="21">
        <v>3098129</v>
      </c>
      <c r="AQ238" s="21">
        <v>3131943</v>
      </c>
      <c r="AR238" s="21">
        <v>3261417</v>
      </c>
      <c r="AS238" s="21">
        <v>3108603</v>
      </c>
      <c r="AT238" s="21">
        <v>3222670</v>
      </c>
      <c r="AU238" s="21">
        <v>3271427</v>
      </c>
      <c r="AV238" s="21">
        <v>3211021</v>
      </c>
      <c r="AW238" s="21">
        <v>3083117</v>
      </c>
      <c r="AX238" s="21">
        <v>2908370</v>
      </c>
      <c r="AY238" s="21">
        <v>3095322</v>
      </c>
      <c r="AZ238" s="21">
        <v>3234984</v>
      </c>
      <c r="BA238" s="21">
        <v>3198538</v>
      </c>
      <c r="BB238" s="21">
        <v>3172591</v>
      </c>
      <c r="BC238" s="21">
        <v>3226216</v>
      </c>
      <c r="BD238" s="21">
        <v>2968399</v>
      </c>
      <c r="BE238" s="21">
        <v>3390846</v>
      </c>
      <c r="BF238" s="21">
        <v>3583689</v>
      </c>
      <c r="BG238" s="21">
        <v>3326693</v>
      </c>
      <c r="BH238" s="21">
        <v>3234870</v>
      </c>
      <c r="BI238" s="21">
        <v>3291082</v>
      </c>
      <c r="BJ238" s="21">
        <v>3654961</v>
      </c>
      <c r="BK238" s="21">
        <v>3660939</v>
      </c>
      <c r="BL238" s="21">
        <v>3303358</v>
      </c>
      <c r="BM238" s="21">
        <v>3434316</v>
      </c>
    </row>
    <row r="239" spans="1:65" x14ac:dyDescent="0.2">
      <c r="A239" s="21" t="s">
        <v>1413</v>
      </c>
      <c r="B239" s="21" t="s">
        <v>1414</v>
      </c>
      <c r="C239" s="21" t="s">
        <v>731</v>
      </c>
      <c r="D239" s="21">
        <v>1020222</v>
      </c>
      <c r="E239" s="21">
        <v>1076849</v>
      </c>
      <c r="F239" s="21">
        <v>1206668</v>
      </c>
      <c r="G239" s="21">
        <v>1267783</v>
      </c>
      <c r="H239" s="21">
        <v>1374717</v>
      </c>
      <c r="I239" s="21">
        <v>1443648</v>
      </c>
      <c r="J239" s="21">
        <v>1622740</v>
      </c>
      <c r="K239" s="21">
        <v>1958970</v>
      </c>
      <c r="L239" s="21">
        <v>2075736</v>
      </c>
      <c r="M239" s="21">
        <v>2253206</v>
      </c>
      <c r="N239" s="21">
        <v>2398510</v>
      </c>
      <c r="O239" s="21">
        <v>2508977</v>
      </c>
      <c r="P239" s="21">
        <v>2607982</v>
      </c>
      <c r="Q239" s="21">
        <v>2597037</v>
      </c>
      <c r="R239" s="21">
        <v>2555617</v>
      </c>
      <c r="S239" s="21">
        <v>2508293</v>
      </c>
      <c r="T239" s="21">
        <v>2667740</v>
      </c>
      <c r="U239" s="21">
        <v>2500793</v>
      </c>
      <c r="V239" s="21">
        <v>2601106</v>
      </c>
      <c r="W239" s="21">
        <v>2785961</v>
      </c>
      <c r="X239" s="21">
        <v>2610893</v>
      </c>
      <c r="Y239" s="21">
        <v>2519789</v>
      </c>
      <c r="Z239" s="21">
        <v>2605520</v>
      </c>
      <c r="AA239" s="21">
        <v>2432546</v>
      </c>
      <c r="AB239" s="21">
        <v>2524246</v>
      </c>
      <c r="AC239" s="21">
        <v>2432382</v>
      </c>
      <c r="AD239" s="21">
        <v>2318333</v>
      </c>
      <c r="AE239" s="21">
        <v>2430065</v>
      </c>
      <c r="AF239" s="21">
        <v>2670468</v>
      </c>
      <c r="AG239" s="21">
        <v>2717722</v>
      </c>
      <c r="AH239" s="21">
        <v>2622721</v>
      </c>
      <c r="AI239" s="21">
        <v>2728581</v>
      </c>
      <c r="AJ239" s="21">
        <v>2802751</v>
      </c>
      <c r="AK239" s="21">
        <v>2861569</v>
      </c>
      <c r="AL239" s="21">
        <v>2895013</v>
      </c>
      <c r="AM239" s="21">
        <v>3031077</v>
      </c>
      <c r="AN239" s="21">
        <v>3158244</v>
      </c>
      <c r="AO239" s="21">
        <v>3214912</v>
      </c>
      <c r="AP239" s="21">
        <v>2999491</v>
      </c>
      <c r="AQ239" s="21">
        <v>3044658</v>
      </c>
      <c r="AR239" s="21">
        <v>3182469</v>
      </c>
      <c r="AS239" s="21">
        <v>3022712</v>
      </c>
      <c r="AT239" s="21">
        <v>3144170</v>
      </c>
      <c r="AU239" s="21">
        <v>3179493</v>
      </c>
      <c r="AV239" s="21">
        <v>3128972</v>
      </c>
      <c r="AW239" s="21">
        <v>2998920</v>
      </c>
      <c r="AX239" s="21">
        <v>2832030</v>
      </c>
      <c r="AY239" s="21">
        <v>3012904</v>
      </c>
      <c r="AZ239" s="21">
        <v>3152530</v>
      </c>
      <c r="BA239" s="21">
        <v>3118593</v>
      </c>
      <c r="BB239" s="21">
        <v>3102595</v>
      </c>
      <c r="BC239" s="21">
        <v>3155321</v>
      </c>
      <c r="BD239" s="21">
        <v>2894923</v>
      </c>
      <c r="BE239" s="21">
        <v>3295298</v>
      </c>
      <c r="BF239" s="21">
        <v>3466307</v>
      </c>
      <c r="BG239" s="21">
        <v>3201734</v>
      </c>
      <c r="BH239" s="21">
        <v>3109587</v>
      </c>
      <c r="BI239" s="21">
        <v>3164617</v>
      </c>
      <c r="BJ239" s="21">
        <v>3513954</v>
      </c>
      <c r="BK239" s="21">
        <v>3514568</v>
      </c>
      <c r="BL239" s="21">
        <v>3169956</v>
      </c>
      <c r="BM239" s="21">
        <v>3298221</v>
      </c>
    </row>
    <row r="240" spans="1:65" x14ac:dyDescent="0.2">
      <c r="A240" s="21" t="s">
        <v>1413</v>
      </c>
      <c r="B240" s="21" t="s">
        <v>1414</v>
      </c>
      <c r="C240" s="21" t="s">
        <v>734</v>
      </c>
      <c r="D240" s="21">
        <v>1785129</v>
      </c>
      <c r="E240" s="21">
        <v>1888996</v>
      </c>
      <c r="F240" s="21">
        <v>2034783</v>
      </c>
      <c r="G240" s="21">
        <v>2219740</v>
      </c>
      <c r="H240" s="21">
        <v>2409105</v>
      </c>
      <c r="I240" s="21">
        <v>2408483</v>
      </c>
      <c r="J240" s="21">
        <v>2713021</v>
      </c>
      <c r="K240" s="21">
        <v>2852698</v>
      </c>
      <c r="L240" s="21">
        <v>3263255</v>
      </c>
      <c r="M240" s="21">
        <v>3608770</v>
      </c>
      <c r="N240" s="21">
        <v>4047608</v>
      </c>
      <c r="O240" s="21">
        <v>4091837</v>
      </c>
      <c r="P240" s="21">
        <v>4084865</v>
      </c>
      <c r="Q240" s="21">
        <v>3737666</v>
      </c>
      <c r="R240" s="21">
        <v>3511446</v>
      </c>
      <c r="S240" s="21">
        <v>3231601</v>
      </c>
      <c r="T240" s="21">
        <v>3153102</v>
      </c>
      <c r="U240" s="21">
        <v>3281850</v>
      </c>
      <c r="V240" s="21">
        <v>3293224</v>
      </c>
      <c r="W240" s="21">
        <v>3604419</v>
      </c>
      <c r="X240" s="21">
        <v>3803559</v>
      </c>
      <c r="Y240" s="21">
        <v>3758745</v>
      </c>
      <c r="Z240" s="21">
        <v>3335052</v>
      </c>
      <c r="AA240" s="21">
        <v>2992082</v>
      </c>
      <c r="AB240" s="21">
        <v>3215002</v>
      </c>
      <c r="AC240" s="21">
        <v>3156898</v>
      </c>
      <c r="AD240" s="21">
        <v>2688540</v>
      </c>
      <c r="AE240" s="21">
        <v>2933713</v>
      </c>
      <c r="AF240" s="21">
        <v>2707892</v>
      </c>
      <c r="AG240" s="21">
        <v>3190947</v>
      </c>
      <c r="AH240" s="21">
        <v>3333026</v>
      </c>
      <c r="AI240" s="21">
        <v>3399114</v>
      </c>
      <c r="AJ240" s="21">
        <v>3534751</v>
      </c>
      <c r="AK240" s="21">
        <v>3559399</v>
      </c>
      <c r="AL240" s="21">
        <v>3999649</v>
      </c>
      <c r="AM240" s="21">
        <v>4326582</v>
      </c>
      <c r="AN240" s="21">
        <v>3881836</v>
      </c>
      <c r="AO240" s="21">
        <v>4146566</v>
      </c>
      <c r="AP240" s="21">
        <v>4697507</v>
      </c>
      <c r="AQ240" s="21">
        <v>4923553</v>
      </c>
      <c r="AR240" s="21">
        <v>5317691</v>
      </c>
      <c r="AS240" s="21">
        <v>5495837</v>
      </c>
      <c r="AT240" s="21">
        <v>5789323</v>
      </c>
      <c r="AU240" s="21">
        <v>5259181</v>
      </c>
      <c r="AV240" s="21">
        <v>5608613</v>
      </c>
      <c r="AW240" s="21">
        <v>6035810</v>
      </c>
      <c r="AX240" s="21">
        <v>6393820</v>
      </c>
      <c r="AY240" s="21">
        <v>7028340</v>
      </c>
      <c r="AZ240" s="21">
        <v>6849356</v>
      </c>
      <c r="BA240" s="21">
        <v>7043916</v>
      </c>
      <c r="BB240" s="21">
        <v>7550276</v>
      </c>
      <c r="BC240" s="21">
        <v>7733627</v>
      </c>
      <c r="BD240" s="21">
        <v>9312820</v>
      </c>
      <c r="BE240" s="21">
        <v>8397689</v>
      </c>
      <c r="BF240" s="21">
        <v>8384516</v>
      </c>
      <c r="BG240" s="21">
        <v>9945330</v>
      </c>
      <c r="BH240" s="21">
        <v>10325030</v>
      </c>
      <c r="BI240" s="21">
        <v>9578309</v>
      </c>
      <c r="BJ240" s="21">
        <v>10951810</v>
      </c>
      <c r="BK240" s="21">
        <v>11687077</v>
      </c>
      <c r="BL240" s="21">
        <v>12023067</v>
      </c>
      <c r="BM240" s="21">
        <v>11613653</v>
      </c>
    </row>
    <row r="241" spans="1:65" x14ac:dyDescent="0.2">
      <c r="A241" s="21" t="s">
        <v>1413</v>
      </c>
      <c r="B241" s="21" t="s">
        <v>1414</v>
      </c>
      <c r="C241" s="21" t="s">
        <v>738</v>
      </c>
      <c r="D241" s="21">
        <v>1.0349999999999999</v>
      </c>
      <c r="E241" s="21">
        <v>1.0349999999999999</v>
      </c>
      <c r="F241" s="21">
        <v>1.0349999999999999</v>
      </c>
      <c r="G241" s="21">
        <v>1.0349999999999999</v>
      </c>
      <c r="H241" s="21">
        <v>1.0369999999999999</v>
      </c>
      <c r="I241" s="21">
        <v>1.038</v>
      </c>
      <c r="J241" s="21">
        <v>1.0389999999999999</v>
      </c>
      <c r="K241" s="21">
        <v>1.0389999999999999</v>
      </c>
      <c r="L241" s="21">
        <v>1.0369999999999999</v>
      </c>
      <c r="M241" s="21">
        <v>1.0349999999999999</v>
      </c>
      <c r="N241" s="21">
        <v>1.0289999999999999</v>
      </c>
      <c r="O241" s="21">
        <v>1.0289999999999999</v>
      </c>
      <c r="P241" s="21">
        <v>1.0269999999999999</v>
      </c>
      <c r="Q241" s="21">
        <v>1.0209999999999999</v>
      </c>
      <c r="R241" s="21">
        <v>1.02</v>
      </c>
      <c r="S241" s="21">
        <v>1.0229999999999999</v>
      </c>
      <c r="T241" s="21">
        <v>1.0229999999999999</v>
      </c>
      <c r="U241" s="21">
        <v>1.028</v>
      </c>
      <c r="V241" s="21">
        <v>1.0329999999999999</v>
      </c>
      <c r="W241" s="21">
        <v>1.0329999999999999</v>
      </c>
      <c r="X241" s="21">
        <v>1.0329999999999999</v>
      </c>
      <c r="Y241" s="21">
        <v>1.0329999999999999</v>
      </c>
      <c r="Z241" s="21">
        <v>1.034</v>
      </c>
      <c r="AA241" s="21">
        <v>1.028</v>
      </c>
      <c r="AB241" s="21">
        <v>1.0329999999999999</v>
      </c>
      <c r="AC241" s="21">
        <v>1.0369999999999999</v>
      </c>
      <c r="AD241" s="21">
        <v>1.0329999999999999</v>
      </c>
      <c r="AE241" s="21">
        <v>1.032</v>
      </c>
      <c r="AF241" s="21">
        <v>1.0269999999999999</v>
      </c>
      <c r="AG241" s="21">
        <v>1.028</v>
      </c>
      <c r="AH241" s="21">
        <v>1.0269999999999999</v>
      </c>
      <c r="AI241" s="21">
        <v>1.0249999999999999</v>
      </c>
      <c r="AJ241" s="21">
        <v>1.0249999999999999</v>
      </c>
      <c r="AK241" s="21">
        <v>1.0249999999999999</v>
      </c>
      <c r="AL241" s="21">
        <v>1.0249999999999999</v>
      </c>
      <c r="AM241" s="21">
        <v>1.0209999999999999</v>
      </c>
      <c r="AN241" s="21">
        <v>1.02</v>
      </c>
      <c r="AO241" s="21">
        <v>1.02</v>
      </c>
      <c r="AP241" s="21">
        <v>1.024</v>
      </c>
      <c r="AQ241" s="21">
        <v>1.022</v>
      </c>
      <c r="AR241" s="21">
        <v>1.0209999999999999</v>
      </c>
      <c r="AS241" s="21">
        <v>1.0289999999999999</v>
      </c>
      <c r="AT241" s="21">
        <v>1.0209999999999999</v>
      </c>
      <c r="AU241" s="21">
        <v>1.024</v>
      </c>
      <c r="AV241" s="21">
        <v>1.0269999999999999</v>
      </c>
      <c r="AW241" s="21">
        <v>1.028</v>
      </c>
      <c r="AX241" s="21">
        <v>1.028</v>
      </c>
      <c r="AY241" s="21">
        <v>1.0269999999999999</v>
      </c>
      <c r="AZ241" s="21">
        <v>1.0269999999999999</v>
      </c>
      <c r="BA241" s="21">
        <v>1.0249999999999999</v>
      </c>
      <c r="BB241" s="21">
        <v>1.022</v>
      </c>
      <c r="BC241" s="21">
        <v>1.0209999999999999</v>
      </c>
      <c r="BD241" s="21">
        <v>1.022</v>
      </c>
      <c r="BE241" s="21">
        <v>1.0249999999999999</v>
      </c>
      <c r="BF241" s="21">
        <v>1.0289999999999999</v>
      </c>
      <c r="BG241" s="21">
        <v>1.0349999999999999</v>
      </c>
      <c r="BH241" s="21">
        <v>1.034</v>
      </c>
      <c r="BI241" s="21">
        <v>1.034</v>
      </c>
      <c r="BJ241" s="21">
        <v>1.0329999999999999</v>
      </c>
      <c r="BK241" s="21">
        <v>1.034</v>
      </c>
      <c r="BL241" s="21">
        <v>1.034</v>
      </c>
      <c r="BM241" s="21">
        <v>1.034</v>
      </c>
    </row>
    <row r="242" spans="1:65" x14ac:dyDescent="0.2">
      <c r="A242" s="21" t="s">
        <v>1413</v>
      </c>
      <c r="B242" s="21" t="s">
        <v>1414</v>
      </c>
      <c r="C242" s="21" t="s">
        <v>741</v>
      </c>
      <c r="D242" s="21">
        <v>1724762</v>
      </c>
      <c r="E242" s="21">
        <v>1825117</v>
      </c>
      <c r="F242" s="21">
        <v>1965974</v>
      </c>
      <c r="G242" s="21">
        <v>2144473</v>
      </c>
      <c r="H242" s="21">
        <v>2322896</v>
      </c>
      <c r="I242" s="21">
        <v>2321101</v>
      </c>
      <c r="J242" s="21">
        <v>2609949</v>
      </c>
      <c r="K242" s="21">
        <v>2746352</v>
      </c>
      <c r="L242" s="21">
        <v>3147909</v>
      </c>
      <c r="M242" s="21">
        <v>3487642</v>
      </c>
      <c r="N242" s="21">
        <v>3931860</v>
      </c>
      <c r="O242" s="21">
        <v>3976018</v>
      </c>
      <c r="P242" s="21">
        <v>3976914</v>
      </c>
      <c r="Q242" s="21">
        <v>3660172</v>
      </c>
      <c r="R242" s="21">
        <v>3443428</v>
      </c>
      <c r="S242" s="21">
        <v>3157669</v>
      </c>
      <c r="T242" s="21">
        <v>3080868</v>
      </c>
      <c r="U242" s="21">
        <v>3191200</v>
      </c>
      <c r="V242" s="21">
        <v>3188363</v>
      </c>
      <c r="W242" s="21">
        <v>3490523</v>
      </c>
      <c r="X242" s="21">
        <v>3681595</v>
      </c>
      <c r="Y242" s="21">
        <v>3640154</v>
      </c>
      <c r="Z242" s="21">
        <v>3225518</v>
      </c>
      <c r="AA242" s="21">
        <v>2910767</v>
      </c>
      <c r="AB242" s="21">
        <v>3111342</v>
      </c>
      <c r="AC242" s="21">
        <v>3044083</v>
      </c>
      <c r="AD242" s="21">
        <v>2602370</v>
      </c>
      <c r="AE242" s="21">
        <v>2844051</v>
      </c>
      <c r="AF242" s="21">
        <v>2635613</v>
      </c>
      <c r="AG242" s="21">
        <v>3105183</v>
      </c>
      <c r="AH242" s="21">
        <v>3244619</v>
      </c>
      <c r="AI242" s="21">
        <v>3315925</v>
      </c>
      <c r="AJ242" s="21">
        <v>3447871</v>
      </c>
      <c r="AK242" s="21">
        <v>3472982</v>
      </c>
      <c r="AL242" s="21">
        <v>3902546</v>
      </c>
      <c r="AM242" s="21">
        <v>4236526</v>
      </c>
      <c r="AN242" s="21">
        <v>3806901</v>
      </c>
      <c r="AO242" s="21">
        <v>4064803</v>
      </c>
      <c r="AP242" s="21">
        <v>4588284</v>
      </c>
      <c r="AQ242" s="21">
        <v>4819531</v>
      </c>
      <c r="AR242" s="21">
        <v>5206324</v>
      </c>
      <c r="AS242" s="21">
        <v>5342301</v>
      </c>
      <c r="AT242" s="21">
        <v>5671897</v>
      </c>
      <c r="AU242" s="21">
        <v>5135215</v>
      </c>
      <c r="AV242" s="21">
        <v>5463763</v>
      </c>
      <c r="AW242" s="21">
        <v>5869145</v>
      </c>
      <c r="AX242" s="21">
        <v>6222100</v>
      </c>
      <c r="AY242" s="21">
        <v>6841408</v>
      </c>
      <c r="AZ242" s="21">
        <v>6668379</v>
      </c>
      <c r="BA242" s="21">
        <v>6872533</v>
      </c>
      <c r="BB242" s="21">
        <v>7387184</v>
      </c>
      <c r="BC242" s="21">
        <v>7573863</v>
      </c>
      <c r="BD242" s="21">
        <v>9110793</v>
      </c>
      <c r="BE242" s="21">
        <v>8190756</v>
      </c>
      <c r="BF242" s="21">
        <v>8145982</v>
      </c>
      <c r="BG242" s="21">
        <v>9613370</v>
      </c>
      <c r="BH242" s="21">
        <v>9985270</v>
      </c>
      <c r="BI242" s="21">
        <v>9265565</v>
      </c>
      <c r="BJ242" s="21">
        <v>10599311</v>
      </c>
      <c r="BK242" s="21">
        <v>11299353</v>
      </c>
      <c r="BL242" s="21">
        <v>11631723</v>
      </c>
      <c r="BM242" s="21">
        <v>11230285</v>
      </c>
    </row>
    <row r="243" spans="1:65" x14ac:dyDescent="0.2">
      <c r="A243" s="21" t="s">
        <v>1413</v>
      </c>
      <c r="B243" s="21" t="s">
        <v>1414</v>
      </c>
      <c r="C243" s="21" t="s">
        <v>744</v>
      </c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>
        <v>397184</v>
      </c>
      <c r="BA243" s="21">
        <v>400930</v>
      </c>
      <c r="BB243" s="21">
        <v>405112</v>
      </c>
      <c r="BC243" s="21">
        <v>415191</v>
      </c>
      <c r="BD243" s="21">
        <v>422364</v>
      </c>
      <c r="BE243" s="21">
        <v>425390</v>
      </c>
      <c r="BF243" s="21">
        <v>432150</v>
      </c>
      <c r="BG243" s="21">
        <v>439425</v>
      </c>
      <c r="BH243" s="21">
        <v>446823</v>
      </c>
      <c r="BI243" s="21">
        <v>456012</v>
      </c>
      <c r="BJ243" s="21">
        <v>470237</v>
      </c>
      <c r="BK243" s="21">
        <v>476567</v>
      </c>
      <c r="BL243" s="21">
        <v>485807</v>
      </c>
      <c r="BM243" s="21">
        <v>491870</v>
      </c>
    </row>
    <row r="244" spans="1:65" x14ac:dyDescent="0.2">
      <c r="A244" s="21" t="s">
        <v>1413</v>
      </c>
      <c r="B244" s="21" t="s">
        <v>1414</v>
      </c>
      <c r="C244" s="21" t="s">
        <v>746</v>
      </c>
      <c r="D244" s="21">
        <v>5973306</v>
      </c>
      <c r="E244" s="21">
        <v>6169756</v>
      </c>
      <c r="F244" s="21">
        <v>6450961</v>
      </c>
      <c r="G244" s="21">
        <v>6764432</v>
      </c>
      <c r="H244" s="21">
        <v>7125741</v>
      </c>
      <c r="I244" s="21">
        <v>7350474</v>
      </c>
      <c r="J244" s="21">
        <v>7810305</v>
      </c>
      <c r="K244" s="21">
        <v>8064397</v>
      </c>
      <c r="L244" s="21">
        <v>8620636</v>
      </c>
      <c r="M244" s="21">
        <v>9220455</v>
      </c>
      <c r="N244" s="21">
        <v>9497502</v>
      </c>
      <c r="O244" s="21">
        <v>9850615</v>
      </c>
      <c r="P244" s="21">
        <v>9880994</v>
      </c>
      <c r="Q244" s="21">
        <v>10451933</v>
      </c>
      <c r="R244" s="21">
        <v>10022153</v>
      </c>
      <c r="S244" s="21">
        <v>8570552</v>
      </c>
      <c r="T244" s="21">
        <v>8803620</v>
      </c>
      <c r="U244" s="21">
        <v>8685412</v>
      </c>
      <c r="V244" s="21">
        <v>8604207</v>
      </c>
      <c r="W244" s="21">
        <v>8583996</v>
      </c>
      <c r="X244" s="21">
        <v>8409354</v>
      </c>
      <c r="Y244" s="21">
        <v>8280474</v>
      </c>
      <c r="Z244" s="21">
        <v>7144768</v>
      </c>
      <c r="AA244" s="21">
        <v>6831316</v>
      </c>
      <c r="AB244" s="21">
        <v>7464160</v>
      </c>
      <c r="AC244" s="21">
        <v>7096016</v>
      </c>
      <c r="AD244" s="21">
        <v>6713896</v>
      </c>
      <c r="AE244" s="21">
        <v>7343160</v>
      </c>
      <c r="AF244" s="21">
        <v>7720352</v>
      </c>
      <c r="AG244" s="21">
        <v>8149145</v>
      </c>
      <c r="AH244" s="21">
        <v>8519824</v>
      </c>
      <c r="AI244" s="21">
        <v>8636508</v>
      </c>
      <c r="AJ244" s="21">
        <v>8995755</v>
      </c>
      <c r="AK244" s="21">
        <v>9128906</v>
      </c>
      <c r="AL244" s="21">
        <v>9201580</v>
      </c>
      <c r="AM244" s="21">
        <v>9678199</v>
      </c>
      <c r="AN244" s="21">
        <v>9998661</v>
      </c>
      <c r="AO244" s="21">
        <v>10109346</v>
      </c>
      <c r="AP244" s="21">
        <v>9882390</v>
      </c>
      <c r="AQ244" s="21">
        <v>9438378</v>
      </c>
      <c r="AR244" s="21">
        <v>9550469</v>
      </c>
      <c r="AS244" s="21">
        <v>8673660</v>
      </c>
      <c r="AT244" s="21">
        <v>8865392</v>
      </c>
      <c r="AU244" s="21">
        <v>8509697</v>
      </c>
      <c r="AV244" s="21">
        <v>8573117</v>
      </c>
      <c r="AW244" s="21">
        <v>7930246</v>
      </c>
      <c r="AX244" s="21">
        <v>7881031</v>
      </c>
      <c r="AY244" s="21">
        <v>8097608</v>
      </c>
      <c r="AZ244" s="21">
        <v>8102510</v>
      </c>
      <c r="BA244" s="21">
        <v>7628593</v>
      </c>
      <c r="BB244" s="21">
        <v>8302317</v>
      </c>
      <c r="BC244" s="21">
        <v>8501768</v>
      </c>
      <c r="BD244" s="21">
        <v>8822589</v>
      </c>
      <c r="BE244" s="21">
        <v>9131234</v>
      </c>
      <c r="BF244" s="21">
        <v>9450313</v>
      </c>
      <c r="BG244" s="21">
        <v>9427122</v>
      </c>
      <c r="BH244" s="21">
        <v>9609504</v>
      </c>
      <c r="BI244" s="21">
        <v>9862549</v>
      </c>
      <c r="BJ244" s="21">
        <v>10465235</v>
      </c>
      <c r="BK244" s="21">
        <v>10607009</v>
      </c>
      <c r="BL244" s="21">
        <v>10319744</v>
      </c>
      <c r="BM244" s="21">
        <v>10536449</v>
      </c>
    </row>
    <row r="245" spans="1:65" x14ac:dyDescent="0.2">
      <c r="A245" s="21" t="s">
        <v>1413</v>
      </c>
      <c r="B245" s="21" t="s">
        <v>1414</v>
      </c>
      <c r="C245" s="21" t="s">
        <v>750</v>
      </c>
      <c r="D245" s="21">
        <v>5771311</v>
      </c>
      <c r="E245" s="21">
        <v>5961117</v>
      </c>
      <c r="F245" s="21">
        <v>6232812</v>
      </c>
      <c r="G245" s="21">
        <v>6545169</v>
      </c>
      <c r="H245" s="21">
        <v>6893333</v>
      </c>
      <c r="I245" s="21">
        <v>7111641</v>
      </c>
      <c r="J245" s="21">
        <v>7546102</v>
      </c>
      <c r="K245" s="21">
        <v>7793982</v>
      </c>
      <c r="L245" s="21">
        <v>8367096</v>
      </c>
      <c r="M245" s="21">
        <v>8956149</v>
      </c>
      <c r="N245" s="21">
        <v>9249415</v>
      </c>
      <c r="O245" s="21">
        <v>9594174</v>
      </c>
      <c r="P245" s="21">
        <v>9624417</v>
      </c>
      <c r="Q245" s="21">
        <v>10184589</v>
      </c>
      <c r="R245" s="21">
        <v>9769167</v>
      </c>
      <c r="S245" s="21">
        <v>8364545</v>
      </c>
      <c r="T245" s="21">
        <v>8598204</v>
      </c>
      <c r="U245" s="21">
        <v>8474432</v>
      </c>
      <c r="V245" s="21">
        <v>8404552</v>
      </c>
      <c r="W245" s="21">
        <v>8397947</v>
      </c>
      <c r="X245" s="21">
        <v>8198101</v>
      </c>
      <c r="Y245" s="21">
        <v>8055138</v>
      </c>
      <c r="Z245" s="21">
        <v>6940565</v>
      </c>
      <c r="AA245" s="21">
        <v>6620957</v>
      </c>
      <c r="AB245" s="21">
        <v>7230722</v>
      </c>
      <c r="AC245" s="21">
        <v>6867337</v>
      </c>
      <c r="AD245" s="21">
        <v>6501580</v>
      </c>
      <c r="AE245" s="21">
        <v>7102691</v>
      </c>
      <c r="AF245" s="21">
        <v>7479263</v>
      </c>
      <c r="AG245" s="21">
        <v>7886148</v>
      </c>
      <c r="AH245" s="21">
        <v>8254803</v>
      </c>
      <c r="AI245" s="21">
        <v>8360230</v>
      </c>
      <c r="AJ245" s="21">
        <v>8697719</v>
      </c>
      <c r="AK245" s="21">
        <v>8871678</v>
      </c>
      <c r="AL245" s="21">
        <v>8913268</v>
      </c>
      <c r="AM245" s="21">
        <v>9384060</v>
      </c>
      <c r="AN245" s="21">
        <v>9685008</v>
      </c>
      <c r="AO245" s="21">
        <v>9714058</v>
      </c>
      <c r="AP245" s="21">
        <v>9493087</v>
      </c>
      <c r="AQ245" s="21">
        <v>9158349</v>
      </c>
      <c r="AR245" s="21">
        <v>9293187</v>
      </c>
      <c r="AS245" s="21">
        <v>8462771</v>
      </c>
      <c r="AT245" s="21">
        <v>8640266</v>
      </c>
      <c r="AU245" s="21">
        <v>8272679</v>
      </c>
      <c r="AV245" s="21">
        <v>8354312</v>
      </c>
      <c r="AW245" s="21">
        <v>7712685</v>
      </c>
      <c r="AX245" s="21">
        <v>7668522</v>
      </c>
      <c r="AY245" s="21">
        <v>7881102</v>
      </c>
      <c r="AZ245" s="21">
        <v>7889884</v>
      </c>
      <c r="BA245" s="21">
        <v>7442607</v>
      </c>
      <c r="BB245" s="21">
        <v>8111821</v>
      </c>
      <c r="BC245" s="21">
        <v>8316710</v>
      </c>
      <c r="BD245" s="21">
        <v>8622488</v>
      </c>
      <c r="BE245" s="21">
        <v>8908540</v>
      </c>
      <c r="BF245" s="21">
        <v>9158184</v>
      </c>
      <c r="BG245" s="21">
        <v>9098293</v>
      </c>
      <c r="BH245" s="21">
        <v>9274016</v>
      </c>
      <c r="BI245" s="21">
        <v>9525948</v>
      </c>
      <c r="BJ245" s="21">
        <v>10111536</v>
      </c>
      <c r="BK245" s="21">
        <v>10239601</v>
      </c>
      <c r="BL245" s="21">
        <v>9970271</v>
      </c>
      <c r="BM245" s="21">
        <v>10186640</v>
      </c>
    </row>
    <row r="246" spans="1:65" x14ac:dyDescent="0.2">
      <c r="A246" s="21" t="s">
        <v>1413</v>
      </c>
      <c r="B246" s="21" t="s">
        <v>1414</v>
      </c>
      <c r="C246" s="21" t="s">
        <v>765</v>
      </c>
      <c r="D246" s="21">
        <v>3211778</v>
      </c>
      <c r="E246" s="21">
        <v>3362278</v>
      </c>
      <c r="F246" s="21">
        <v>3600313</v>
      </c>
      <c r="G246" s="21">
        <v>3695298</v>
      </c>
      <c r="H246" s="21">
        <v>3899561</v>
      </c>
      <c r="I246" s="21">
        <v>4019289</v>
      </c>
      <c r="J246" s="21">
        <v>4260480</v>
      </c>
      <c r="K246" s="21">
        <v>4439768</v>
      </c>
      <c r="L246" s="21">
        <v>4578382</v>
      </c>
      <c r="M246" s="21">
        <v>4864353</v>
      </c>
      <c r="N246" s="21">
        <v>4952555</v>
      </c>
      <c r="O246" s="21">
        <v>5092382</v>
      </c>
      <c r="P246" s="21">
        <v>5256905</v>
      </c>
      <c r="Q246" s="21">
        <v>5000504</v>
      </c>
      <c r="R246" s="21">
        <v>4898047</v>
      </c>
      <c r="S246" s="21">
        <v>5024138</v>
      </c>
      <c r="T246" s="21">
        <v>5148694</v>
      </c>
      <c r="U246" s="21">
        <v>4914366</v>
      </c>
      <c r="V246" s="21">
        <v>4986933</v>
      </c>
      <c r="W246" s="21">
        <v>5052424</v>
      </c>
      <c r="X246" s="21">
        <v>4855372</v>
      </c>
      <c r="Y246" s="21">
        <v>4652074</v>
      </c>
      <c r="Z246" s="21">
        <v>4750724</v>
      </c>
      <c r="AA246" s="21">
        <v>4514524</v>
      </c>
      <c r="AB246" s="21">
        <v>4684963</v>
      </c>
      <c r="AC246" s="21">
        <v>4566059</v>
      </c>
      <c r="AD246" s="21">
        <v>4432331</v>
      </c>
      <c r="AE246" s="21">
        <v>4435733</v>
      </c>
      <c r="AF246" s="21">
        <v>4757443</v>
      </c>
      <c r="AG246" s="21">
        <v>4926458</v>
      </c>
      <c r="AH246" s="21">
        <v>4519056</v>
      </c>
      <c r="AI246" s="21">
        <v>4683709</v>
      </c>
      <c r="AJ246" s="21">
        <v>4819689</v>
      </c>
      <c r="AK246" s="21">
        <v>5097770</v>
      </c>
      <c r="AL246" s="21">
        <v>4981010</v>
      </c>
      <c r="AM246" s="21">
        <v>4983520</v>
      </c>
      <c r="AN246" s="21">
        <v>5390535</v>
      </c>
      <c r="AO246" s="21">
        <v>5124955</v>
      </c>
      <c r="AP246" s="21">
        <v>4671034</v>
      </c>
      <c r="AQ246" s="21">
        <v>4856823</v>
      </c>
      <c r="AR246" s="21">
        <v>5104047</v>
      </c>
      <c r="AS246" s="21">
        <v>4901935</v>
      </c>
      <c r="AT246" s="21">
        <v>5006146</v>
      </c>
      <c r="AU246" s="21">
        <v>5223765</v>
      </c>
      <c r="AV246" s="21">
        <v>4992951</v>
      </c>
      <c r="AW246" s="21">
        <v>4957655</v>
      </c>
      <c r="AX246" s="21">
        <v>4482650</v>
      </c>
      <c r="AY246" s="21">
        <v>4848708</v>
      </c>
      <c r="AZ246" s="21">
        <v>5017569</v>
      </c>
      <c r="BA246" s="21">
        <v>4899378</v>
      </c>
      <c r="BB246" s="21">
        <v>4887375</v>
      </c>
      <c r="BC246" s="21">
        <v>4817368</v>
      </c>
      <c r="BD246" s="21">
        <v>4252794</v>
      </c>
      <c r="BE246" s="21">
        <v>5037081</v>
      </c>
      <c r="BF246" s="21">
        <v>5257900</v>
      </c>
      <c r="BG246" s="21">
        <v>4794495</v>
      </c>
      <c r="BH246" s="21">
        <v>4525157</v>
      </c>
      <c r="BI246" s="21">
        <v>4592899</v>
      </c>
      <c r="BJ246" s="21">
        <v>5201735</v>
      </c>
      <c r="BK246" s="21">
        <v>5232460</v>
      </c>
      <c r="BL246" s="21">
        <v>4875728</v>
      </c>
      <c r="BM246" s="21">
        <v>4914172</v>
      </c>
    </row>
    <row r="247" spans="1:65" x14ac:dyDescent="0.2">
      <c r="A247" s="21" t="s">
        <v>1413</v>
      </c>
      <c r="B247" s="21" t="s">
        <v>1414</v>
      </c>
      <c r="C247" s="21" t="s">
        <v>769</v>
      </c>
      <c r="D247" s="21">
        <v>3103167</v>
      </c>
      <c r="E247" s="21">
        <v>3248578</v>
      </c>
      <c r="F247" s="21">
        <v>3478563</v>
      </c>
      <c r="G247" s="21">
        <v>3589021</v>
      </c>
      <c r="H247" s="21">
        <v>3787292</v>
      </c>
      <c r="I247" s="21">
        <v>3902802</v>
      </c>
      <c r="J247" s="21">
        <v>4138259</v>
      </c>
      <c r="K247" s="21">
        <v>4313304</v>
      </c>
      <c r="L247" s="21">
        <v>4450354</v>
      </c>
      <c r="M247" s="21">
        <v>4728281</v>
      </c>
      <c r="N247" s="21">
        <v>4837432</v>
      </c>
      <c r="O247" s="21">
        <v>4971690</v>
      </c>
      <c r="P247" s="21">
        <v>5125982</v>
      </c>
      <c r="Q247" s="21">
        <v>4879387</v>
      </c>
      <c r="R247" s="21">
        <v>4786128</v>
      </c>
      <c r="S247" s="21">
        <v>4924124</v>
      </c>
      <c r="T247" s="21">
        <v>5051360</v>
      </c>
      <c r="U247" s="21">
        <v>4821485</v>
      </c>
      <c r="V247" s="21">
        <v>4903006</v>
      </c>
      <c r="W247" s="21">
        <v>4965365</v>
      </c>
      <c r="X247" s="21">
        <v>4752082</v>
      </c>
      <c r="Y247" s="21">
        <v>4546449</v>
      </c>
      <c r="Z247" s="21">
        <v>4633033</v>
      </c>
      <c r="AA247" s="21">
        <v>4380603</v>
      </c>
      <c r="AB247" s="21">
        <v>4555470</v>
      </c>
      <c r="AC247" s="21">
        <v>4433375</v>
      </c>
      <c r="AD247" s="21">
        <v>4313971</v>
      </c>
      <c r="AE247" s="21">
        <v>4314830</v>
      </c>
      <c r="AF247" s="21">
        <v>4630332</v>
      </c>
      <c r="AG247" s="21">
        <v>4780638</v>
      </c>
      <c r="AH247" s="21">
        <v>4391324</v>
      </c>
      <c r="AI247" s="21">
        <v>4555659</v>
      </c>
      <c r="AJ247" s="21">
        <v>4690065</v>
      </c>
      <c r="AK247" s="21">
        <v>4956445</v>
      </c>
      <c r="AL247" s="21">
        <v>4847702</v>
      </c>
      <c r="AM247" s="21">
        <v>4850318</v>
      </c>
      <c r="AN247" s="21">
        <v>5241414</v>
      </c>
      <c r="AO247" s="21">
        <v>4983772</v>
      </c>
      <c r="AP247" s="21">
        <v>4520276</v>
      </c>
      <c r="AQ247" s="21">
        <v>4725672</v>
      </c>
      <c r="AR247" s="21">
        <v>4996179</v>
      </c>
      <c r="AS247" s="21">
        <v>4771340</v>
      </c>
      <c r="AT247" s="21">
        <v>4888818</v>
      </c>
      <c r="AU247" s="21">
        <v>5079351</v>
      </c>
      <c r="AV247" s="21">
        <v>4868797</v>
      </c>
      <c r="AW247" s="21">
        <v>4826775</v>
      </c>
      <c r="AX247" s="21">
        <v>4368466</v>
      </c>
      <c r="AY247" s="21">
        <v>4722358</v>
      </c>
      <c r="AZ247" s="21">
        <v>4892274</v>
      </c>
      <c r="BA247" s="21">
        <v>4778904</v>
      </c>
      <c r="BB247" s="21">
        <v>4782410</v>
      </c>
      <c r="BC247" s="21">
        <v>4713775</v>
      </c>
      <c r="BD247" s="21">
        <v>4149521</v>
      </c>
      <c r="BE247" s="21">
        <v>4897370</v>
      </c>
      <c r="BF247" s="21">
        <v>5087467</v>
      </c>
      <c r="BG247" s="21">
        <v>4612890</v>
      </c>
      <c r="BH247" s="21">
        <v>4346592</v>
      </c>
      <c r="BI247" s="21">
        <v>4413322</v>
      </c>
      <c r="BJ247" s="21">
        <v>4997557</v>
      </c>
      <c r="BK247" s="21">
        <v>5018518</v>
      </c>
      <c r="BL247" s="21">
        <v>4674459</v>
      </c>
      <c r="BM247" s="21">
        <v>4716212</v>
      </c>
    </row>
    <row r="248" spans="1:65" x14ac:dyDescent="0.2">
      <c r="A248" s="21" t="s">
        <v>1413</v>
      </c>
      <c r="B248" s="21" t="s">
        <v>1414</v>
      </c>
      <c r="C248" s="21" t="s">
        <v>776</v>
      </c>
      <c r="D248" s="21">
        <v>12385366</v>
      </c>
      <c r="E248" s="21">
        <v>12926392</v>
      </c>
      <c r="F248" s="21">
        <v>13730841</v>
      </c>
      <c r="G248" s="21">
        <v>14419107</v>
      </c>
      <c r="H248" s="21">
        <v>15297642</v>
      </c>
      <c r="I248" s="21">
        <v>15779457</v>
      </c>
      <c r="J248" s="21">
        <v>17005781</v>
      </c>
      <c r="K248" s="21">
        <v>17964988</v>
      </c>
      <c r="L248" s="21">
        <v>19204569</v>
      </c>
      <c r="M248" s="21">
        <v>20657964</v>
      </c>
      <c r="N248" s="21">
        <v>21692710</v>
      </c>
      <c r="O248" s="21">
        <v>22365248</v>
      </c>
      <c r="P248" s="21">
        <v>22682497</v>
      </c>
      <c r="Q248" s="21">
        <v>22595346</v>
      </c>
      <c r="R248" s="21">
        <v>21729561</v>
      </c>
      <c r="S248" s="21">
        <v>19977076</v>
      </c>
      <c r="T248" s="21">
        <v>20381227</v>
      </c>
      <c r="U248" s="21">
        <v>19972477</v>
      </c>
      <c r="V248" s="21">
        <v>20067662</v>
      </c>
      <c r="W248" s="21">
        <v>20687615</v>
      </c>
      <c r="X248" s="21">
        <v>20383954</v>
      </c>
      <c r="Y248" s="21">
        <v>19928435</v>
      </c>
      <c r="Z248" s="21">
        <v>18515242</v>
      </c>
      <c r="AA248" s="21">
        <v>17347750</v>
      </c>
      <c r="AB248" s="21">
        <v>18502834</v>
      </c>
      <c r="AC248" s="21">
        <v>17843043</v>
      </c>
      <c r="AD248" s="21">
        <v>16718431</v>
      </c>
      <c r="AE248" s="21">
        <v>17749685</v>
      </c>
      <c r="AF248" s="21">
        <v>18562882</v>
      </c>
      <c r="AG248" s="21">
        <v>19715929</v>
      </c>
      <c r="AH248" s="21">
        <v>19752485</v>
      </c>
      <c r="AI248" s="21">
        <v>20147768</v>
      </c>
      <c r="AJ248" s="21">
        <v>20843610</v>
      </c>
      <c r="AK248" s="21">
        <v>21376406</v>
      </c>
      <c r="AL248" s="21">
        <v>21870095</v>
      </c>
      <c r="AM248" s="21">
        <v>22832593</v>
      </c>
      <c r="AN248" s="21">
        <v>23262444</v>
      </c>
      <c r="AO248" s="21">
        <v>23477148</v>
      </c>
      <c r="AP248" s="21">
        <v>23015631</v>
      </c>
      <c r="AQ248" s="21">
        <v>23025697</v>
      </c>
      <c r="AR248" s="21">
        <v>23907237</v>
      </c>
      <c r="AS248" s="21">
        <v>22835551</v>
      </c>
      <c r="AT248" s="21">
        <v>23582195</v>
      </c>
      <c r="AU248" s="21">
        <v>22891393</v>
      </c>
      <c r="AV248" s="21">
        <v>22988315</v>
      </c>
      <c r="AW248" s="21">
        <v>22631800</v>
      </c>
      <c r="AX248" s="21">
        <v>22292657</v>
      </c>
      <c r="AY248" s="21">
        <v>23735125</v>
      </c>
      <c r="AZ248" s="21">
        <v>23898175</v>
      </c>
      <c r="BA248" s="21">
        <v>23487297</v>
      </c>
      <c r="BB248" s="21">
        <v>24633507</v>
      </c>
      <c r="BC248" s="21">
        <v>25014983</v>
      </c>
      <c r="BD248" s="21">
        <v>26138351</v>
      </c>
      <c r="BE248" s="21">
        <v>26844986</v>
      </c>
      <c r="BF248" s="21">
        <v>27438655</v>
      </c>
      <c r="BG248" s="21">
        <v>28241055</v>
      </c>
      <c r="BH248" s="21">
        <v>28452762</v>
      </c>
      <c r="BI248" s="21">
        <v>28125807</v>
      </c>
      <c r="BJ248" s="21">
        <v>31236226</v>
      </c>
      <c r="BK248" s="21">
        <v>32300451</v>
      </c>
      <c r="BL248" s="21">
        <v>31628748</v>
      </c>
      <c r="BM248" s="21">
        <v>31725500</v>
      </c>
    </row>
    <row r="249" spans="1:65" x14ac:dyDescent="0.2">
      <c r="A249" s="21" t="s">
        <v>1413</v>
      </c>
      <c r="B249" s="21" t="s">
        <v>1414</v>
      </c>
      <c r="C249" s="21" t="s">
        <v>780</v>
      </c>
      <c r="D249" s="21">
        <v>1.0349999999999999</v>
      </c>
      <c r="E249" s="21">
        <v>1.0349999999999999</v>
      </c>
      <c r="F249" s="21">
        <v>1.0349999999999999</v>
      </c>
      <c r="G249" s="21">
        <v>1.032</v>
      </c>
      <c r="H249" s="21">
        <v>1.0329999999999999</v>
      </c>
      <c r="I249" s="21">
        <v>1.0329999999999999</v>
      </c>
      <c r="J249" s="21">
        <v>1.034</v>
      </c>
      <c r="K249" s="21">
        <v>1.0329999999999999</v>
      </c>
      <c r="L249" s="21">
        <v>1.0309999999999999</v>
      </c>
      <c r="M249" s="21">
        <v>1.03</v>
      </c>
      <c r="N249" s="21">
        <v>1.026</v>
      </c>
      <c r="O249" s="21">
        <v>1.026</v>
      </c>
      <c r="P249" s="21">
        <v>1.026</v>
      </c>
      <c r="Q249" s="21">
        <v>1.0249999999999999</v>
      </c>
      <c r="R249" s="21">
        <v>1.024</v>
      </c>
      <c r="S249" s="21">
        <v>1.022</v>
      </c>
      <c r="T249" s="21">
        <v>1.022</v>
      </c>
      <c r="U249" s="21">
        <v>1.0229999999999999</v>
      </c>
      <c r="V249" s="21">
        <v>1.022</v>
      </c>
      <c r="W249" s="21">
        <v>1.022</v>
      </c>
      <c r="X249" s="21">
        <v>1.0249999999999999</v>
      </c>
      <c r="Y249" s="21">
        <v>1.0269999999999999</v>
      </c>
      <c r="Z249" s="21">
        <v>1.0289999999999999</v>
      </c>
      <c r="AA249" s="21">
        <v>1.03</v>
      </c>
      <c r="AB249" s="21">
        <v>1.0309999999999999</v>
      </c>
      <c r="AC249" s="21">
        <v>1.0329999999999999</v>
      </c>
      <c r="AD249" s="21">
        <v>1.0309999999999999</v>
      </c>
      <c r="AE249" s="21">
        <v>1.0309999999999999</v>
      </c>
      <c r="AF249" s="21">
        <v>1.03</v>
      </c>
      <c r="AG249" s="21">
        <v>1.0309999999999999</v>
      </c>
      <c r="AH249" s="21">
        <v>1.03</v>
      </c>
      <c r="AI249" s="21">
        <v>1.03</v>
      </c>
      <c r="AJ249" s="21">
        <v>1.03</v>
      </c>
      <c r="AK249" s="21">
        <v>1.028</v>
      </c>
      <c r="AL249" s="21">
        <v>1.0289999999999999</v>
      </c>
      <c r="AM249" s="21">
        <v>1.028</v>
      </c>
      <c r="AN249" s="21">
        <v>1.0289999999999999</v>
      </c>
      <c r="AO249" s="21">
        <v>1.0329999999999999</v>
      </c>
      <c r="AP249" s="21">
        <v>1.0349999999999999</v>
      </c>
      <c r="AQ249" s="21">
        <v>1.028</v>
      </c>
      <c r="AR249" s="21">
        <v>1.0249999999999999</v>
      </c>
      <c r="AS249" s="21">
        <v>1.0269999999999999</v>
      </c>
      <c r="AT249" s="21">
        <v>1.024</v>
      </c>
      <c r="AU249" s="21">
        <v>1.028</v>
      </c>
      <c r="AV249" s="21">
        <v>1.026</v>
      </c>
      <c r="AW249" s="21">
        <v>1.028</v>
      </c>
      <c r="AX249" s="21">
        <v>1.0269999999999999</v>
      </c>
      <c r="AY249" s="21">
        <v>1.0269999999999999</v>
      </c>
      <c r="AZ249" s="21">
        <v>1.0269999999999999</v>
      </c>
      <c r="BA249" s="21">
        <v>1.0249999999999999</v>
      </c>
      <c r="BB249" s="21">
        <v>1.0229999999999999</v>
      </c>
      <c r="BC249" s="21">
        <v>1.022</v>
      </c>
      <c r="BD249" s="21">
        <v>1.0229999999999999</v>
      </c>
      <c r="BE249" s="21">
        <v>1.026</v>
      </c>
      <c r="BF249" s="21">
        <v>1.032</v>
      </c>
      <c r="BG249" s="21">
        <v>1.0369999999999999</v>
      </c>
      <c r="BH249" s="21">
        <v>1.0369999999999999</v>
      </c>
      <c r="BI249" s="21">
        <v>1.036</v>
      </c>
      <c r="BJ249" s="21">
        <v>1.036</v>
      </c>
      <c r="BK249" s="21">
        <v>1.0369999999999999</v>
      </c>
      <c r="BL249" s="21">
        <v>1.0369999999999999</v>
      </c>
      <c r="BM249" s="21">
        <v>1.036</v>
      </c>
    </row>
    <row r="250" spans="1:65" x14ac:dyDescent="0.2">
      <c r="A250" s="21" t="s">
        <v>1413</v>
      </c>
      <c r="B250" s="21" t="s">
        <v>1414</v>
      </c>
      <c r="C250" s="21" t="s">
        <v>782</v>
      </c>
      <c r="D250" s="21">
        <v>11966537</v>
      </c>
      <c r="E250" s="21">
        <v>12489268</v>
      </c>
      <c r="F250" s="21">
        <v>13266513</v>
      </c>
      <c r="G250" s="21">
        <v>13970229</v>
      </c>
      <c r="H250" s="21">
        <v>14813808</v>
      </c>
      <c r="I250" s="21">
        <v>15279716</v>
      </c>
      <c r="J250" s="21">
        <v>16452403</v>
      </c>
      <c r="K250" s="21">
        <v>17388360</v>
      </c>
      <c r="L250" s="21">
        <v>18632060</v>
      </c>
      <c r="M250" s="21">
        <v>20056240</v>
      </c>
      <c r="N250" s="21">
        <v>21139383</v>
      </c>
      <c r="O250" s="21">
        <v>21793451</v>
      </c>
      <c r="P250" s="21">
        <v>22101451</v>
      </c>
      <c r="Q250" s="21">
        <v>22049362</v>
      </c>
      <c r="R250" s="21">
        <v>21223132</v>
      </c>
      <c r="S250" s="21">
        <v>19537594</v>
      </c>
      <c r="T250" s="21">
        <v>19946495</v>
      </c>
      <c r="U250" s="21">
        <v>19520579</v>
      </c>
      <c r="V250" s="21">
        <v>19627478</v>
      </c>
      <c r="W250" s="21">
        <v>20240760</v>
      </c>
      <c r="X250" s="21">
        <v>19877293</v>
      </c>
      <c r="Y250" s="21">
        <v>19403856</v>
      </c>
      <c r="Z250" s="21">
        <v>18001046</v>
      </c>
      <c r="AA250" s="21">
        <v>16834914</v>
      </c>
      <c r="AB250" s="21">
        <v>17950533</v>
      </c>
      <c r="AC250" s="21">
        <v>17280941</v>
      </c>
      <c r="AD250" s="21">
        <v>16221295</v>
      </c>
      <c r="AE250" s="21">
        <v>17210809</v>
      </c>
      <c r="AF250" s="21">
        <v>18029590</v>
      </c>
      <c r="AG250" s="21">
        <v>19118999</v>
      </c>
      <c r="AH250" s="21">
        <v>19173551</v>
      </c>
      <c r="AI250" s="21">
        <v>19562066</v>
      </c>
      <c r="AJ250" s="21">
        <v>20228231</v>
      </c>
      <c r="AK250" s="21">
        <v>20789838</v>
      </c>
      <c r="AL250" s="21">
        <v>21247098</v>
      </c>
      <c r="AM250" s="21">
        <v>22206901</v>
      </c>
      <c r="AN250" s="21">
        <v>22609080</v>
      </c>
      <c r="AO250" s="21">
        <v>22737342</v>
      </c>
      <c r="AP250" s="21">
        <v>22245956</v>
      </c>
      <c r="AQ250" s="21">
        <v>22405151</v>
      </c>
      <c r="AR250" s="21">
        <v>23333121</v>
      </c>
      <c r="AS250" s="21">
        <v>22238624</v>
      </c>
      <c r="AT250" s="21">
        <v>23027021</v>
      </c>
      <c r="AU250" s="21">
        <v>22276502</v>
      </c>
      <c r="AV250" s="21">
        <v>22402545</v>
      </c>
      <c r="AW250" s="21">
        <v>22014435</v>
      </c>
      <c r="AX250" s="21">
        <v>21699071</v>
      </c>
      <c r="AY250" s="21">
        <v>23103793</v>
      </c>
      <c r="AZ250" s="21">
        <v>23277001</v>
      </c>
      <c r="BA250" s="21">
        <v>22910072</v>
      </c>
      <c r="BB250" s="21">
        <v>24086798</v>
      </c>
      <c r="BC250" s="21">
        <v>24477430</v>
      </c>
      <c r="BD250" s="21">
        <v>25538484</v>
      </c>
      <c r="BE250" s="21">
        <v>26155070</v>
      </c>
      <c r="BF250" s="21">
        <v>26593371</v>
      </c>
      <c r="BG250" s="21">
        <v>27243861</v>
      </c>
      <c r="BH250" s="21">
        <v>27444223</v>
      </c>
      <c r="BI250" s="21">
        <v>27139708</v>
      </c>
      <c r="BJ250" s="21">
        <v>30149338</v>
      </c>
      <c r="BK250" s="21">
        <v>31143297</v>
      </c>
      <c r="BL250" s="21">
        <v>30513452</v>
      </c>
      <c r="BM250" s="21">
        <v>30615402</v>
      </c>
    </row>
    <row r="251" spans="1:65" x14ac:dyDescent="0.2">
      <c r="A251" s="21" t="s">
        <v>1413</v>
      </c>
      <c r="B251" s="21" t="s">
        <v>1414</v>
      </c>
      <c r="C251" s="21" t="s">
        <v>785</v>
      </c>
      <c r="D251" s="21">
        <v>68.599999999999994</v>
      </c>
      <c r="E251" s="21">
        <v>70.400000000000006</v>
      </c>
      <c r="F251" s="21">
        <v>73.599999999999994</v>
      </c>
      <c r="G251" s="21">
        <v>76.2</v>
      </c>
      <c r="H251" s="21">
        <v>79.7</v>
      </c>
      <c r="I251" s="21">
        <v>81.2</v>
      </c>
      <c r="J251" s="21">
        <v>86.5</v>
      </c>
      <c r="K251" s="21">
        <v>90.4</v>
      </c>
      <c r="L251" s="21">
        <v>95.7</v>
      </c>
      <c r="M251" s="21">
        <v>101.9</v>
      </c>
      <c r="N251" s="21">
        <v>105.8</v>
      </c>
      <c r="O251" s="21">
        <v>107.7</v>
      </c>
      <c r="P251" s="21">
        <v>108.1</v>
      </c>
      <c r="Q251" s="21">
        <v>106.6</v>
      </c>
      <c r="R251" s="21">
        <v>101.6</v>
      </c>
      <c r="S251" s="21">
        <v>92.5</v>
      </c>
      <c r="T251" s="21">
        <v>93.5</v>
      </c>
      <c r="U251" s="21">
        <v>90.7</v>
      </c>
      <c r="V251" s="21">
        <v>90.2</v>
      </c>
      <c r="W251" s="21">
        <v>91.9</v>
      </c>
      <c r="X251" s="21">
        <v>89.7</v>
      </c>
      <c r="Y251" s="21">
        <v>86.8</v>
      </c>
      <c r="Z251" s="21">
        <v>79.900000000000006</v>
      </c>
      <c r="AA251" s="21">
        <v>74.2</v>
      </c>
      <c r="AB251" s="21">
        <v>78.5</v>
      </c>
      <c r="AC251" s="21">
        <v>75</v>
      </c>
      <c r="AD251" s="21">
        <v>69.599999999999994</v>
      </c>
      <c r="AE251" s="21">
        <v>73.3</v>
      </c>
      <c r="AF251" s="21">
        <v>75.900000000000006</v>
      </c>
      <c r="AG251" s="21">
        <v>79.900000000000006</v>
      </c>
      <c r="AH251" s="21">
        <v>79.099999999999994</v>
      </c>
      <c r="AI251" s="21">
        <v>79.599999999999994</v>
      </c>
      <c r="AJ251" s="21">
        <v>81.3</v>
      </c>
      <c r="AK251" s="21">
        <v>82.2</v>
      </c>
      <c r="AL251" s="21">
        <v>83.1</v>
      </c>
      <c r="AM251" s="21">
        <v>85.7</v>
      </c>
      <c r="AN251" s="21">
        <v>86.4</v>
      </c>
      <c r="AO251" s="21">
        <v>86.1</v>
      </c>
      <c r="AP251" s="21">
        <v>83.4</v>
      </c>
      <c r="AQ251" s="21">
        <v>82.5</v>
      </c>
      <c r="AR251" s="21">
        <v>84.7</v>
      </c>
      <c r="AS251" s="21">
        <v>80.099999999999994</v>
      </c>
      <c r="AT251" s="21">
        <v>82</v>
      </c>
      <c r="AU251" s="21">
        <v>78.900000000000006</v>
      </c>
      <c r="AV251" s="21">
        <v>78.5</v>
      </c>
      <c r="AW251" s="21">
        <v>76.599999999999994</v>
      </c>
      <c r="AX251" s="21">
        <v>74.7</v>
      </c>
      <c r="AY251" s="21">
        <v>78.8</v>
      </c>
      <c r="AZ251" s="21">
        <v>78.599999999999994</v>
      </c>
      <c r="BA251" s="21">
        <v>76.599999999999994</v>
      </c>
      <c r="BB251" s="21">
        <v>79.599999999999994</v>
      </c>
      <c r="BC251" s="21">
        <v>80.3</v>
      </c>
      <c r="BD251" s="21">
        <v>83.3</v>
      </c>
      <c r="BE251" s="21">
        <v>84.9</v>
      </c>
      <c r="BF251" s="21">
        <v>86.2</v>
      </c>
      <c r="BG251" s="21">
        <v>88</v>
      </c>
      <c r="BH251" s="21">
        <v>88.1</v>
      </c>
      <c r="BI251" s="21">
        <v>86.5</v>
      </c>
      <c r="BJ251" s="21">
        <v>95.6</v>
      </c>
      <c r="BK251" s="21">
        <v>98.4</v>
      </c>
      <c r="BL251" s="21">
        <v>95.4</v>
      </c>
      <c r="BM251" s="21">
        <v>95.5</v>
      </c>
    </row>
    <row r="252" spans="1:65" x14ac:dyDescent="0.2">
      <c r="A252" s="21" t="s">
        <v>1413</v>
      </c>
      <c r="B252" s="21" t="s">
        <v>1414</v>
      </c>
      <c r="C252" s="21" t="s">
        <v>788</v>
      </c>
      <c r="D252" s="21">
        <v>66.2</v>
      </c>
      <c r="E252" s="21">
        <v>68</v>
      </c>
      <c r="F252" s="21">
        <v>71.099999999999994</v>
      </c>
      <c r="G252" s="21">
        <v>73.8</v>
      </c>
      <c r="H252" s="21">
        <v>77.2</v>
      </c>
      <c r="I252" s="21">
        <v>78.599999999999994</v>
      </c>
      <c r="J252" s="21">
        <v>83.7</v>
      </c>
      <c r="K252" s="21">
        <v>87.5</v>
      </c>
      <c r="L252" s="21">
        <v>92.8</v>
      </c>
      <c r="M252" s="21">
        <v>99</v>
      </c>
      <c r="N252" s="21">
        <v>103.1</v>
      </c>
      <c r="O252" s="21">
        <v>104.9</v>
      </c>
      <c r="P252" s="21">
        <v>105.3</v>
      </c>
      <c r="Q252" s="21">
        <v>104.1</v>
      </c>
      <c r="R252" s="21">
        <v>99.2</v>
      </c>
      <c r="S252" s="21">
        <v>90.5</v>
      </c>
      <c r="T252" s="21">
        <v>91.5</v>
      </c>
      <c r="U252" s="21">
        <v>88.6</v>
      </c>
      <c r="V252" s="21">
        <v>88.2</v>
      </c>
      <c r="W252" s="21">
        <v>89.9</v>
      </c>
      <c r="X252" s="21">
        <v>87.5</v>
      </c>
      <c r="Y252" s="21">
        <v>84.6</v>
      </c>
      <c r="Z252" s="21">
        <v>77.7</v>
      </c>
      <c r="AA252" s="21">
        <v>72</v>
      </c>
      <c r="AB252" s="21">
        <v>76.099999999999994</v>
      </c>
      <c r="AC252" s="21">
        <v>72.599999999999994</v>
      </c>
      <c r="AD252" s="21">
        <v>67.599999999999994</v>
      </c>
      <c r="AE252" s="21">
        <v>71</v>
      </c>
      <c r="AF252" s="21">
        <v>73.7</v>
      </c>
      <c r="AG252" s="21">
        <v>77.5</v>
      </c>
      <c r="AH252" s="21">
        <v>76.8</v>
      </c>
      <c r="AI252" s="21">
        <v>77.3</v>
      </c>
      <c r="AJ252" s="21">
        <v>78.900000000000006</v>
      </c>
      <c r="AK252" s="21">
        <v>80</v>
      </c>
      <c r="AL252" s="21">
        <v>80.7</v>
      </c>
      <c r="AM252" s="21">
        <v>83.4</v>
      </c>
      <c r="AN252" s="21">
        <v>83.9</v>
      </c>
      <c r="AO252" s="21">
        <v>83.4</v>
      </c>
      <c r="AP252" s="21">
        <v>80.599999999999994</v>
      </c>
      <c r="AQ252" s="21">
        <v>80.3</v>
      </c>
      <c r="AR252" s="21">
        <v>82.7</v>
      </c>
      <c r="AS252" s="21">
        <v>78</v>
      </c>
      <c r="AT252" s="21">
        <v>80.099999999999994</v>
      </c>
      <c r="AU252" s="21">
        <v>76.8</v>
      </c>
      <c r="AV252" s="21">
        <v>76.5</v>
      </c>
      <c r="AW252" s="21">
        <v>74.5</v>
      </c>
      <c r="AX252" s="21">
        <v>72.7</v>
      </c>
      <c r="AY252" s="21">
        <v>76.7</v>
      </c>
      <c r="AZ252" s="21">
        <v>76.5</v>
      </c>
      <c r="BA252" s="21">
        <v>74.7</v>
      </c>
      <c r="BB252" s="21">
        <v>77.900000000000006</v>
      </c>
      <c r="BC252" s="21">
        <v>78.599999999999994</v>
      </c>
      <c r="BD252" s="21">
        <v>81.400000000000006</v>
      </c>
      <c r="BE252" s="21">
        <v>82.8</v>
      </c>
      <c r="BF252" s="21">
        <v>83.5</v>
      </c>
      <c r="BG252" s="21">
        <v>84.9</v>
      </c>
      <c r="BH252" s="21">
        <v>84.9</v>
      </c>
      <c r="BI252" s="21">
        <v>83.5</v>
      </c>
      <c r="BJ252" s="21">
        <v>92.2</v>
      </c>
      <c r="BK252" s="21">
        <v>94.9</v>
      </c>
      <c r="BL252" s="21">
        <v>92</v>
      </c>
      <c r="BM252" s="21">
        <v>92.2</v>
      </c>
    </row>
    <row r="253" spans="1:65" x14ac:dyDescent="0.2">
      <c r="A253" s="21" t="s">
        <v>1413</v>
      </c>
      <c r="B253" s="21" t="s">
        <v>1414</v>
      </c>
      <c r="C253" s="21" t="s">
        <v>790</v>
      </c>
      <c r="D253" s="21">
        <v>10600237</v>
      </c>
      <c r="E253" s="21">
        <v>11037397</v>
      </c>
      <c r="F253" s="21">
        <v>11696058</v>
      </c>
      <c r="G253" s="21">
        <v>12199367</v>
      </c>
      <c r="H253" s="21">
        <v>12888537</v>
      </c>
      <c r="I253" s="21">
        <v>13370974</v>
      </c>
      <c r="J253" s="21">
        <v>14292760</v>
      </c>
      <c r="K253" s="21">
        <v>15112290</v>
      </c>
      <c r="L253" s="21">
        <v>15941314</v>
      </c>
      <c r="M253" s="21">
        <v>17049194</v>
      </c>
      <c r="N253" s="21">
        <v>17645102</v>
      </c>
      <c r="O253" s="21">
        <v>18273412</v>
      </c>
      <c r="P253" s="21">
        <v>18597610</v>
      </c>
      <c r="Q253" s="21">
        <v>18857673</v>
      </c>
      <c r="R253" s="21">
        <v>18218101</v>
      </c>
      <c r="S253" s="21">
        <v>16745481</v>
      </c>
      <c r="T253" s="21">
        <v>17228147</v>
      </c>
      <c r="U253" s="21">
        <v>16690621</v>
      </c>
      <c r="V253" s="21">
        <v>16774441</v>
      </c>
      <c r="W253" s="21">
        <v>17083190</v>
      </c>
      <c r="X253" s="21">
        <v>16580381</v>
      </c>
      <c r="Y253" s="21">
        <v>16169680</v>
      </c>
      <c r="Z253" s="21">
        <v>15180176</v>
      </c>
      <c r="AA253" s="21">
        <v>14355657</v>
      </c>
      <c r="AB253" s="21">
        <v>15287818</v>
      </c>
      <c r="AC253" s="21">
        <v>14686135</v>
      </c>
      <c r="AD253" s="21">
        <v>14029887</v>
      </c>
      <c r="AE253" s="21">
        <v>14815978</v>
      </c>
      <c r="AF253" s="21">
        <v>15854980</v>
      </c>
      <c r="AG253" s="21">
        <v>16524979</v>
      </c>
      <c r="AH253" s="21">
        <v>16419468</v>
      </c>
      <c r="AI253" s="21">
        <v>16748668</v>
      </c>
      <c r="AJ253" s="21">
        <v>17308847</v>
      </c>
      <c r="AK253" s="21">
        <v>17816991</v>
      </c>
      <c r="AL253" s="21">
        <v>17870420</v>
      </c>
      <c r="AM253" s="21">
        <v>18506020</v>
      </c>
      <c r="AN253" s="21">
        <v>19380605</v>
      </c>
      <c r="AO253" s="21">
        <v>19330583</v>
      </c>
      <c r="AP253" s="21">
        <v>18318105</v>
      </c>
      <c r="AQ253" s="21">
        <v>18102146</v>
      </c>
      <c r="AR253" s="21">
        <v>18589549</v>
      </c>
      <c r="AS253" s="21">
        <v>17339705</v>
      </c>
      <c r="AT253" s="21">
        <v>17792903</v>
      </c>
      <c r="AU253" s="21">
        <v>17632225</v>
      </c>
      <c r="AV253" s="21">
        <v>17379678</v>
      </c>
      <c r="AW253" s="21">
        <v>16595994</v>
      </c>
      <c r="AX253" s="21">
        <v>15898831</v>
      </c>
      <c r="AY253" s="21">
        <v>16706794</v>
      </c>
      <c r="AZ253" s="21">
        <v>17048807</v>
      </c>
      <c r="BA253" s="21">
        <v>16443373</v>
      </c>
      <c r="BB253" s="21">
        <v>17083214</v>
      </c>
      <c r="BC253" s="21">
        <v>17281359</v>
      </c>
      <c r="BD253" s="21">
        <v>16825543</v>
      </c>
      <c r="BE253" s="21">
        <v>18447301</v>
      </c>
      <c r="BF253" s="21">
        <v>19054137</v>
      </c>
      <c r="BG253" s="21">
        <v>18295710</v>
      </c>
      <c r="BH253" s="21">
        <v>18127718</v>
      </c>
      <c r="BI253" s="21">
        <v>18547487</v>
      </c>
      <c r="BJ253" s="21">
        <v>20284413</v>
      </c>
      <c r="BK253" s="21">
        <v>20613365</v>
      </c>
      <c r="BL253" s="21">
        <v>19605680</v>
      </c>
      <c r="BM253" s="21">
        <v>20111830</v>
      </c>
    </row>
    <row r="254" spans="1:65" x14ac:dyDescent="0.2">
      <c r="A254" s="21" t="s">
        <v>1413</v>
      </c>
      <c r="B254" s="21" t="s">
        <v>1414</v>
      </c>
      <c r="C254" s="21" t="s">
        <v>794</v>
      </c>
      <c r="D254" s="21">
        <v>1.0349999999999999</v>
      </c>
      <c r="E254" s="21">
        <v>1.0349999999999999</v>
      </c>
      <c r="F254" s="21">
        <v>1.0349999999999999</v>
      </c>
      <c r="G254" s="21">
        <v>1.032</v>
      </c>
      <c r="H254" s="21">
        <v>1.032</v>
      </c>
      <c r="I254" s="21">
        <v>1.032</v>
      </c>
      <c r="J254" s="21">
        <v>1.0329999999999999</v>
      </c>
      <c r="K254" s="21">
        <v>1.032</v>
      </c>
      <c r="L254" s="21">
        <v>1.03</v>
      </c>
      <c r="M254" s="21">
        <v>1.0289999999999999</v>
      </c>
      <c r="N254" s="21">
        <v>1.0249999999999999</v>
      </c>
      <c r="O254" s="21">
        <v>1.026</v>
      </c>
      <c r="P254" s="21">
        <v>1.026</v>
      </c>
      <c r="Q254" s="21">
        <v>1.0249999999999999</v>
      </c>
      <c r="R254" s="21">
        <v>1.0249999999999999</v>
      </c>
      <c r="S254" s="21">
        <v>1.022</v>
      </c>
      <c r="T254" s="21">
        <v>1.0209999999999999</v>
      </c>
      <c r="U254" s="21">
        <v>1.022</v>
      </c>
      <c r="V254" s="21">
        <v>1.02</v>
      </c>
      <c r="W254" s="21">
        <v>1.02</v>
      </c>
      <c r="X254" s="21">
        <v>1.024</v>
      </c>
      <c r="Y254" s="21">
        <v>1.026</v>
      </c>
      <c r="Z254" s="21">
        <v>1.0269999999999999</v>
      </c>
      <c r="AA254" s="21">
        <v>1.0309999999999999</v>
      </c>
      <c r="AB254" s="21">
        <v>1.03</v>
      </c>
      <c r="AC254" s="21">
        <v>1.032</v>
      </c>
      <c r="AD254" s="21">
        <v>1.03</v>
      </c>
      <c r="AE254" s="21">
        <v>1.0309999999999999</v>
      </c>
      <c r="AF254" s="21">
        <v>1.03</v>
      </c>
      <c r="AG254" s="21">
        <v>1.032</v>
      </c>
      <c r="AH254" s="21">
        <v>1.0309999999999999</v>
      </c>
      <c r="AI254" s="21">
        <v>1.0309999999999999</v>
      </c>
      <c r="AJ254" s="21">
        <v>1.032</v>
      </c>
      <c r="AK254" s="21">
        <v>1.0289999999999999</v>
      </c>
      <c r="AL254" s="21">
        <v>1.03</v>
      </c>
      <c r="AM254" s="21">
        <v>1.03</v>
      </c>
      <c r="AN254" s="21">
        <v>1.0309999999999999</v>
      </c>
      <c r="AO254" s="21">
        <v>1.0349999999999999</v>
      </c>
      <c r="AP254" s="21">
        <v>1.0369999999999999</v>
      </c>
      <c r="AQ254" s="21">
        <v>1.0289999999999999</v>
      </c>
      <c r="AR254" s="21">
        <v>1.026</v>
      </c>
      <c r="AS254" s="21">
        <v>1.026</v>
      </c>
      <c r="AT254" s="21">
        <v>1.0249999999999999</v>
      </c>
      <c r="AU254" s="21">
        <v>1.0289999999999999</v>
      </c>
      <c r="AV254" s="21">
        <v>1.026</v>
      </c>
      <c r="AW254" s="21">
        <v>1.028</v>
      </c>
      <c r="AX254" s="21">
        <v>1.0269999999999999</v>
      </c>
      <c r="AY254" s="21">
        <v>1.0269999999999999</v>
      </c>
      <c r="AZ254" s="21">
        <v>1.0269999999999999</v>
      </c>
      <c r="BA254" s="21">
        <v>1.0249999999999999</v>
      </c>
      <c r="BB254" s="21">
        <v>1.0229999999999999</v>
      </c>
      <c r="BC254" s="21">
        <v>1.022</v>
      </c>
      <c r="BD254" s="21">
        <v>1.024</v>
      </c>
      <c r="BE254" s="21">
        <v>1.0269999999999999</v>
      </c>
      <c r="BF254" s="21">
        <v>1.0329999999999999</v>
      </c>
      <c r="BG254" s="21">
        <v>1.038</v>
      </c>
      <c r="BH254" s="21">
        <v>1.038</v>
      </c>
      <c r="BI254" s="21">
        <v>1.038</v>
      </c>
      <c r="BJ254" s="21">
        <v>1.038</v>
      </c>
      <c r="BK254" s="21">
        <v>1.0389999999999999</v>
      </c>
      <c r="BL254" s="21">
        <v>1.038</v>
      </c>
      <c r="BM254" s="21">
        <v>1.0369999999999999</v>
      </c>
    </row>
    <row r="255" spans="1:65" x14ac:dyDescent="0.2">
      <c r="A255" s="21" t="s">
        <v>1413</v>
      </c>
      <c r="B255" s="21" t="s">
        <v>1414</v>
      </c>
      <c r="C255" s="21" t="s">
        <v>796</v>
      </c>
      <c r="D255" s="21">
        <v>10241775</v>
      </c>
      <c r="E255" s="21">
        <v>10664151</v>
      </c>
      <c r="F255" s="21">
        <v>11300539</v>
      </c>
      <c r="G255" s="21">
        <v>11825756</v>
      </c>
      <c r="H255" s="21">
        <v>12490912</v>
      </c>
      <c r="I255" s="21">
        <v>12958615</v>
      </c>
      <c r="J255" s="21">
        <v>13842454</v>
      </c>
      <c r="K255" s="21">
        <v>14642008</v>
      </c>
      <c r="L255" s="21">
        <v>15484151</v>
      </c>
      <c r="M255" s="21">
        <v>16568598</v>
      </c>
      <c r="N255" s="21">
        <v>17207523</v>
      </c>
      <c r="O255" s="21">
        <v>17817433</v>
      </c>
      <c r="P255" s="21">
        <v>18124537</v>
      </c>
      <c r="Q255" s="21">
        <v>18389190</v>
      </c>
      <c r="R255" s="21">
        <v>17779704</v>
      </c>
      <c r="S255" s="21">
        <v>16379925</v>
      </c>
      <c r="T255" s="21">
        <v>16865627</v>
      </c>
      <c r="U255" s="21">
        <v>16329379</v>
      </c>
      <c r="V255" s="21">
        <v>16439115</v>
      </c>
      <c r="W255" s="21">
        <v>16750237</v>
      </c>
      <c r="X255" s="21">
        <v>16195698</v>
      </c>
      <c r="Y255" s="21">
        <v>15763702</v>
      </c>
      <c r="Z255" s="21">
        <v>14775528</v>
      </c>
      <c r="AA255" s="21">
        <v>13924147</v>
      </c>
      <c r="AB255" s="21">
        <v>14839191</v>
      </c>
      <c r="AC255" s="21">
        <v>14236858</v>
      </c>
      <c r="AD255" s="21">
        <v>13618925</v>
      </c>
      <c r="AE255" s="21">
        <v>14366758</v>
      </c>
      <c r="AF255" s="21">
        <v>15393977</v>
      </c>
      <c r="AG255" s="21">
        <v>16013815</v>
      </c>
      <c r="AH255" s="21">
        <v>15928932</v>
      </c>
      <c r="AI255" s="21">
        <v>16246141</v>
      </c>
      <c r="AJ255" s="21">
        <v>16780360</v>
      </c>
      <c r="AK255" s="21">
        <v>17316855</v>
      </c>
      <c r="AL255" s="21">
        <v>17344552</v>
      </c>
      <c r="AM255" s="21">
        <v>17970375</v>
      </c>
      <c r="AN255" s="21">
        <v>18802178</v>
      </c>
      <c r="AO255" s="21">
        <v>18672539</v>
      </c>
      <c r="AP255" s="21">
        <v>17657673</v>
      </c>
      <c r="AQ255" s="21">
        <v>17585620</v>
      </c>
      <c r="AR255" s="21">
        <v>18126797</v>
      </c>
      <c r="AS255" s="21">
        <v>16896323</v>
      </c>
      <c r="AT255" s="21">
        <v>17355124</v>
      </c>
      <c r="AU255" s="21">
        <v>17141286</v>
      </c>
      <c r="AV255" s="21">
        <v>16938782</v>
      </c>
      <c r="AW255" s="21">
        <v>16145290</v>
      </c>
      <c r="AX255" s="21">
        <v>15476971</v>
      </c>
      <c r="AY255" s="21">
        <v>16262384</v>
      </c>
      <c r="AZ255" s="21">
        <v>16608622</v>
      </c>
      <c r="BA255" s="21">
        <v>16037539</v>
      </c>
      <c r="BB255" s="21">
        <v>16699613</v>
      </c>
      <c r="BC255" s="21">
        <v>16903567</v>
      </c>
      <c r="BD255" s="21">
        <v>16427690</v>
      </c>
      <c r="BE255" s="21">
        <v>17964315</v>
      </c>
      <c r="BF255" s="21">
        <v>18447389</v>
      </c>
      <c r="BG255" s="21">
        <v>17630490</v>
      </c>
      <c r="BH255" s="21">
        <v>17458953</v>
      </c>
      <c r="BI255" s="21">
        <v>17874142</v>
      </c>
      <c r="BJ255" s="21">
        <v>19550028</v>
      </c>
      <c r="BK255" s="21">
        <v>19843944</v>
      </c>
      <c r="BL255" s="21">
        <v>18881728</v>
      </c>
      <c r="BM255" s="21">
        <v>19385117</v>
      </c>
    </row>
    <row r="256" spans="1:65" x14ac:dyDescent="0.2">
      <c r="A256" s="21" t="s">
        <v>1413</v>
      </c>
      <c r="B256" s="21" t="s">
        <v>1414</v>
      </c>
      <c r="C256" s="21" t="s">
        <v>799</v>
      </c>
      <c r="D256" s="21">
        <v>12385366</v>
      </c>
      <c r="E256" s="21">
        <v>12926392</v>
      </c>
      <c r="F256" s="21">
        <v>13730841</v>
      </c>
      <c r="G256" s="21">
        <v>14419107</v>
      </c>
      <c r="H256" s="21">
        <v>15297642</v>
      </c>
      <c r="I256" s="21">
        <v>15779457</v>
      </c>
      <c r="J256" s="21">
        <v>17005781</v>
      </c>
      <c r="K256" s="21">
        <v>17964988</v>
      </c>
      <c r="L256" s="21">
        <v>19204569</v>
      </c>
      <c r="M256" s="21">
        <v>20657964</v>
      </c>
      <c r="N256" s="21">
        <v>21692710</v>
      </c>
      <c r="O256" s="21">
        <v>22365248</v>
      </c>
      <c r="P256" s="21">
        <v>22682497</v>
      </c>
      <c r="Q256" s="21">
        <v>22595346</v>
      </c>
      <c r="R256" s="21">
        <v>21729561</v>
      </c>
      <c r="S256" s="21">
        <v>19977076</v>
      </c>
      <c r="T256" s="21">
        <v>20381227</v>
      </c>
      <c r="U256" s="21">
        <v>19972477</v>
      </c>
      <c r="V256" s="21">
        <v>20067662</v>
      </c>
      <c r="W256" s="21">
        <v>20687615</v>
      </c>
      <c r="X256" s="21">
        <v>20226934</v>
      </c>
      <c r="Y256" s="21">
        <v>19749623</v>
      </c>
      <c r="Z256" s="21">
        <v>18367053</v>
      </c>
      <c r="AA256" s="21">
        <v>17212020</v>
      </c>
      <c r="AB256" s="21">
        <v>18389567</v>
      </c>
      <c r="AC256" s="21">
        <v>17713531</v>
      </c>
      <c r="AD256" s="21">
        <v>16603236</v>
      </c>
      <c r="AE256" s="21">
        <v>17646792</v>
      </c>
      <c r="AF256" s="21">
        <v>18460278</v>
      </c>
      <c r="AG256" s="21">
        <v>19607316</v>
      </c>
      <c r="AH256" s="21">
        <v>19627801</v>
      </c>
      <c r="AI256" s="21">
        <v>20033047</v>
      </c>
      <c r="AJ256" s="21">
        <v>20723809</v>
      </c>
      <c r="AK256" s="21">
        <v>21255357</v>
      </c>
      <c r="AL256" s="21">
        <v>21757307</v>
      </c>
      <c r="AM256" s="21">
        <v>22720621</v>
      </c>
      <c r="AN256" s="21">
        <v>23151345</v>
      </c>
      <c r="AO256" s="21">
        <v>23372324</v>
      </c>
      <c r="AP256" s="21">
        <v>22911552</v>
      </c>
      <c r="AQ256" s="21">
        <v>22925260</v>
      </c>
      <c r="AR256" s="21">
        <v>23815293</v>
      </c>
      <c r="AS256" s="21">
        <v>22747645</v>
      </c>
      <c r="AT256" s="21">
        <v>23513541</v>
      </c>
      <c r="AU256" s="21">
        <v>22822564</v>
      </c>
      <c r="AV256" s="21">
        <v>22927283</v>
      </c>
      <c r="AW256" s="21">
        <v>22567132</v>
      </c>
      <c r="AX256" s="21">
        <v>22225318</v>
      </c>
      <c r="AY256" s="21">
        <v>23670821</v>
      </c>
      <c r="AZ256" s="21">
        <v>23836273</v>
      </c>
      <c r="BA256" s="21">
        <v>23421003</v>
      </c>
      <c r="BB256" s="21">
        <v>24568039</v>
      </c>
      <c r="BC256" s="21">
        <v>24953771</v>
      </c>
      <c r="BD256" s="21">
        <v>26075691</v>
      </c>
      <c r="BE256" s="21">
        <v>26788768</v>
      </c>
      <c r="BF256" s="21">
        <v>27376838</v>
      </c>
      <c r="BG256" s="21">
        <v>28179686</v>
      </c>
      <c r="BH256" s="21">
        <v>28392790</v>
      </c>
      <c r="BI256" s="21">
        <v>28056891</v>
      </c>
      <c r="BJ256" s="21">
        <v>31163246</v>
      </c>
      <c r="BK256" s="21">
        <v>32236174</v>
      </c>
      <c r="BL256" s="21">
        <v>31562036</v>
      </c>
      <c r="BM256" s="21">
        <v>31655918</v>
      </c>
    </row>
    <row r="257" spans="1:65" x14ac:dyDescent="0.2">
      <c r="A257" s="21" t="s">
        <v>1413</v>
      </c>
      <c r="B257" s="21" t="s">
        <v>1414</v>
      </c>
      <c r="C257" s="21" t="s">
        <v>801</v>
      </c>
      <c r="D257" s="21">
        <v>6026</v>
      </c>
      <c r="E257" s="21">
        <v>19678</v>
      </c>
      <c r="F257" s="21">
        <v>26394</v>
      </c>
      <c r="G257" s="21">
        <v>38147</v>
      </c>
      <c r="H257" s="21">
        <v>39819</v>
      </c>
      <c r="I257" s="21">
        <v>43164</v>
      </c>
      <c r="J257" s="21">
        <v>64158</v>
      </c>
      <c r="K257" s="21">
        <v>88456</v>
      </c>
      <c r="L257" s="21">
        <v>141534</v>
      </c>
      <c r="M257" s="21">
        <v>153722</v>
      </c>
      <c r="N257" s="21">
        <v>239347</v>
      </c>
      <c r="O257" s="21">
        <v>412939</v>
      </c>
      <c r="P257" s="21">
        <v>583752</v>
      </c>
      <c r="Q257" s="21">
        <v>910177</v>
      </c>
      <c r="R257" s="21">
        <v>1272083</v>
      </c>
      <c r="S257" s="21">
        <v>1899798</v>
      </c>
      <c r="T257" s="21">
        <v>2111121</v>
      </c>
      <c r="U257" s="21">
        <v>2701762</v>
      </c>
      <c r="V257" s="21">
        <v>3024126</v>
      </c>
      <c r="W257" s="21">
        <v>2775827</v>
      </c>
      <c r="X257" s="21">
        <v>2739169</v>
      </c>
      <c r="Y257" s="21">
        <v>3007589</v>
      </c>
      <c r="Z257" s="21">
        <v>3131148</v>
      </c>
      <c r="AA257" s="21">
        <v>3202549</v>
      </c>
      <c r="AB257" s="21">
        <v>3552531</v>
      </c>
      <c r="AC257" s="21">
        <v>4075563</v>
      </c>
      <c r="AD257" s="21">
        <v>4380109</v>
      </c>
      <c r="AE257" s="21">
        <v>4753933</v>
      </c>
      <c r="AF257" s="21">
        <v>5586968</v>
      </c>
      <c r="AG257" s="21">
        <v>5602161</v>
      </c>
      <c r="AH257" s="21">
        <v>6104350</v>
      </c>
      <c r="AI257" s="21">
        <v>6422132</v>
      </c>
      <c r="AJ257" s="21">
        <v>6479206</v>
      </c>
      <c r="AK257" s="21">
        <v>6410499</v>
      </c>
      <c r="AL257" s="21">
        <v>6693877</v>
      </c>
      <c r="AM257" s="21">
        <v>7075436</v>
      </c>
      <c r="AN257" s="21">
        <v>7086674</v>
      </c>
      <c r="AO257" s="21">
        <v>6596992</v>
      </c>
      <c r="AP257" s="21">
        <v>7067809</v>
      </c>
      <c r="AQ257" s="21">
        <v>7610256</v>
      </c>
      <c r="AR257" s="21">
        <v>7862349</v>
      </c>
      <c r="AS257" s="21">
        <v>8028853</v>
      </c>
      <c r="AT257" s="21">
        <v>8145429</v>
      </c>
      <c r="AU257" s="21">
        <v>7959622</v>
      </c>
      <c r="AV257" s="21">
        <v>8222774</v>
      </c>
      <c r="AW257" s="21">
        <v>8160810</v>
      </c>
      <c r="AX257" s="21">
        <v>8214626</v>
      </c>
      <c r="AY257" s="21">
        <v>8458589</v>
      </c>
      <c r="AZ257" s="21">
        <v>8426491</v>
      </c>
      <c r="BA257" s="21">
        <v>8355220</v>
      </c>
      <c r="BB257" s="21">
        <v>8434433</v>
      </c>
      <c r="BC257" s="21">
        <v>8268698</v>
      </c>
      <c r="BD257" s="21">
        <v>8061822</v>
      </c>
      <c r="BE257" s="21">
        <v>8244433</v>
      </c>
      <c r="BF257" s="21">
        <v>8337559</v>
      </c>
      <c r="BG257" s="21">
        <v>8336886</v>
      </c>
      <c r="BH257" s="21">
        <v>8426753</v>
      </c>
      <c r="BI257" s="21">
        <v>8418968</v>
      </c>
      <c r="BJ257" s="21">
        <v>8438068</v>
      </c>
      <c r="BK257" s="21">
        <v>8451852</v>
      </c>
      <c r="BL257" s="21">
        <v>8251075</v>
      </c>
      <c r="BM257" s="21">
        <v>8128952</v>
      </c>
    </row>
    <row r="258" spans="1:65" x14ac:dyDescent="0.2">
      <c r="A258" s="21" t="s">
        <v>1413</v>
      </c>
      <c r="B258" s="21" t="s">
        <v>1414</v>
      </c>
      <c r="C258" s="21" t="s">
        <v>805</v>
      </c>
      <c r="D258" s="21">
        <v>518</v>
      </c>
      <c r="E258" s="21">
        <v>1692</v>
      </c>
      <c r="F258" s="21">
        <v>2270</v>
      </c>
      <c r="G258" s="21">
        <v>3212</v>
      </c>
      <c r="H258" s="21">
        <v>3343</v>
      </c>
      <c r="I258" s="21">
        <v>3657</v>
      </c>
      <c r="J258" s="21">
        <v>5520</v>
      </c>
      <c r="K258" s="21">
        <v>7655</v>
      </c>
      <c r="L258" s="21">
        <v>12528</v>
      </c>
      <c r="M258" s="21">
        <v>13928</v>
      </c>
      <c r="N258" s="21">
        <v>21804</v>
      </c>
      <c r="O258" s="21">
        <v>38105</v>
      </c>
      <c r="P258" s="21">
        <v>54091</v>
      </c>
      <c r="Q258" s="21">
        <v>83479</v>
      </c>
      <c r="R258" s="21">
        <v>113976</v>
      </c>
      <c r="S258" s="21">
        <v>172505</v>
      </c>
      <c r="T258" s="21">
        <v>191104</v>
      </c>
      <c r="U258" s="21">
        <v>250883</v>
      </c>
      <c r="V258" s="21">
        <v>276403</v>
      </c>
      <c r="W258" s="21">
        <v>255155</v>
      </c>
      <c r="X258" s="21">
        <v>251116</v>
      </c>
      <c r="Y258" s="21">
        <v>272674</v>
      </c>
      <c r="Z258" s="21">
        <v>282773</v>
      </c>
      <c r="AA258" s="21">
        <v>293677</v>
      </c>
      <c r="AB258" s="21">
        <v>327634</v>
      </c>
      <c r="AC258" s="21">
        <v>383691</v>
      </c>
      <c r="AD258" s="21">
        <v>414038</v>
      </c>
      <c r="AE258" s="21">
        <v>455270</v>
      </c>
      <c r="AF258" s="21">
        <v>526973</v>
      </c>
      <c r="AG258" s="21">
        <v>529355</v>
      </c>
      <c r="AH258" s="21">
        <v>576862</v>
      </c>
      <c r="AI258" s="21">
        <v>612565</v>
      </c>
      <c r="AJ258" s="21">
        <v>618776</v>
      </c>
      <c r="AK258" s="21">
        <v>610291</v>
      </c>
      <c r="AL258" s="21">
        <v>640440</v>
      </c>
      <c r="AM258" s="21">
        <v>673402</v>
      </c>
      <c r="AN258" s="21">
        <v>674729</v>
      </c>
      <c r="AO258" s="21">
        <v>628644</v>
      </c>
      <c r="AP258" s="21">
        <v>673702</v>
      </c>
      <c r="AQ258" s="21">
        <v>728254</v>
      </c>
      <c r="AR258" s="21">
        <v>753893</v>
      </c>
      <c r="AS258" s="21">
        <v>768826</v>
      </c>
      <c r="AT258" s="21">
        <v>780064</v>
      </c>
      <c r="AU258" s="21">
        <v>763733</v>
      </c>
      <c r="AV258" s="21">
        <v>788528</v>
      </c>
      <c r="AW258" s="21">
        <v>781986</v>
      </c>
      <c r="AX258" s="21">
        <v>787219</v>
      </c>
      <c r="AY258" s="21">
        <v>806425</v>
      </c>
      <c r="AZ258" s="21">
        <v>806208</v>
      </c>
      <c r="BA258" s="21">
        <v>798855</v>
      </c>
      <c r="BB258" s="21">
        <v>806968</v>
      </c>
      <c r="BC258" s="21">
        <v>790204</v>
      </c>
      <c r="BD258" s="21">
        <v>769331</v>
      </c>
      <c r="BE258" s="21">
        <v>789016</v>
      </c>
      <c r="BF258" s="21">
        <v>797166</v>
      </c>
      <c r="BG258" s="21">
        <v>797178</v>
      </c>
      <c r="BH258" s="21">
        <v>805694</v>
      </c>
      <c r="BI258" s="21">
        <v>804950</v>
      </c>
      <c r="BJ258" s="21">
        <v>807084</v>
      </c>
      <c r="BK258" s="21">
        <v>809409</v>
      </c>
      <c r="BL258" s="21">
        <v>789879</v>
      </c>
      <c r="BM258" s="21">
        <v>778188</v>
      </c>
    </row>
    <row r="259" spans="1:65" x14ac:dyDescent="0.2">
      <c r="A259" s="21" t="s">
        <v>1413</v>
      </c>
      <c r="B259" s="21" t="s">
        <v>1414</v>
      </c>
      <c r="C259" s="21" t="s">
        <v>809</v>
      </c>
      <c r="D259" s="21">
        <v>6026</v>
      </c>
      <c r="E259" s="21">
        <v>19678</v>
      </c>
      <c r="F259" s="21">
        <v>26394</v>
      </c>
      <c r="G259" s="21">
        <v>38147</v>
      </c>
      <c r="H259" s="21">
        <v>39819</v>
      </c>
      <c r="I259" s="21">
        <v>43164</v>
      </c>
      <c r="J259" s="21">
        <v>64158</v>
      </c>
      <c r="K259" s="21">
        <v>88456</v>
      </c>
      <c r="L259" s="21">
        <v>141534</v>
      </c>
      <c r="M259" s="21">
        <v>153722</v>
      </c>
      <c r="N259" s="21">
        <v>239347</v>
      </c>
      <c r="O259" s="21">
        <v>412939</v>
      </c>
      <c r="P259" s="21">
        <v>583752</v>
      </c>
      <c r="Q259" s="21">
        <v>910177</v>
      </c>
      <c r="R259" s="21">
        <v>1272083</v>
      </c>
      <c r="S259" s="21">
        <v>1899798</v>
      </c>
      <c r="T259" s="21">
        <v>2111121</v>
      </c>
      <c r="U259" s="21">
        <v>2701762</v>
      </c>
      <c r="V259" s="21">
        <v>3024126</v>
      </c>
      <c r="W259" s="21">
        <v>2775827</v>
      </c>
      <c r="X259" s="21">
        <v>2739169</v>
      </c>
      <c r="Y259" s="21">
        <v>3007589</v>
      </c>
      <c r="Z259" s="21">
        <v>3131148</v>
      </c>
      <c r="AA259" s="21">
        <v>3202549</v>
      </c>
      <c r="AB259" s="21">
        <v>3552531</v>
      </c>
      <c r="AC259" s="21">
        <v>4075563</v>
      </c>
      <c r="AD259" s="21">
        <v>4380109</v>
      </c>
      <c r="AE259" s="21">
        <v>4753933</v>
      </c>
      <c r="AF259" s="21">
        <v>5586968</v>
      </c>
      <c r="AG259" s="21">
        <v>5602161</v>
      </c>
      <c r="AH259" s="21">
        <v>6104350</v>
      </c>
      <c r="AI259" s="21">
        <v>6422132</v>
      </c>
      <c r="AJ259" s="21">
        <v>6479206</v>
      </c>
      <c r="AK259" s="21">
        <v>6410499</v>
      </c>
      <c r="AL259" s="21">
        <v>6693877</v>
      </c>
      <c r="AM259" s="21">
        <v>7075436</v>
      </c>
      <c r="AN259" s="21">
        <v>7086674</v>
      </c>
      <c r="AO259" s="21">
        <v>6596992</v>
      </c>
      <c r="AP259" s="21">
        <v>7067809</v>
      </c>
      <c r="AQ259" s="21">
        <v>7610256</v>
      </c>
      <c r="AR259" s="21">
        <v>7862349</v>
      </c>
      <c r="AS259" s="21">
        <v>8028853</v>
      </c>
      <c r="AT259" s="21">
        <v>8145429</v>
      </c>
      <c r="AU259" s="21">
        <v>7959622</v>
      </c>
      <c r="AV259" s="21">
        <v>8222774</v>
      </c>
      <c r="AW259" s="21">
        <v>8160810</v>
      </c>
      <c r="AX259" s="21">
        <v>8214626</v>
      </c>
      <c r="AY259" s="21">
        <v>8458589</v>
      </c>
      <c r="AZ259" s="21">
        <v>8426491</v>
      </c>
      <c r="BA259" s="21">
        <v>8355220</v>
      </c>
      <c r="BB259" s="21">
        <v>8434433</v>
      </c>
      <c r="BC259" s="21">
        <v>8268698</v>
      </c>
      <c r="BD259" s="21">
        <v>8061822</v>
      </c>
      <c r="BE259" s="21">
        <v>8244433</v>
      </c>
      <c r="BF259" s="21">
        <v>8337559</v>
      </c>
      <c r="BG259" s="21">
        <v>8336886</v>
      </c>
      <c r="BH259" s="21">
        <v>8426753</v>
      </c>
      <c r="BI259" s="21">
        <v>8418968</v>
      </c>
      <c r="BJ259" s="21">
        <v>8438068</v>
      </c>
      <c r="BK259" s="21">
        <v>8451852</v>
      </c>
      <c r="BL259" s="21">
        <v>8251075</v>
      </c>
      <c r="BM259" s="21">
        <v>8128952</v>
      </c>
    </row>
    <row r="260" spans="1:65" x14ac:dyDescent="0.2">
      <c r="A260" s="21" t="s">
        <v>1413</v>
      </c>
      <c r="B260" s="21" t="s">
        <v>1414</v>
      </c>
      <c r="C260" s="21" t="s">
        <v>813</v>
      </c>
      <c r="D260" s="21">
        <v>11.629</v>
      </c>
      <c r="E260" s="21">
        <v>11.629</v>
      </c>
      <c r="F260" s="21">
        <v>11.629</v>
      </c>
      <c r="G260" s="21">
        <v>11.877000000000001</v>
      </c>
      <c r="H260" s="21">
        <v>11.912000000000001</v>
      </c>
      <c r="I260" s="21">
        <v>11.804</v>
      </c>
      <c r="J260" s="21">
        <v>11.622999999999999</v>
      </c>
      <c r="K260" s="21">
        <v>11.555</v>
      </c>
      <c r="L260" s="21">
        <v>11.297000000000001</v>
      </c>
      <c r="M260" s="21">
        <v>11.037000000000001</v>
      </c>
      <c r="N260" s="21">
        <v>10.977</v>
      </c>
      <c r="O260" s="21">
        <v>10.837</v>
      </c>
      <c r="P260" s="21">
        <v>10.792</v>
      </c>
      <c r="Q260" s="21">
        <v>10.903</v>
      </c>
      <c r="R260" s="21">
        <v>11.161</v>
      </c>
      <c r="S260" s="21">
        <v>11.013</v>
      </c>
      <c r="T260" s="21">
        <v>11.047000000000001</v>
      </c>
      <c r="U260" s="21">
        <v>10.769</v>
      </c>
      <c r="V260" s="21">
        <v>10.941000000000001</v>
      </c>
      <c r="W260" s="21">
        <v>10.879</v>
      </c>
      <c r="X260" s="21">
        <v>10.907999999999999</v>
      </c>
      <c r="Y260" s="21">
        <v>11.03</v>
      </c>
      <c r="Z260" s="21">
        <v>11.073</v>
      </c>
      <c r="AA260" s="21">
        <v>10.904999999999999</v>
      </c>
      <c r="AB260" s="21">
        <v>10.843</v>
      </c>
      <c r="AC260" s="21">
        <v>10.622</v>
      </c>
      <c r="AD260" s="21">
        <v>10.579000000000001</v>
      </c>
      <c r="AE260" s="21">
        <v>10.442</v>
      </c>
      <c r="AF260" s="21">
        <v>10.602</v>
      </c>
      <c r="AG260" s="21">
        <v>10.583</v>
      </c>
      <c r="AH260" s="21">
        <v>10.582000000000001</v>
      </c>
      <c r="AI260" s="21">
        <v>10.484</v>
      </c>
      <c r="AJ260" s="21">
        <v>10.471</v>
      </c>
      <c r="AK260" s="21">
        <v>10.504</v>
      </c>
      <c r="AL260" s="21">
        <v>10.452</v>
      </c>
      <c r="AM260" s="21">
        <v>10.507</v>
      </c>
      <c r="AN260" s="21">
        <v>10.503</v>
      </c>
      <c r="AO260" s="21">
        <v>10.494</v>
      </c>
      <c r="AP260" s="21">
        <v>10.491</v>
      </c>
      <c r="AQ260" s="21">
        <v>10.45</v>
      </c>
      <c r="AR260" s="21">
        <v>10.429</v>
      </c>
      <c r="AS260" s="21">
        <v>10.443</v>
      </c>
      <c r="AT260" s="21">
        <v>10.442</v>
      </c>
      <c r="AU260" s="21">
        <v>10.422000000000001</v>
      </c>
      <c r="AV260" s="21">
        <v>10.428000000000001</v>
      </c>
      <c r="AW260" s="21">
        <v>10.436</v>
      </c>
      <c r="AX260" s="21">
        <v>10.435</v>
      </c>
      <c r="AY260" s="21">
        <v>10.489000000000001</v>
      </c>
      <c r="AZ260" s="21">
        <v>10.452</v>
      </c>
      <c r="BA260" s="21">
        <v>10.459</v>
      </c>
      <c r="BB260" s="21">
        <v>10.452</v>
      </c>
      <c r="BC260" s="21">
        <v>10.464</v>
      </c>
      <c r="BD260" s="21">
        <v>10.478999999999999</v>
      </c>
      <c r="BE260" s="21">
        <v>10.449</v>
      </c>
      <c r="BF260" s="21">
        <v>10.459</v>
      </c>
      <c r="BG260" s="21">
        <v>10.458</v>
      </c>
      <c r="BH260" s="21">
        <v>10.459</v>
      </c>
      <c r="BI260" s="21">
        <v>10.459</v>
      </c>
      <c r="BJ260" s="21">
        <v>10.455</v>
      </c>
      <c r="BK260" s="21">
        <v>10.442</v>
      </c>
      <c r="BL260" s="21">
        <v>10.446</v>
      </c>
      <c r="BM260" s="21">
        <v>10.446</v>
      </c>
    </row>
    <row r="261" spans="1:65" x14ac:dyDescent="0.2">
      <c r="A261" s="21" t="s">
        <v>1413</v>
      </c>
      <c r="B261" s="21" t="s">
        <v>1414</v>
      </c>
      <c r="C261" s="21" t="s">
        <v>815</v>
      </c>
      <c r="D261" s="21">
        <v>518</v>
      </c>
      <c r="E261" s="21">
        <v>1692</v>
      </c>
      <c r="F261" s="21">
        <v>2270</v>
      </c>
      <c r="G261" s="21">
        <v>3212</v>
      </c>
      <c r="H261" s="21">
        <v>3343</v>
      </c>
      <c r="I261" s="21">
        <v>3657</v>
      </c>
      <c r="J261" s="21">
        <v>5520</v>
      </c>
      <c r="K261" s="21">
        <v>7655</v>
      </c>
      <c r="L261" s="21">
        <v>12528</v>
      </c>
      <c r="M261" s="21">
        <v>13928</v>
      </c>
      <c r="N261" s="21">
        <v>21804</v>
      </c>
      <c r="O261" s="21">
        <v>38105</v>
      </c>
      <c r="P261" s="21">
        <v>54091</v>
      </c>
      <c r="Q261" s="21">
        <v>83479</v>
      </c>
      <c r="R261" s="21">
        <v>113976</v>
      </c>
      <c r="S261" s="21">
        <v>172505</v>
      </c>
      <c r="T261" s="21">
        <v>191104</v>
      </c>
      <c r="U261" s="21">
        <v>250883</v>
      </c>
      <c r="V261" s="21">
        <v>276403</v>
      </c>
      <c r="W261" s="21">
        <v>255155</v>
      </c>
      <c r="X261" s="21">
        <v>251116</v>
      </c>
      <c r="Y261" s="21">
        <v>272674</v>
      </c>
      <c r="Z261" s="21">
        <v>282773</v>
      </c>
      <c r="AA261" s="21">
        <v>293677</v>
      </c>
      <c r="AB261" s="21">
        <v>327634</v>
      </c>
      <c r="AC261" s="21">
        <v>383691</v>
      </c>
      <c r="AD261" s="21">
        <v>414038</v>
      </c>
      <c r="AE261" s="21">
        <v>455270</v>
      </c>
      <c r="AF261" s="21">
        <v>526973</v>
      </c>
      <c r="AG261" s="21">
        <v>529355</v>
      </c>
      <c r="AH261" s="21">
        <v>576862</v>
      </c>
      <c r="AI261" s="21">
        <v>612565</v>
      </c>
      <c r="AJ261" s="21">
        <v>618776</v>
      </c>
      <c r="AK261" s="21">
        <v>610291</v>
      </c>
      <c r="AL261" s="21">
        <v>640440</v>
      </c>
      <c r="AM261" s="21">
        <v>673402</v>
      </c>
      <c r="AN261" s="21">
        <v>674729</v>
      </c>
      <c r="AO261" s="21">
        <v>628644</v>
      </c>
      <c r="AP261" s="21">
        <v>673702</v>
      </c>
      <c r="AQ261" s="21">
        <v>728254</v>
      </c>
      <c r="AR261" s="21">
        <v>753893</v>
      </c>
      <c r="AS261" s="21">
        <v>768826</v>
      </c>
      <c r="AT261" s="21">
        <v>780064</v>
      </c>
      <c r="AU261" s="21">
        <v>763733</v>
      </c>
      <c r="AV261" s="21">
        <v>788528</v>
      </c>
      <c r="AW261" s="21">
        <v>781986</v>
      </c>
      <c r="AX261" s="21">
        <v>787219</v>
      </c>
      <c r="AY261" s="21">
        <v>806425</v>
      </c>
      <c r="AZ261" s="21">
        <v>806208</v>
      </c>
      <c r="BA261" s="21">
        <v>798855</v>
      </c>
      <c r="BB261" s="21">
        <v>806968</v>
      </c>
      <c r="BC261" s="21">
        <v>790204</v>
      </c>
      <c r="BD261" s="21">
        <v>769331</v>
      </c>
      <c r="BE261" s="21">
        <v>789016</v>
      </c>
      <c r="BF261" s="21">
        <v>797166</v>
      </c>
      <c r="BG261" s="21">
        <v>797178</v>
      </c>
      <c r="BH261" s="21">
        <v>805694</v>
      </c>
      <c r="BI261" s="21">
        <v>804950</v>
      </c>
      <c r="BJ261" s="21">
        <v>807084</v>
      </c>
      <c r="BK261" s="21">
        <v>809409</v>
      </c>
      <c r="BL261" s="21">
        <v>789879</v>
      </c>
      <c r="BM261" s="21">
        <v>778188</v>
      </c>
    </row>
    <row r="262" spans="1:65" x14ac:dyDescent="0.2">
      <c r="A262" s="21" t="s">
        <v>1413</v>
      </c>
      <c r="B262" s="21" t="s">
        <v>1414</v>
      </c>
      <c r="C262" s="21" t="s">
        <v>819</v>
      </c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>
        <v>100755</v>
      </c>
      <c r="BA262" s="21">
        <v>101004</v>
      </c>
      <c r="BB262" s="21">
        <v>101167</v>
      </c>
      <c r="BC262" s="21">
        <v>101419</v>
      </c>
      <c r="BD262" s="21">
        <v>101885</v>
      </c>
      <c r="BE262" s="21">
        <v>99240</v>
      </c>
      <c r="BF262" s="21">
        <v>98569</v>
      </c>
      <c r="BG262" s="21">
        <v>98672</v>
      </c>
      <c r="BH262" s="21">
        <v>99565</v>
      </c>
      <c r="BI262" s="21">
        <v>99629</v>
      </c>
      <c r="BJ262" s="21">
        <v>99433</v>
      </c>
      <c r="BK262" s="21">
        <v>98119</v>
      </c>
      <c r="BL262" s="21">
        <v>96501</v>
      </c>
      <c r="BM262" s="21">
        <v>95546</v>
      </c>
    </row>
    <row r="263" spans="1:65" x14ac:dyDescent="0.2">
      <c r="A263" s="21" t="s">
        <v>1413</v>
      </c>
      <c r="B263" s="21" t="s">
        <v>1414</v>
      </c>
      <c r="C263" s="21" t="s">
        <v>821</v>
      </c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>
        <v>1687282</v>
      </c>
      <c r="BC263" s="21">
        <v>1617596</v>
      </c>
      <c r="BD263" s="21">
        <v>1674396</v>
      </c>
      <c r="BE263" s="21">
        <v>1807840</v>
      </c>
      <c r="BF263" s="21">
        <v>1847340</v>
      </c>
      <c r="BG263" s="21">
        <v>2009062</v>
      </c>
      <c r="BH263" s="21">
        <v>2013060</v>
      </c>
      <c r="BI263" s="21">
        <v>2146742</v>
      </c>
      <c r="BJ263" s="21">
        <v>2474808</v>
      </c>
      <c r="BK263" s="21">
        <v>2679844</v>
      </c>
      <c r="BL263" s="21">
        <v>2797987</v>
      </c>
      <c r="BM263" s="21">
        <v>3068421</v>
      </c>
    </row>
    <row r="264" spans="1:65" x14ac:dyDescent="0.2">
      <c r="A264" s="21" t="s">
        <v>1413</v>
      </c>
      <c r="B264" s="21" t="s">
        <v>1414</v>
      </c>
      <c r="C264" s="21" t="s">
        <v>823</v>
      </c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>
        <v>1995</v>
      </c>
      <c r="BA264" s="21">
        <v>1932</v>
      </c>
      <c r="BB264" s="21">
        <v>2161</v>
      </c>
      <c r="BC264" s="21">
        <v>1934</v>
      </c>
      <c r="BD264" s="21">
        <v>1946</v>
      </c>
      <c r="BE264" s="21">
        <v>2108</v>
      </c>
      <c r="BF264" s="21">
        <v>1914</v>
      </c>
      <c r="BG264" s="21">
        <v>2500</v>
      </c>
      <c r="BH264" s="21">
        <v>2457</v>
      </c>
      <c r="BI264" s="21">
        <v>2376</v>
      </c>
      <c r="BJ264" s="21">
        <v>2544</v>
      </c>
      <c r="BK264" s="21">
        <v>2499</v>
      </c>
      <c r="BL264" s="21">
        <v>2275</v>
      </c>
      <c r="BM264" s="21">
        <v>1888</v>
      </c>
    </row>
    <row r="265" spans="1:65" x14ac:dyDescent="0.2">
      <c r="A265" s="21" t="s">
        <v>1413</v>
      </c>
      <c r="B265" s="21" t="s">
        <v>1414</v>
      </c>
      <c r="C265" s="21" t="s">
        <v>825</v>
      </c>
      <c r="D265" s="21">
        <v>947559</v>
      </c>
      <c r="E265" s="21">
        <v>952652</v>
      </c>
      <c r="F265" s="21">
        <v>985967</v>
      </c>
      <c r="G265" s="21">
        <v>1187803</v>
      </c>
      <c r="H265" s="21">
        <v>1369500</v>
      </c>
      <c r="I265" s="21">
        <v>1389627</v>
      </c>
      <c r="J265" s="21">
        <v>1501125</v>
      </c>
      <c r="K265" s="21">
        <v>1548132</v>
      </c>
      <c r="L265" s="21">
        <v>1679046</v>
      </c>
      <c r="M265" s="21">
        <v>1759079</v>
      </c>
      <c r="N265" s="21">
        <v>1818243</v>
      </c>
      <c r="O265" s="21">
        <v>1827349</v>
      </c>
      <c r="P265" s="21">
        <v>2001321</v>
      </c>
      <c r="Q265" s="21">
        <v>2104090</v>
      </c>
      <c r="R265" s="21">
        <v>2138877</v>
      </c>
      <c r="S265" s="21">
        <v>2071473</v>
      </c>
      <c r="T265" s="21">
        <v>2408189</v>
      </c>
      <c r="U265" s="21">
        <v>2724138</v>
      </c>
      <c r="V265" s="21">
        <v>2927860</v>
      </c>
      <c r="W265" s="21">
        <v>3095524</v>
      </c>
      <c r="X265" s="21">
        <v>3073408</v>
      </c>
      <c r="Y265" s="21">
        <v>2249345</v>
      </c>
      <c r="Z265" s="21">
        <v>1860442</v>
      </c>
      <c r="AA265" s="21">
        <v>2154473</v>
      </c>
      <c r="AB265" s="21">
        <v>2100500</v>
      </c>
      <c r="AC265" s="21">
        <v>1944962</v>
      </c>
      <c r="AD265" s="21">
        <v>2119512</v>
      </c>
      <c r="AE265" s="21">
        <v>2206709</v>
      </c>
      <c r="AF265" s="21">
        <v>2473082</v>
      </c>
      <c r="AG265" s="21">
        <v>2451037</v>
      </c>
      <c r="AH265" s="21">
        <v>2589015</v>
      </c>
      <c r="AI265" s="21">
        <v>2391259</v>
      </c>
      <c r="AJ265" s="21">
        <v>2628865</v>
      </c>
      <c r="AK265" s="21">
        <v>2489480</v>
      </c>
      <c r="AL265" s="21">
        <v>2649429</v>
      </c>
      <c r="AM265" s="21">
        <v>2498893</v>
      </c>
      <c r="AN265" s="21">
        <v>2766129</v>
      </c>
      <c r="AO265" s="21">
        <v>2969285</v>
      </c>
      <c r="AP265" s="21">
        <v>2798583</v>
      </c>
      <c r="AQ265" s="21">
        <v>2763563</v>
      </c>
      <c r="AR265" s="21">
        <v>2636210</v>
      </c>
      <c r="AS265" s="21">
        <v>2793151</v>
      </c>
      <c r="AT265" s="21">
        <v>2816309</v>
      </c>
      <c r="AU265" s="21">
        <v>3043196</v>
      </c>
      <c r="AV265" s="21">
        <v>3205336</v>
      </c>
      <c r="AW265" s="21">
        <v>3121512</v>
      </c>
      <c r="AX265" s="21">
        <v>3276055</v>
      </c>
      <c r="AY265" s="21">
        <v>3133773</v>
      </c>
      <c r="AZ265" s="21">
        <v>2787674</v>
      </c>
      <c r="BA265" s="21">
        <v>2483296</v>
      </c>
      <c r="BB265" s="21">
        <v>2644509</v>
      </c>
      <c r="BC265" s="21">
        <v>2621385</v>
      </c>
      <c r="BD265" s="21">
        <v>2473650</v>
      </c>
      <c r="BE265" s="21">
        <v>2583051</v>
      </c>
      <c r="BF265" s="21">
        <v>2429690</v>
      </c>
      <c r="BG265" s="21">
        <v>2434536</v>
      </c>
      <c r="BH265" s="21">
        <v>2553240</v>
      </c>
      <c r="BI265" s="21">
        <v>2667407</v>
      </c>
      <c r="BJ265" s="21">
        <v>2630064</v>
      </c>
      <c r="BK265" s="21">
        <v>2585180</v>
      </c>
      <c r="BL265" s="21">
        <v>2432568</v>
      </c>
      <c r="BM265" s="21">
        <v>2359958</v>
      </c>
    </row>
    <row r="266" spans="1:65" x14ac:dyDescent="0.2">
      <c r="A266" s="21" t="s">
        <v>1413</v>
      </c>
      <c r="B266" s="21" t="s">
        <v>1414</v>
      </c>
      <c r="C266" s="21" t="s">
        <v>827</v>
      </c>
      <c r="D266" s="21">
        <v>0</v>
      </c>
      <c r="E266" s="21">
        <v>0</v>
      </c>
      <c r="F266" s="21">
        <v>0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  <c r="W266" s="21">
        <v>0</v>
      </c>
      <c r="X266" s="21">
        <v>0</v>
      </c>
      <c r="Y266" s="21">
        <v>0</v>
      </c>
      <c r="Z266" s="21">
        <v>0</v>
      </c>
      <c r="AA266" s="21">
        <v>0</v>
      </c>
      <c r="AB266" s="21">
        <v>0</v>
      </c>
      <c r="AC266" s="21">
        <v>0</v>
      </c>
      <c r="AD266" s="21">
        <v>0</v>
      </c>
      <c r="AE266" s="21">
        <v>0</v>
      </c>
      <c r="AF266" s="21">
        <v>0</v>
      </c>
      <c r="AG266" s="21">
        <v>0</v>
      </c>
      <c r="AH266" s="21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0</v>
      </c>
      <c r="AO266" s="21">
        <v>0</v>
      </c>
      <c r="AP266" s="21">
        <v>0</v>
      </c>
      <c r="AQ266" s="21">
        <v>0</v>
      </c>
      <c r="AR266" s="21">
        <v>0</v>
      </c>
      <c r="AS266" s="21">
        <v>0</v>
      </c>
      <c r="AT266" s="21">
        <v>0</v>
      </c>
      <c r="AU266" s="21">
        <v>0</v>
      </c>
      <c r="AV266" s="21">
        <v>0</v>
      </c>
      <c r="AW266" s="21">
        <v>0</v>
      </c>
      <c r="AX266" s="21">
        <v>0</v>
      </c>
      <c r="AY266" s="21">
        <v>0</v>
      </c>
      <c r="AZ266" s="21">
        <v>0</v>
      </c>
      <c r="BA266" s="21">
        <v>0</v>
      </c>
      <c r="BB266" s="21">
        <v>0</v>
      </c>
      <c r="BC266" s="21">
        <v>0</v>
      </c>
      <c r="BD266" s="21">
        <v>0</v>
      </c>
      <c r="BE266" s="21">
        <v>0</v>
      </c>
      <c r="BF266" s="21">
        <v>0</v>
      </c>
      <c r="BG266" s="21">
        <v>0</v>
      </c>
      <c r="BH266" s="21">
        <v>0</v>
      </c>
      <c r="BI266" s="21">
        <v>0</v>
      </c>
      <c r="BJ266" s="21">
        <v>0</v>
      </c>
      <c r="BK266" s="21">
        <v>0</v>
      </c>
      <c r="BL266" s="21">
        <v>0</v>
      </c>
      <c r="BM266" s="21">
        <v>263377</v>
      </c>
    </row>
    <row r="267" spans="1:65" x14ac:dyDescent="0.2">
      <c r="A267" s="21" t="s">
        <v>1413</v>
      </c>
      <c r="B267" s="21" t="s">
        <v>1414</v>
      </c>
      <c r="C267" s="21" t="s">
        <v>829</v>
      </c>
      <c r="D267" s="21">
        <v>0</v>
      </c>
      <c r="E267" s="21">
        <v>0</v>
      </c>
      <c r="F267" s="21">
        <v>0</v>
      </c>
      <c r="G267" s="21">
        <v>0</v>
      </c>
      <c r="H267" s="21">
        <v>0</v>
      </c>
      <c r="I267" s="21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>
        <v>0</v>
      </c>
      <c r="X267" s="21">
        <v>0</v>
      </c>
      <c r="Y267" s="21">
        <v>0</v>
      </c>
      <c r="Z267" s="21">
        <v>0</v>
      </c>
      <c r="AA267" s="21">
        <v>0</v>
      </c>
      <c r="AB267" s="21">
        <v>0</v>
      </c>
      <c r="AC267" s="21">
        <v>0</v>
      </c>
      <c r="AD267" s="21">
        <v>0</v>
      </c>
      <c r="AE267" s="21">
        <v>0</v>
      </c>
      <c r="AF267" s="21">
        <v>0</v>
      </c>
      <c r="AG267" s="21">
        <v>0</v>
      </c>
      <c r="AH267" s="21">
        <v>0</v>
      </c>
      <c r="AI267" s="21">
        <v>0</v>
      </c>
      <c r="AJ267" s="21">
        <v>0</v>
      </c>
      <c r="AK267" s="21">
        <v>0</v>
      </c>
      <c r="AL267" s="21">
        <v>0</v>
      </c>
      <c r="AM267" s="21">
        <v>0</v>
      </c>
      <c r="AN267" s="21">
        <v>0</v>
      </c>
      <c r="AO267" s="21">
        <v>0</v>
      </c>
      <c r="AP267" s="21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1">
        <v>0</v>
      </c>
      <c r="BD267" s="21">
        <v>0</v>
      </c>
      <c r="BE267" s="21">
        <v>0</v>
      </c>
      <c r="BF267" s="21">
        <v>0</v>
      </c>
      <c r="BG267" s="21">
        <v>0</v>
      </c>
      <c r="BH267" s="21">
        <v>0</v>
      </c>
      <c r="BI267" s="21">
        <v>0</v>
      </c>
      <c r="BJ267" s="21">
        <v>0</v>
      </c>
      <c r="BK267" s="21">
        <v>0</v>
      </c>
      <c r="BL267" s="21">
        <v>0</v>
      </c>
      <c r="BM267" s="21">
        <v>48519</v>
      </c>
    </row>
    <row r="268" spans="1:65" x14ac:dyDescent="0.2">
      <c r="A268" s="21" t="s">
        <v>1413</v>
      </c>
      <c r="B268" s="21" t="s">
        <v>1414</v>
      </c>
      <c r="C268" s="21" t="s">
        <v>834</v>
      </c>
      <c r="D268" s="21">
        <v>947559</v>
      </c>
      <c r="E268" s="21">
        <v>952652</v>
      </c>
      <c r="F268" s="21">
        <v>985967</v>
      </c>
      <c r="G268" s="21">
        <v>1187803</v>
      </c>
      <c r="H268" s="21">
        <v>1369500</v>
      </c>
      <c r="I268" s="21">
        <v>1389627</v>
      </c>
      <c r="J268" s="21">
        <v>1501125</v>
      </c>
      <c r="K268" s="21">
        <v>1548132</v>
      </c>
      <c r="L268" s="21">
        <v>1679046</v>
      </c>
      <c r="M268" s="21">
        <v>1759079</v>
      </c>
      <c r="N268" s="21">
        <v>1818243</v>
      </c>
      <c r="O268" s="21">
        <v>1827349</v>
      </c>
      <c r="P268" s="21">
        <v>2001321</v>
      </c>
      <c r="Q268" s="21">
        <v>2104090</v>
      </c>
      <c r="R268" s="21">
        <v>2138877</v>
      </c>
      <c r="S268" s="21">
        <v>2071473</v>
      </c>
      <c r="T268" s="21">
        <v>2408189</v>
      </c>
      <c r="U268" s="21">
        <v>2724138</v>
      </c>
      <c r="V268" s="21">
        <v>2927860</v>
      </c>
      <c r="W268" s="21">
        <v>3095524</v>
      </c>
      <c r="X268" s="21">
        <v>3073408</v>
      </c>
      <c r="Y268" s="21">
        <v>2249345</v>
      </c>
      <c r="Z268" s="21">
        <v>1860442</v>
      </c>
      <c r="AA268" s="21">
        <v>2154473</v>
      </c>
      <c r="AB268" s="21">
        <v>2100500</v>
      </c>
      <c r="AC268" s="21">
        <v>1944962</v>
      </c>
      <c r="AD268" s="21">
        <v>2119512</v>
      </c>
      <c r="AE268" s="21">
        <v>2206709</v>
      </c>
      <c r="AF268" s="21">
        <v>2473082</v>
      </c>
      <c r="AG268" s="21">
        <v>2451037</v>
      </c>
      <c r="AH268" s="21">
        <v>2589015</v>
      </c>
      <c r="AI268" s="21">
        <v>2391259</v>
      </c>
      <c r="AJ268" s="21">
        <v>2628865</v>
      </c>
      <c r="AK268" s="21">
        <v>2489480</v>
      </c>
      <c r="AL268" s="21">
        <v>2649429</v>
      </c>
      <c r="AM268" s="21">
        <v>2498893</v>
      </c>
      <c r="AN268" s="21">
        <v>2766129</v>
      </c>
      <c r="AO268" s="21">
        <v>2969285</v>
      </c>
      <c r="AP268" s="21">
        <v>2798583</v>
      </c>
      <c r="AQ268" s="21">
        <v>2763563</v>
      </c>
      <c r="AR268" s="21">
        <v>2636210</v>
      </c>
      <c r="AS268" s="21">
        <v>2793151</v>
      </c>
      <c r="AT268" s="21">
        <v>2816309</v>
      </c>
      <c r="AU268" s="21">
        <v>3043196</v>
      </c>
      <c r="AV268" s="21">
        <v>3205336</v>
      </c>
      <c r="AW268" s="21">
        <v>3121512</v>
      </c>
      <c r="AX268" s="21">
        <v>3276055</v>
      </c>
      <c r="AY268" s="21">
        <v>3133773</v>
      </c>
      <c r="AZ268" s="21">
        <v>2787674</v>
      </c>
      <c r="BA268" s="21">
        <v>2483296</v>
      </c>
      <c r="BB268" s="21">
        <v>2644509</v>
      </c>
      <c r="BC268" s="21">
        <v>2621385</v>
      </c>
      <c r="BD268" s="21">
        <v>2473650</v>
      </c>
      <c r="BE268" s="21">
        <v>2583051</v>
      </c>
      <c r="BF268" s="21">
        <v>2429690</v>
      </c>
      <c r="BG268" s="21">
        <v>2434536</v>
      </c>
      <c r="BH268" s="21">
        <v>2553240</v>
      </c>
      <c r="BI268" s="21">
        <v>2667407</v>
      </c>
      <c r="BJ268" s="21">
        <v>2630064</v>
      </c>
      <c r="BK268" s="21">
        <v>2585180</v>
      </c>
      <c r="BL268" s="21">
        <v>2432568</v>
      </c>
      <c r="BM268" s="21">
        <v>2359958</v>
      </c>
    </row>
    <row r="269" spans="1:65" x14ac:dyDescent="0.2">
      <c r="A269" s="21" t="s">
        <v>1413</v>
      </c>
      <c r="B269" s="21" t="s">
        <v>1414</v>
      </c>
      <c r="C269" s="21" t="s">
        <v>838</v>
      </c>
      <c r="D269" s="21">
        <v>159126</v>
      </c>
      <c r="E269" s="21">
        <v>160071</v>
      </c>
      <c r="F269" s="21">
        <v>165684</v>
      </c>
      <c r="G269" s="21">
        <v>202237</v>
      </c>
      <c r="H269" s="21">
        <v>236356</v>
      </c>
      <c r="I269" s="21">
        <v>239783</v>
      </c>
      <c r="J269" s="21">
        <v>260556</v>
      </c>
      <c r="K269" s="21">
        <v>269035</v>
      </c>
      <c r="L269" s="21">
        <v>291941</v>
      </c>
      <c r="M269" s="21">
        <v>305814</v>
      </c>
      <c r="N269" s="21">
        <v>315928</v>
      </c>
      <c r="O269" s="21">
        <v>317417</v>
      </c>
      <c r="P269" s="21">
        <v>347249</v>
      </c>
      <c r="Q269" s="21">
        <v>364792</v>
      </c>
      <c r="R269" s="21">
        <v>371232</v>
      </c>
      <c r="S269" s="21">
        <v>358364</v>
      </c>
      <c r="T269" s="21">
        <v>418307</v>
      </c>
      <c r="U269" s="21">
        <v>472421</v>
      </c>
      <c r="V269" s="21">
        <v>507725</v>
      </c>
      <c r="W269" s="21">
        <v>537757</v>
      </c>
      <c r="X269" s="21">
        <v>534333</v>
      </c>
      <c r="Y269" s="21">
        <v>386859</v>
      </c>
      <c r="Z269" s="21">
        <v>318508</v>
      </c>
      <c r="AA269" s="21">
        <v>369970</v>
      </c>
      <c r="AB269" s="21">
        <v>362814</v>
      </c>
      <c r="AC269" s="21">
        <v>331776</v>
      </c>
      <c r="AD269" s="21">
        <v>360901</v>
      </c>
      <c r="AE269" s="21">
        <v>379151</v>
      </c>
      <c r="AF269" s="21">
        <v>425436</v>
      </c>
      <c r="AG269" s="21">
        <v>424211</v>
      </c>
      <c r="AH269" s="21">
        <v>447139</v>
      </c>
      <c r="AI269" s="21">
        <v>410664</v>
      </c>
      <c r="AJ269" s="21">
        <v>455012</v>
      </c>
      <c r="AK269" s="21">
        <v>429267</v>
      </c>
      <c r="AL269" s="21">
        <v>457307</v>
      </c>
      <c r="AM269" s="21">
        <v>430870</v>
      </c>
      <c r="AN269" s="21">
        <v>478835</v>
      </c>
      <c r="AO269" s="21">
        <v>514708</v>
      </c>
      <c r="AP269" s="21">
        <v>486881</v>
      </c>
      <c r="AQ269" s="21">
        <v>480056</v>
      </c>
      <c r="AR269" s="21">
        <v>459234</v>
      </c>
      <c r="AS269" s="21">
        <v>483560</v>
      </c>
      <c r="AT269" s="21">
        <v>489700</v>
      </c>
      <c r="AU269" s="21">
        <v>528416</v>
      </c>
      <c r="AV269" s="21">
        <v>558292</v>
      </c>
      <c r="AW269" s="21">
        <v>543350</v>
      </c>
      <c r="AX269" s="21">
        <v>568194</v>
      </c>
      <c r="AY269" s="21">
        <v>542788</v>
      </c>
      <c r="AZ269" s="21">
        <v>482113</v>
      </c>
      <c r="BA269" s="21">
        <v>429028</v>
      </c>
      <c r="BB269" s="21">
        <v>456658</v>
      </c>
      <c r="BC269" s="21">
        <v>452479</v>
      </c>
      <c r="BD269" s="21">
        <v>426367</v>
      </c>
      <c r="BE269" s="21">
        <v>447691</v>
      </c>
      <c r="BF269" s="21">
        <v>420161</v>
      </c>
      <c r="BG269" s="21">
        <v>420677</v>
      </c>
      <c r="BH269" s="21">
        <v>428046</v>
      </c>
      <c r="BI269" s="21">
        <v>448339</v>
      </c>
      <c r="BJ269" s="21">
        <v>441591</v>
      </c>
      <c r="BK269" s="21">
        <v>433971</v>
      </c>
      <c r="BL269" s="21">
        <v>408421</v>
      </c>
      <c r="BM269" s="21">
        <v>394980</v>
      </c>
    </row>
    <row r="270" spans="1:65" x14ac:dyDescent="0.2">
      <c r="A270" s="21" t="s">
        <v>1413</v>
      </c>
      <c r="B270" s="21" t="s">
        <v>1414</v>
      </c>
      <c r="C270" s="21" t="s">
        <v>845</v>
      </c>
      <c r="D270" s="21">
        <v>947559</v>
      </c>
      <c r="E270" s="21">
        <v>952652</v>
      </c>
      <c r="F270" s="21">
        <v>985967</v>
      </c>
      <c r="G270" s="21">
        <v>1187803</v>
      </c>
      <c r="H270" s="21">
        <v>1369500</v>
      </c>
      <c r="I270" s="21">
        <v>1389627</v>
      </c>
      <c r="J270" s="21">
        <v>1501125</v>
      </c>
      <c r="K270" s="21">
        <v>1548132</v>
      </c>
      <c r="L270" s="21">
        <v>1679046</v>
      </c>
      <c r="M270" s="21">
        <v>1759079</v>
      </c>
      <c r="N270" s="21">
        <v>1818243</v>
      </c>
      <c r="O270" s="21">
        <v>1827349</v>
      </c>
      <c r="P270" s="21">
        <v>2001321</v>
      </c>
      <c r="Q270" s="21">
        <v>2104090</v>
      </c>
      <c r="R270" s="21">
        <v>2138877</v>
      </c>
      <c r="S270" s="21">
        <v>2071473</v>
      </c>
      <c r="T270" s="21">
        <v>2408189</v>
      </c>
      <c r="U270" s="21">
        <v>2724138</v>
      </c>
      <c r="V270" s="21">
        <v>2927860</v>
      </c>
      <c r="W270" s="21">
        <v>3095524</v>
      </c>
      <c r="X270" s="21">
        <v>3073408</v>
      </c>
      <c r="Y270" s="21">
        <v>2249345</v>
      </c>
      <c r="Z270" s="21">
        <v>1860442</v>
      </c>
      <c r="AA270" s="21">
        <v>2154473</v>
      </c>
      <c r="AB270" s="21">
        <v>2100500</v>
      </c>
      <c r="AC270" s="21">
        <v>1944962</v>
      </c>
      <c r="AD270" s="21">
        <v>2119512</v>
      </c>
      <c r="AE270" s="21">
        <v>2206709</v>
      </c>
      <c r="AF270" s="21">
        <v>2473082</v>
      </c>
      <c r="AG270" s="21">
        <v>2451037</v>
      </c>
      <c r="AH270" s="21">
        <v>2589015</v>
      </c>
      <c r="AI270" s="21">
        <v>2391259</v>
      </c>
      <c r="AJ270" s="21">
        <v>2628865</v>
      </c>
      <c r="AK270" s="21">
        <v>2489480</v>
      </c>
      <c r="AL270" s="21">
        <v>2649429</v>
      </c>
      <c r="AM270" s="21">
        <v>2498893</v>
      </c>
      <c r="AN270" s="21">
        <v>2766129</v>
      </c>
      <c r="AO270" s="21">
        <v>2969285</v>
      </c>
      <c r="AP270" s="21">
        <v>2798583</v>
      </c>
      <c r="AQ270" s="21">
        <v>2763563</v>
      </c>
      <c r="AR270" s="21">
        <v>2636210</v>
      </c>
      <c r="AS270" s="21">
        <v>2793151</v>
      </c>
      <c r="AT270" s="21">
        <v>2816309</v>
      </c>
      <c r="AU270" s="21">
        <v>3043196</v>
      </c>
      <c r="AV270" s="21">
        <v>3205336</v>
      </c>
      <c r="AW270" s="21">
        <v>3121512</v>
      </c>
      <c r="AX270" s="21">
        <v>3276055</v>
      </c>
      <c r="AY270" s="21">
        <v>3133773</v>
      </c>
      <c r="AZ270" s="21">
        <v>2787674</v>
      </c>
      <c r="BA270" s="21">
        <v>2483296</v>
      </c>
      <c r="BB270" s="21">
        <v>2644509</v>
      </c>
      <c r="BC270" s="21">
        <v>2621385</v>
      </c>
      <c r="BD270" s="21">
        <v>2473650</v>
      </c>
      <c r="BE270" s="21">
        <v>2583051</v>
      </c>
      <c r="BF270" s="21">
        <v>2429690</v>
      </c>
      <c r="BG270" s="21">
        <v>2434536</v>
      </c>
      <c r="BH270" s="21">
        <v>2553240</v>
      </c>
      <c r="BI270" s="21">
        <v>2667407</v>
      </c>
      <c r="BJ270" s="21">
        <v>2630064</v>
      </c>
      <c r="BK270" s="21">
        <v>2585180</v>
      </c>
      <c r="BL270" s="21">
        <v>2432568</v>
      </c>
      <c r="BM270" s="21">
        <v>2623335</v>
      </c>
    </row>
    <row r="271" spans="1:65" x14ac:dyDescent="0.2">
      <c r="A271" s="21" t="s">
        <v>1413</v>
      </c>
      <c r="B271" s="21" t="s">
        <v>1414</v>
      </c>
      <c r="C271" s="21" t="s">
        <v>849</v>
      </c>
      <c r="D271" s="21">
        <v>159126</v>
      </c>
      <c r="E271" s="21">
        <v>160071</v>
      </c>
      <c r="F271" s="21">
        <v>165684</v>
      </c>
      <c r="G271" s="21">
        <v>202237</v>
      </c>
      <c r="H271" s="21">
        <v>236356</v>
      </c>
      <c r="I271" s="21">
        <v>239783</v>
      </c>
      <c r="J271" s="21">
        <v>260556</v>
      </c>
      <c r="K271" s="21">
        <v>269035</v>
      </c>
      <c r="L271" s="21">
        <v>291941</v>
      </c>
      <c r="M271" s="21">
        <v>305814</v>
      </c>
      <c r="N271" s="21">
        <v>315928</v>
      </c>
      <c r="O271" s="21">
        <v>317417</v>
      </c>
      <c r="P271" s="21">
        <v>347249</v>
      </c>
      <c r="Q271" s="21">
        <v>364792</v>
      </c>
      <c r="R271" s="21">
        <v>371232</v>
      </c>
      <c r="S271" s="21">
        <v>358364</v>
      </c>
      <c r="T271" s="21">
        <v>418307</v>
      </c>
      <c r="U271" s="21">
        <v>472421</v>
      </c>
      <c r="V271" s="21">
        <v>507725</v>
      </c>
      <c r="W271" s="21">
        <v>537757</v>
      </c>
      <c r="X271" s="21">
        <v>534333</v>
      </c>
      <c r="Y271" s="21">
        <v>386859</v>
      </c>
      <c r="Z271" s="21">
        <v>318508</v>
      </c>
      <c r="AA271" s="21">
        <v>369970</v>
      </c>
      <c r="AB271" s="21">
        <v>362814</v>
      </c>
      <c r="AC271" s="21">
        <v>331776</v>
      </c>
      <c r="AD271" s="21">
        <v>360901</v>
      </c>
      <c r="AE271" s="21">
        <v>379151</v>
      </c>
      <c r="AF271" s="21">
        <v>425436</v>
      </c>
      <c r="AG271" s="21">
        <v>424211</v>
      </c>
      <c r="AH271" s="21">
        <v>447139</v>
      </c>
      <c r="AI271" s="21">
        <v>410664</v>
      </c>
      <c r="AJ271" s="21">
        <v>455012</v>
      </c>
      <c r="AK271" s="21">
        <v>429267</v>
      </c>
      <c r="AL271" s="21">
        <v>457307</v>
      </c>
      <c r="AM271" s="21">
        <v>430870</v>
      </c>
      <c r="AN271" s="21">
        <v>478835</v>
      </c>
      <c r="AO271" s="21">
        <v>514708</v>
      </c>
      <c r="AP271" s="21">
        <v>486881</v>
      </c>
      <c r="AQ271" s="21">
        <v>480056</v>
      </c>
      <c r="AR271" s="21">
        <v>459234</v>
      </c>
      <c r="AS271" s="21">
        <v>483560</v>
      </c>
      <c r="AT271" s="21">
        <v>489700</v>
      </c>
      <c r="AU271" s="21">
        <v>528416</v>
      </c>
      <c r="AV271" s="21">
        <v>558292</v>
      </c>
      <c r="AW271" s="21">
        <v>543350</v>
      </c>
      <c r="AX271" s="21">
        <v>568194</v>
      </c>
      <c r="AY271" s="21">
        <v>542788</v>
      </c>
      <c r="AZ271" s="21">
        <v>482113</v>
      </c>
      <c r="BA271" s="21">
        <v>429028</v>
      </c>
      <c r="BB271" s="21">
        <v>456658</v>
      </c>
      <c r="BC271" s="21">
        <v>452479</v>
      </c>
      <c r="BD271" s="21">
        <v>426367</v>
      </c>
      <c r="BE271" s="21">
        <v>447691</v>
      </c>
      <c r="BF271" s="21">
        <v>420161</v>
      </c>
      <c r="BG271" s="21">
        <v>420677</v>
      </c>
      <c r="BH271" s="21">
        <v>428046</v>
      </c>
      <c r="BI271" s="21">
        <v>448339</v>
      </c>
      <c r="BJ271" s="21">
        <v>441591</v>
      </c>
      <c r="BK271" s="21">
        <v>433971</v>
      </c>
      <c r="BL271" s="21">
        <v>408421</v>
      </c>
      <c r="BM271" s="21">
        <v>443499</v>
      </c>
    </row>
    <row r="272" spans="1:65" x14ac:dyDescent="0.2">
      <c r="A272" s="21" t="s">
        <v>1413</v>
      </c>
      <c r="B272" s="21" t="s">
        <v>1414</v>
      </c>
      <c r="C272" s="21" t="s">
        <v>852</v>
      </c>
      <c r="D272" s="21">
        <v>947559</v>
      </c>
      <c r="E272" s="21">
        <v>952652</v>
      </c>
      <c r="F272" s="21">
        <v>985967</v>
      </c>
      <c r="G272" s="21">
        <v>1187803</v>
      </c>
      <c r="H272" s="21">
        <v>1369500</v>
      </c>
      <c r="I272" s="21">
        <v>1389627</v>
      </c>
      <c r="J272" s="21">
        <v>1501125</v>
      </c>
      <c r="K272" s="21">
        <v>1548132</v>
      </c>
      <c r="L272" s="21">
        <v>1679046</v>
      </c>
      <c r="M272" s="21">
        <v>1759079</v>
      </c>
      <c r="N272" s="21">
        <v>1818243</v>
      </c>
      <c r="O272" s="21">
        <v>1827349</v>
      </c>
      <c r="P272" s="21">
        <v>2001321</v>
      </c>
      <c r="Q272" s="21">
        <v>2104090</v>
      </c>
      <c r="R272" s="21">
        <v>2138877</v>
      </c>
      <c r="S272" s="21">
        <v>2071473</v>
      </c>
      <c r="T272" s="21">
        <v>2408189</v>
      </c>
      <c r="U272" s="21">
        <v>2724138</v>
      </c>
      <c r="V272" s="21">
        <v>2927860</v>
      </c>
      <c r="W272" s="21">
        <v>3095524</v>
      </c>
      <c r="X272" s="21">
        <v>3073408</v>
      </c>
      <c r="Y272" s="21">
        <v>2249345</v>
      </c>
      <c r="Z272" s="21">
        <v>1860442</v>
      </c>
      <c r="AA272" s="21">
        <v>2154473</v>
      </c>
      <c r="AB272" s="21">
        <v>2100500</v>
      </c>
      <c r="AC272" s="21">
        <v>1944962</v>
      </c>
      <c r="AD272" s="21">
        <v>2119512</v>
      </c>
      <c r="AE272" s="21">
        <v>2206709</v>
      </c>
      <c r="AF272" s="21">
        <v>2473082</v>
      </c>
      <c r="AG272" s="21">
        <v>2451037</v>
      </c>
      <c r="AH272" s="21">
        <v>2589015</v>
      </c>
      <c r="AI272" s="21">
        <v>2391259</v>
      </c>
      <c r="AJ272" s="21">
        <v>2628865</v>
      </c>
      <c r="AK272" s="21">
        <v>2489480</v>
      </c>
      <c r="AL272" s="21">
        <v>2649429</v>
      </c>
      <c r="AM272" s="21">
        <v>2498893</v>
      </c>
      <c r="AN272" s="21">
        <v>2766129</v>
      </c>
      <c r="AO272" s="21">
        <v>2969285</v>
      </c>
      <c r="AP272" s="21">
        <v>2798583</v>
      </c>
      <c r="AQ272" s="21">
        <v>2763563</v>
      </c>
      <c r="AR272" s="21">
        <v>2636210</v>
      </c>
      <c r="AS272" s="21">
        <v>2793151</v>
      </c>
      <c r="AT272" s="21">
        <v>2816309</v>
      </c>
      <c r="AU272" s="21">
        <v>3043196</v>
      </c>
      <c r="AV272" s="21">
        <v>3205336</v>
      </c>
      <c r="AW272" s="21">
        <v>3121512</v>
      </c>
      <c r="AX272" s="21">
        <v>3276055</v>
      </c>
      <c r="AY272" s="21">
        <v>3133773</v>
      </c>
      <c r="AZ272" s="21">
        <v>2787674</v>
      </c>
      <c r="BA272" s="21">
        <v>2483296</v>
      </c>
      <c r="BB272" s="21">
        <v>2644509</v>
      </c>
      <c r="BC272" s="21">
        <v>2621385</v>
      </c>
      <c r="BD272" s="21">
        <v>2473650</v>
      </c>
      <c r="BE272" s="21">
        <v>2583051</v>
      </c>
      <c r="BF272" s="21">
        <v>2429690</v>
      </c>
      <c r="BG272" s="21">
        <v>2434536</v>
      </c>
      <c r="BH272" s="21">
        <v>2553240</v>
      </c>
      <c r="BI272" s="21">
        <v>2667407</v>
      </c>
      <c r="BJ272" s="21">
        <v>2630064</v>
      </c>
      <c r="BK272" s="21">
        <v>2585180</v>
      </c>
      <c r="BL272" s="21">
        <v>2432568</v>
      </c>
      <c r="BM272" s="21">
        <v>2623335</v>
      </c>
    </row>
    <row r="273" spans="1:65" x14ac:dyDescent="0.2">
      <c r="A273" s="21" t="s">
        <v>1413</v>
      </c>
      <c r="B273" s="21" t="s">
        <v>1414</v>
      </c>
      <c r="C273" s="21" t="s">
        <v>856</v>
      </c>
      <c r="D273" s="21">
        <v>159126</v>
      </c>
      <c r="E273" s="21">
        <v>160071</v>
      </c>
      <c r="F273" s="21">
        <v>165684</v>
      </c>
      <c r="G273" s="21">
        <v>202237</v>
      </c>
      <c r="H273" s="21">
        <v>236356</v>
      </c>
      <c r="I273" s="21">
        <v>239783</v>
      </c>
      <c r="J273" s="21">
        <v>260556</v>
      </c>
      <c r="K273" s="21">
        <v>269035</v>
      </c>
      <c r="L273" s="21">
        <v>291941</v>
      </c>
      <c r="M273" s="21">
        <v>305814</v>
      </c>
      <c r="N273" s="21">
        <v>315928</v>
      </c>
      <c r="O273" s="21">
        <v>317417</v>
      </c>
      <c r="P273" s="21">
        <v>347249</v>
      </c>
      <c r="Q273" s="21">
        <v>364792</v>
      </c>
      <c r="R273" s="21">
        <v>371232</v>
      </c>
      <c r="S273" s="21">
        <v>358364</v>
      </c>
      <c r="T273" s="21">
        <v>418307</v>
      </c>
      <c r="U273" s="21">
        <v>472421</v>
      </c>
      <c r="V273" s="21">
        <v>507725</v>
      </c>
      <c r="W273" s="21">
        <v>537757</v>
      </c>
      <c r="X273" s="21">
        <v>534333</v>
      </c>
      <c r="Y273" s="21">
        <v>386859</v>
      </c>
      <c r="Z273" s="21">
        <v>318508</v>
      </c>
      <c r="AA273" s="21">
        <v>369970</v>
      </c>
      <c r="AB273" s="21">
        <v>362814</v>
      </c>
      <c r="AC273" s="21">
        <v>331776</v>
      </c>
      <c r="AD273" s="21">
        <v>360901</v>
      </c>
      <c r="AE273" s="21">
        <v>379151</v>
      </c>
      <c r="AF273" s="21">
        <v>425436</v>
      </c>
      <c r="AG273" s="21">
        <v>424211</v>
      </c>
      <c r="AH273" s="21">
        <v>447139</v>
      </c>
      <c r="AI273" s="21">
        <v>410664</v>
      </c>
      <c r="AJ273" s="21">
        <v>455012</v>
      </c>
      <c r="AK273" s="21">
        <v>429267</v>
      </c>
      <c r="AL273" s="21">
        <v>457307</v>
      </c>
      <c r="AM273" s="21">
        <v>430870</v>
      </c>
      <c r="AN273" s="21">
        <v>478835</v>
      </c>
      <c r="AO273" s="21">
        <v>514708</v>
      </c>
      <c r="AP273" s="21">
        <v>486881</v>
      </c>
      <c r="AQ273" s="21">
        <v>480056</v>
      </c>
      <c r="AR273" s="21">
        <v>459234</v>
      </c>
      <c r="AS273" s="21">
        <v>483560</v>
      </c>
      <c r="AT273" s="21">
        <v>489700</v>
      </c>
      <c r="AU273" s="21">
        <v>528416</v>
      </c>
      <c r="AV273" s="21">
        <v>558292</v>
      </c>
      <c r="AW273" s="21">
        <v>543350</v>
      </c>
      <c r="AX273" s="21">
        <v>568194</v>
      </c>
      <c r="AY273" s="21">
        <v>542788</v>
      </c>
      <c r="AZ273" s="21">
        <v>482113</v>
      </c>
      <c r="BA273" s="21">
        <v>429028</v>
      </c>
      <c r="BB273" s="21">
        <v>456658</v>
      </c>
      <c r="BC273" s="21">
        <v>452479</v>
      </c>
      <c r="BD273" s="21">
        <v>426367</v>
      </c>
      <c r="BE273" s="21">
        <v>447691</v>
      </c>
      <c r="BF273" s="21">
        <v>420161</v>
      </c>
      <c r="BG273" s="21">
        <v>420677</v>
      </c>
      <c r="BH273" s="21">
        <v>428046</v>
      </c>
      <c r="BI273" s="21">
        <v>448339</v>
      </c>
      <c r="BJ273" s="21">
        <v>441591</v>
      </c>
      <c r="BK273" s="21">
        <v>433971</v>
      </c>
      <c r="BL273" s="21">
        <v>408421</v>
      </c>
      <c r="BM273" s="21">
        <v>443499</v>
      </c>
    </row>
    <row r="274" spans="1:65" x14ac:dyDescent="0.2">
      <c r="A274" s="21" t="s">
        <v>1413</v>
      </c>
      <c r="B274" s="21" t="s">
        <v>1414</v>
      </c>
      <c r="C274" s="21" t="s">
        <v>859</v>
      </c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>
        <v>1217</v>
      </c>
      <c r="BA274" s="21">
        <v>1229</v>
      </c>
      <c r="BB274" s="21">
        <v>2772</v>
      </c>
      <c r="BC274" s="21">
        <v>1352</v>
      </c>
      <c r="BD274" s="21">
        <v>1587</v>
      </c>
      <c r="BE274" s="21">
        <v>2161</v>
      </c>
      <c r="BF274" s="21">
        <v>2637</v>
      </c>
      <c r="BG274" s="21">
        <v>1503</v>
      </c>
      <c r="BH274" s="21">
        <v>1456</v>
      </c>
      <c r="BI274" s="21">
        <v>2221</v>
      </c>
      <c r="BJ274" s="21">
        <v>1495</v>
      </c>
      <c r="BK274" s="21">
        <v>1592</v>
      </c>
      <c r="BL274" s="21">
        <v>1571</v>
      </c>
      <c r="BM274" s="21">
        <v>1565</v>
      </c>
    </row>
    <row r="275" spans="1:65" x14ac:dyDescent="0.2">
      <c r="A275" s="21" t="s">
        <v>1413</v>
      </c>
      <c r="B275" s="21" t="s">
        <v>1414</v>
      </c>
      <c r="C275" s="21" t="s">
        <v>861</v>
      </c>
      <c r="D275" s="21">
        <v>2277566</v>
      </c>
      <c r="E275" s="21">
        <v>2347456</v>
      </c>
      <c r="F275" s="21">
        <v>2474775</v>
      </c>
      <c r="G275" s="21">
        <v>2686521</v>
      </c>
      <c r="H275" s="21">
        <v>2915759</v>
      </c>
      <c r="I275" s="21">
        <v>3026159</v>
      </c>
      <c r="J275" s="21">
        <v>3219416</v>
      </c>
      <c r="K275" s="21">
        <v>3276710</v>
      </c>
      <c r="L275" s="21">
        <v>3472540</v>
      </c>
      <c r="M275" s="21">
        <v>3603955</v>
      </c>
      <c r="N275" s="21">
        <v>3686054</v>
      </c>
      <c r="O275" s="21">
        <v>3715608</v>
      </c>
      <c r="P275" s="21">
        <v>3974177</v>
      </c>
      <c r="Q275" s="21">
        <v>4276935</v>
      </c>
      <c r="R275" s="21">
        <v>4123558</v>
      </c>
      <c r="S275" s="21">
        <v>3894562</v>
      </c>
      <c r="T275" s="21">
        <v>4229820</v>
      </c>
      <c r="U275" s="21">
        <v>4691374</v>
      </c>
      <c r="V275" s="21">
        <v>4988522</v>
      </c>
      <c r="W275" s="21">
        <v>5163660</v>
      </c>
      <c r="X275" s="21">
        <v>4915223</v>
      </c>
      <c r="Y275" s="21">
        <v>3908771</v>
      </c>
      <c r="Z275" s="21">
        <v>3530525</v>
      </c>
      <c r="AA275" s="21">
        <v>3786225</v>
      </c>
      <c r="AB275" s="21">
        <v>3851172</v>
      </c>
      <c r="AC275" s="21">
        <v>3758965</v>
      </c>
      <c r="AD275" s="21">
        <v>3979881</v>
      </c>
      <c r="AE275" s="21">
        <v>4194510</v>
      </c>
      <c r="AF275" s="21">
        <v>4490690</v>
      </c>
      <c r="AG275" s="21">
        <v>4417653</v>
      </c>
      <c r="AH275" s="21">
        <v>4672042</v>
      </c>
      <c r="AI275" s="21">
        <v>4338531</v>
      </c>
      <c r="AJ275" s="21">
        <v>4708545</v>
      </c>
      <c r="AK275" s="21">
        <v>4549912</v>
      </c>
      <c r="AL275" s="21">
        <v>4743307</v>
      </c>
      <c r="AM275" s="21">
        <v>4591586</v>
      </c>
      <c r="AN275" s="21">
        <v>4889734</v>
      </c>
      <c r="AO275" s="21">
        <v>5121335</v>
      </c>
      <c r="AP275" s="21">
        <v>5132494</v>
      </c>
      <c r="AQ275" s="21">
        <v>5229378</v>
      </c>
      <c r="AR275" s="21">
        <v>4913504</v>
      </c>
      <c r="AS275" s="21">
        <v>5104803</v>
      </c>
      <c r="AT275" s="21">
        <v>5084091</v>
      </c>
      <c r="AU275" s="21">
        <v>5270500</v>
      </c>
      <c r="AV275" s="21">
        <v>5636230</v>
      </c>
      <c r="AW275" s="21">
        <v>5539020</v>
      </c>
      <c r="AX275" s="21">
        <v>5661038</v>
      </c>
      <c r="AY275" s="21">
        <v>5415399</v>
      </c>
      <c r="AZ275" s="21">
        <v>4823402</v>
      </c>
      <c r="BA275" s="21">
        <v>4300458</v>
      </c>
      <c r="BB275" s="21">
        <v>4359961</v>
      </c>
      <c r="BC275" s="21">
        <v>4275122</v>
      </c>
      <c r="BD275" s="21">
        <v>4137683</v>
      </c>
      <c r="BE275" s="21">
        <v>4156672</v>
      </c>
      <c r="BF275" s="21">
        <v>4009647</v>
      </c>
      <c r="BG275" s="21">
        <v>4073636</v>
      </c>
      <c r="BH275" s="21">
        <v>4196922</v>
      </c>
      <c r="BI275" s="21">
        <v>4253003</v>
      </c>
      <c r="BJ275" s="21">
        <v>4175336</v>
      </c>
      <c r="BK275" s="21">
        <v>4151489</v>
      </c>
      <c r="BL275" s="21">
        <v>3874421</v>
      </c>
      <c r="BM275" s="21">
        <v>3887896</v>
      </c>
    </row>
    <row r="276" spans="1:65" x14ac:dyDescent="0.2">
      <c r="A276" s="21" t="s">
        <v>1413</v>
      </c>
      <c r="B276" s="21" t="s">
        <v>1414</v>
      </c>
      <c r="C276" s="21" t="s">
        <v>865</v>
      </c>
      <c r="D276" s="21">
        <v>370227</v>
      </c>
      <c r="E276" s="21">
        <v>381334</v>
      </c>
      <c r="F276" s="21">
        <v>401849</v>
      </c>
      <c r="G276" s="21">
        <v>439695</v>
      </c>
      <c r="H276" s="21">
        <v>481649</v>
      </c>
      <c r="I276" s="21">
        <v>499383</v>
      </c>
      <c r="J276" s="21">
        <v>533348</v>
      </c>
      <c r="K276" s="21">
        <v>544142</v>
      </c>
      <c r="L276" s="21">
        <v>576568</v>
      </c>
      <c r="M276" s="21">
        <v>598494</v>
      </c>
      <c r="N276" s="21">
        <v>611158</v>
      </c>
      <c r="O276" s="21">
        <v>615445</v>
      </c>
      <c r="P276" s="21">
        <v>658822</v>
      </c>
      <c r="Q276" s="21">
        <v>707537</v>
      </c>
      <c r="R276" s="21">
        <v>683954</v>
      </c>
      <c r="S276" s="21">
        <v>646540</v>
      </c>
      <c r="T276" s="21">
        <v>706508</v>
      </c>
      <c r="U276" s="21">
        <v>784095</v>
      </c>
      <c r="V276" s="21">
        <v>833440</v>
      </c>
      <c r="W276" s="21">
        <v>865031</v>
      </c>
      <c r="X276" s="21">
        <v>827025</v>
      </c>
      <c r="Y276" s="21">
        <v>650577</v>
      </c>
      <c r="Z276" s="21">
        <v>584330</v>
      </c>
      <c r="AA276" s="21">
        <v>627502</v>
      </c>
      <c r="AB276" s="21">
        <v>638488</v>
      </c>
      <c r="AC276" s="21">
        <v>617418</v>
      </c>
      <c r="AD276" s="21">
        <v>653256</v>
      </c>
      <c r="AE276" s="21">
        <v>691919</v>
      </c>
      <c r="AF276" s="21">
        <v>743080</v>
      </c>
      <c r="AG276" s="21">
        <v>733998</v>
      </c>
      <c r="AH276" s="21">
        <v>774930</v>
      </c>
      <c r="AI276" s="21">
        <v>717366</v>
      </c>
      <c r="AJ276" s="21">
        <v>783281</v>
      </c>
      <c r="AK276" s="21">
        <v>753655</v>
      </c>
      <c r="AL276" s="21">
        <v>786912</v>
      </c>
      <c r="AM276" s="21">
        <v>760186</v>
      </c>
      <c r="AN276" s="21">
        <v>813352</v>
      </c>
      <c r="AO276" s="21">
        <v>853212</v>
      </c>
      <c r="AP276" s="21">
        <v>855002</v>
      </c>
      <c r="AQ276" s="21">
        <v>869029</v>
      </c>
      <c r="AR276" s="21">
        <v>817690</v>
      </c>
      <c r="AS276" s="21">
        <v>848104</v>
      </c>
      <c r="AT276" s="21">
        <v>847125</v>
      </c>
      <c r="AU276" s="21">
        <v>879555</v>
      </c>
      <c r="AV276" s="21">
        <v>941276</v>
      </c>
      <c r="AW276" s="21">
        <v>923649</v>
      </c>
      <c r="AX276" s="21">
        <v>944249</v>
      </c>
      <c r="AY276" s="21">
        <v>902491</v>
      </c>
      <c r="AZ276" s="21">
        <v>804008</v>
      </c>
      <c r="BA276" s="21">
        <v>716143</v>
      </c>
      <c r="BB276" s="21">
        <v>725821</v>
      </c>
      <c r="BC276" s="21">
        <v>711264</v>
      </c>
      <c r="BD276" s="21">
        <v>687719</v>
      </c>
      <c r="BE276" s="21">
        <v>694243</v>
      </c>
      <c r="BF276" s="21">
        <v>667478</v>
      </c>
      <c r="BG276" s="21">
        <v>677566</v>
      </c>
      <c r="BH276" s="21">
        <v>684945</v>
      </c>
      <c r="BI276" s="21">
        <v>695433</v>
      </c>
      <c r="BJ276" s="21">
        <v>682965</v>
      </c>
      <c r="BK276" s="21">
        <v>678226</v>
      </c>
      <c r="BL276" s="21">
        <v>632440</v>
      </c>
      <c r="BM276" s="21">
        <v>632171</v>
      </c>
    </row>
    <row r="277" spans="1:65" x14ac:dyDescent="0.2">
      <c r="A277" s="21" t="s">
        <v>1413</v>
      </c>
      <c r="B277" s="21" t="s">
        <v>1414</v>
      </c>
      <c r="C277" s="21" t="s">
        <v>872</v>
      </c>
      <c r="D277" s="21">
        <v>3129471</v>
      </c>
      <c r="E277" s="21">
        <v>3204314</v>
      </c>
      <c r="F277" s="21">
        <v>3298708</v>
      </c>
      <c r="G277" s="21">
        <v>3497534</v>
      </c>
      <c r="H277" s="21">
        <v>3672894</v>
      </c>
      <c r="I277" s="21">
        <v>3784081</v>
      </c>
      <c r="J277" s="21">
        <v>3944823</v>
      </c>
      <c r="K277" s="21">
        <v>3919077</v>
      </c>
      <c r="L277" s="21">
        <v>4154630</v>
      </c>
      <c r="M277" s="21">
        <v>4248913</v>
      </c>
      <c r="N277" s="21">
        <v>4311869</v>
      </c>
      <c r="O277" s="21">
        <v>4321896</v>
      </c>
      <c r="P277" s="21">
        <v>4562544</v>
      </c>
      <c r="Q277" s="21">
        <v>4830798</v>
      </c>
      <c r="R277" s="21">
        <v>4619110</v>
      </c>
      <c r="S277" s="21">
        <v>4332237</v>
      </c>
      <c r="T277" s="21">
        <v>4699547</v>
      </c>
      <c r="U277" s="21">
        <v>5155896</v>
      </c>
      <c r="V277" s="21">
        <v>5464015</v>
      </c>
      <c r="W277" s="21">
        <v>5646393</v>
      </c>
      <c r="X277" s="21">
        <v>5304096</v>
      </c>
      <c r="Y277" s="21">
        <v>4288756</v>
      </c>
      <c r="Z277" s="21">
        <v>3857739</v>
      </c>
      <c r="AA277" s="21">
        <v>4195855</v>
      </c>
      <c r="AB277" s="21">
        <v>4266615</v>
      </c>
      <c r="AC277" s="21">
        <v>4164025</v>
      </c>
      <c r="AD277" s="21">
        <v>4372408</v>
      </c>
      <c r="AE277" s="21">
        <v>4590909</v>
      </c>
      <c r="AF277" s="21">
        <v>4888397</v>
      </c>
      <c r="AG277" s="21">
        <v>4796699</v>
      </c>
      <c r="AH277" s="21">
        <v>4999132</v>
      </c>
      <c r="AI277" s="21">
        <v>4651464</v>
      </c>
      <c r="AJ277" s="21">
        <v>5031334</v>
      </c>
      <c r="AK277" s="21">
        <v>4920222</v>
      </c>
      <c r="AL277" s="21">
        <v>5106526</v>
      </c>
      <c r="AM277" s="21">
        <v>4976158</v>
      </c>
      <c r="AN277" s="21">
        <v>5279544</v>
      </c>
      <c r="AO277" s="21">
        <v>5552398</v>
      </c>
      <c r="AP277" s="21">
        <v>5611351</v>
      </c>
      <c r="AQ277" s="21">
        <v>5701366</v>
      </c>
      <c r="AR277" s="21">
        <v>5352186</v>
      </c>
      <c r="AS277" s="21">
        <v>5533979</v>
      </c>
      <c r="AT277" s="21">
        <v>5531513</v>
      </c>
      <c r="AU277" s="21">
        <v>5714795</v>
      </c>
      <c r="AV277" s="21">
        <v>6135898</v>
      </c>
      <c r="AW277" s="21">
        <v>6062485</v>
      </c>
      <c r="AX277" s="21">
        <v>6126746</v>
      </c>
      <c r="AY277" s="21">
        <v>5815221</v>
      </c>
      <c r="AZ277" s="21">
        <v>5165391</v>
      </c>
      <c r="BA277" s="21">
        <v>4618088</v>
      </c>
      <c r="BB277" s="21">
        <v>4712648</v>
      </c>
      <c r="BC277" s="21">
        <v>4610774</v>
      </c>
      <c r="BD277" s="21">
        <v>4392562</v>
      </c>
      <c r="BE277" s="21">
        <v>4454535</v>
      </c>
      <c r="BF277" s="21">
        <v>4315174</v>
      </c>
      <c r="BG277" s="21">
        <v>4381315</v>
      </c>
      <c r="BH277" s="21">
        <v>4506078</v>
      </c>
      <c r="BI277" s="21">
        <v>4523240</v>
      </c>
      <c r="BJ277" s="21">
        <v>4446132</v>
      </c>
      <c r="BK277" s="21">
        <v>4394924</v>
      </c>
      <c r="BL277" s="21">
        <v>4110305</v>
      </c>
      <c r="BM277" s="21">
        <v>4390840</v>
      </c>
    </row>
    <row r="278" spans="1:65" x14ac:dyDescent="0.2">
      <c r="A278" s="21" t="s">
        <v>1413</v>
      </c>
      <c r="B278" s="21" t="s">
        <v>1414</v>
      </c>
      <c r="C278" s="21" t="s">
        <v>876</v>
      </c>
      <c r="D278" s="21">
        <v>525204</v>
      </c>
      <c r="E278" s="21">
        <v>537069</v>
      </c>
      <c r="F278" s="21">
        <v>551206</v>
      </c>
      <c r="G278" s="21">
        <v>586562</v>
      </c>
      <c r="H278" s="21">
        <v>618535</v>
      </c>
      <c r="I278" s="21">
        <v>636165</v>
      </c>
      <c r="J278" s="21">
        <v>663732</v>
      </c>
      <c r="K278" s="21">
        <v>659488</v>
      </c>
      <c r="L278" s="21">
        <v>698516</v>
      </c>
      <c r="M278" s="21">
        <v>713392</v>
      </c>
      <c r="N278" s="21">
        <v>721831</v>
      </c>
      <c r="O278" s="21">
        <v>722457</v>
      </c>
      <c r="P278" s="21">
        <v>762441</v>
      </c>
      <c r="Q278" s="21">
        <v>804999</v>
      </c>
      <c r="R278" s="21">
        <v>771139</v>
      </c>
      <c r="S278" s="21">
        <v>723475</v>
      </c>
      <c r="T278" s="21">
        <v>788822</v>
      </c>
      <c r="U278" s="21">
        <v>865546</v>
      </c>
      <c r="V278" s="21">
        <v>916611</v>
      </c>
      <c r="W278" s="21">
        <v>949396</v>
      </c>
      <c r="X278" s="21">
        <v>894977</v>
      </c>
      <c r="Y278" s="21">
        <v>716880</v>
      </c>
      <c r="Z278" s="21">
        <v>641287</v>
      </c>
      <c r="AA278" s="21">
        <v>698894</v>
      </c>
      <c r="AB278" s="21">
        <v>710706</v>
      </c>
      <c r="AC278" s="21">
        <v>688082</v>
      </c>
      <c r="AD278" s="21">
        <v>721911</v>
      </c>
      <c r="AE278" s="21">
        <v>760728</v>
      </c>
      <c r="AF278" s="21">
        <v>812244</v>
      </c>
      <c r="AG278" s="21">
        <v>799757</v>
      </c>
      <c r="AH278" s="21">
        <v>831259</v>
      </c>
      <c r="AI278" s="21">
        <v>771351</v>
      </c>
      <c r="AJ278" s="21">
        <v>838791</v>
      </c>
      <c r="AK278" s="21">
        <v>817105</v>
      </c>
      <c r="AL278" s="21">
        <v>849114</v>
      </c>
      <c r="AM278" s="21">
        <v>826107</v>
      </c>
      <c r="AN278" s="21">
        <v>880216</v>
      </c>
      <c r="AO278" s="21">
        <v>927069</v>
      </c>
      <c r="AP278" s="21">
        <v>936876</v>
      </c>
      <c r="AQ278" s="21">
        <v>949864</v>
      </c>
      <c r="AR278" s="21">
        <v>892763</v>
      </c>
      <c r="AS278" s="21">
        <v>921596</v>
      </c>
      <c r="AT278" s="21">
        <v>923085</v>
      </c>
      <c r="AU278" s="21">
        <v>955033</v>
      </c>
      <c r="AV278" s="21">
        <v>1028014</v>
      </c>
      <c r="AW278" s="21">
        <v>1014652</v>
      </c>
      <c r="AX278" s="21">
        <v>1025111</v>
      </c>
      <c r="AY278" s="21">
        <v>971698</v>
      </c>
      <c r="AZ278" s="21">
        <v>863093</v>
      </c>
      <c r="BA278" s="21">
        <v>771080</v>
      </c>
      <c r="BB278" s="21">
        <v>786626</v>
      </c>
      <c r="BC278" s="21">
        <v>769136</v>
      </c>
      <c r="BD278" s="21">
        <v>731533</v>
      </c>
      <c r="BE278" s="21">
        <v>745430</v>
      </c>
      <c r="BF278" s="21">
        <v>719939</v>
      </c>
      <c r="BG278" s="21">
        <v>730250</v>
      </c>
      <c r="BH278" s="21">
        <v>737962</v>
      </c>
      <c r="BI278" s="21">
        <v>741771</v>
      </c>
      <c r="BJ278" s="21">
        <v>729484</v>
      </c>
      <c r="BK278" s="21">
        <v>720045</v>
      </c>
      <c r="BL278" s="21">
        <v>673021</v>
      </c>
      <c r="BM278" s="21">
        <v>721909</v>
      </c>
    </row>
    <row r="279" spans="1:65" x14ac:dyDescent="0.2">
      <c r="A279" s="21" t="s">
        <v>1413</v>
      </c>
      <c r="B279" s="21" t="s">
        <v>1414</v>
      </c>
      <c r="C279" s="21" t="s">
        <v>879</v>
      </c>
      <c r="D279" s="21">
        <v>3129471</v>
      </c>
      <c r="E279" s="21">
        <v>3204314</v>
      </c>
      <c r="F279" s="21">
        <v>3298708</v>
      </c>
      <c r="G279" s="21">
        <v>3497534</v>
      </c>
      <c r="H279" s="21">
        <v>3672894</v>
      </c>
      <c r="I279" s="21">
        <v>3784081</v>
      </c>
      <c r="J279" s="21">
        <v>3944823</v>
      </c>
      <c r="K279" s="21">
        <v>3919077</v>
      </c>
      <c r="L279" s="21">
        <v>4154630</v>
      </c>
      <c r="M279" s="21">
        <v>4248913</v>
      </c>
      <c r="N279" s="21">
        <v>4292699</v>
      </c>
      <c r="O279" s="21">
        <v>4303669</v>
      </c>
      <c r="P279" s="21">
        <v>4543650</v>
      </c>
      <c r="Q279" s="21">
        <v>4815536</v>
      </c>
      <c r="R279" s="21">
        <v>4600284</v>
      </c>
      <c r="S279" s="21">
        <v>4330123</v>
      </c>
      <c r="T279" s="21">
        <v>4697496</v>
      </c>
      <c r="U279" s="21">
        <v>5152958</v>
      </c>
      <c r="V279" s="21">
        <v>5452019</v>
      </c>
      <c r="W279" s="21">
        <v>5638324</v>
      </c>
      <c r="X279" s="21">
        <v>5298698</v>
      </c>
      <c r="Y279" s="21">
        <v>4284573</v>
      </c>
      <c r="Z279" s="21">
        <v>3853241</v>
      </c>
      <c r="AA279" s="21">
        <v>4187980</v>
      </c>
      <c r="AB279" s="21">
        <v>4259039</v>
      </c>
      <c r="AC279" s="21">
        <v>4157056</v>
      </c>
      <c r="AD279" s="21">
        <v>4362990</v>
      </c>
      <c r="AE279" s="21">
        <v>4580439</v>
      </c>
      <c r="AF279" s="21">
        <v>4876078</v>
      </c>
      <c r="AG279" s="21">
        <v>4781116</v>
      </c>
      <c r="AH279" s="21">
        <v>4968765</v>
      </c>
      <c r="AI279" s="21">
        <v>4622134</v>
      </c>
      <c r="AJ279" s="21">
        <v>4986328</v>
      </c>
      <c r="AK279" s="21">
        <v>4841574</v>
      </c>
      <c r="AL279" s="21">
        <v>5036809</v>
      </c>
      <c r="AM279" s="21">
        <v>4895603</v>
      </c>
      <c r="AN279" s="21">
        <v>5199973</v>
      </c>
      <c r="AO279" s="21">
        <v>5450840</v>
      </c>
      <c r="AP279" s="21">
        <v>5487796</v>
      </c>
      <c r="AQ279" s="21">
        <v>5588875</v>
      </c>
      <c r="AR279" s="21">
        <v>5253545</v>
      </c>
      <c r="AS279" s="21">
        <v>5430753</v>
      </c>
      <c r="AT279" s="21">
        <v>5356336</v>
      </c>
      <c r="AU279" s="21">
        <v>5540129</v>
      </c>
      <c r="AV279" s="21">
        <v>5925087</v>
      </c>
      <c r="AW279" s="21">
        <v>5831353</v>
      </c>
      <c r="AX279" s="21">
        <v>5923702</v>
      </c>
      <c r="AY279" s="21">
        <v>5652664</v>
      </c>
      <c r="AZ279" s="21">
        <v>5019001</v>
      </c>
      <c r="BA279" s="21">
        <v>4486246</v>
      </c>
      <c r="BB279" s="21">
        <v>4576054</v>
      </c>
      <c r="BC279" s="21">
        <v>4472454</v>
      </c>
      <c r="BD279" s="21">
        <v>4307508</v>
      </c>
      <c r="BE279" s="21">
        <v>4332018</v>
      </c>
      <c r="BF279" s="21">
        <v>4197018</v>
      </c>
      <c r="BG279" s="21">
        <v>4269599</v>
      </c>
      <c r="BH279" s="21">
        <v>4387761</v>
      </c>
      <c r="BI279" s="21">
        <v>4426033</v>
      </c>
      <c r="BJ279" s="21">
        <v>4344650</v>
      </c>
      <c r="BK279" s="21">
        <v>4319011</v>
      </c>
      <c r="BL279" s="21">
        <v>4022879</v>
      </c>
      <c r="BM279" s="21">
        <v>4302899</v>
      </c>
    </row>
    <row r="280" spans="1:65" x14ac:dyDescent="0.2">
      <c r="A280" s="21" t="s">
        <v>1413</v>
      </c>
      <c r="B280" s="21" t="s">
        <v>1414</v>
      </c>
      <c r="C280" s="21" t="s">
        <v>883</v>
      </c>
      <c r="D280" s="21">
        <v>525204</v>
      </c>
      <c r="E280" s="21">
        <v>537069</v>
      </c>
      <c r="F280" s="21">
        <v>551206</v>
      </c>
      <c r="G280" s="21">
        <v>586562</v>
      </c>
      <c r="H280" s="21">
        <v>618535</v>
      </c>
      <c r="I280" s="21">
        <v>636165</v>
      </c>
      <c r="J280" s="21">
        <v>663732</v>
      </c>
      <c r="K280" s="21">
        <v>659488</v>
      </c>
      <c r="L280" s="21">
        <v>698516</v>
      </c>
      <c r="M280" s="21">
        <v>713392</v>
      </c>
      <c r="N280" s="21">
        <v>718649</v>
      </c>
      <c r="O280" s="21">
        <v>719431</v>
      </c>
      <c r="P280" s="21">
        <v>759305</v>
      </c>
      <c r="Q280" s="21">
        <v>802465</v>
      </c>
      <c r="R280" s="21">
        <v>768014</v>
      </c>
      <c r="S280" s="21">
        <v>723124</v>
      </c>
      <c r="T280" s="21">
        <v>788482</v>
      </c>
      <c r="U280" s="21">
        <v>865058</v>
      </c>
      <c r="V280" s="21">
        <v>914620</v>
      </c>
      <c r="W280" s="21">
        <v>948057</v>
      </c>
      <c r="X280" s="21">
        <v>894081</v>
      </c>
      <c r="Y280" s="21">
        <v>716186</v>
      </c>
      <c r="Z280" s="21">
        <v>640540</v>
      </c>
      <c r="AA280" s="21">
        <v>697587</v>
      </c>
      <c r="AB280" s="21">
        <v>709448</v>
      </c>
      <c r="AC280" s="21">
        <v>686925</v>
      </c>
      <c r="AD280" s="21">
        <v>720348</v>
      </c>
      <c r="AE280" s="21">
        <v>758990</v>
      </c>
      <c r="AF280" s="21">
        <v>810199</v>
      </c>
      <c r="AG280" s="21">
        <v>797170</v>
      </c>
      <c r="AH280" s="21">
        <v>826218</v>
      </c>
      <c r="AI280" s="21">
        <v>766482</v>
      </c>
      <c r="AJ280" s="21">
        <v>831320</v>
      </c>
      <c r="AK280" s="21">
        <v>804049</v>
      </c>
      <c r="AL280" s="21">
        <v>837541</v>
      </c>
      <c r="AM280" s="21">
        <v>812735</v>
      </c>
      <c r="AN280" s="21">
        <v>867007</v>
      </c>
      <c r="AO280" s="21">
        <v>910210</v>
      </c>
      <c r="AP280" s="21">
        <v>916366</v>
      </c>
      <c r="AQ280" s="21">
        <v>931190</v>
      </c>
      <c r="AR280" s="21">
        <v>876388</v>
      </c>
      <c r="AS280" s="21">
        <v>904460</v>
      </c>
      <c r="AT280" s="21">
        <v>894005</v>
      </c>
      <c r="AU280" s="21">
        <v>926038</v>
      </c>
      <c r="AV280" s="21">
        <v>991153</v>
      </c>
      <c r="AW280" s="21">
        <v>974237</v>
      </c>
      <c r="AX280" s="21">
        <v>989608</v>
      </c>
      <c r="AY280" s="21">
        <v>943274</v>
      </c>
      <c r="AZ280" s="21">
        <v>837496</v>
      </c>
      <c r="BA280" s="21">
        <v>748027</v>
      </c>
      <c r="BB280" s="21">
        <v>762742</v>
      </c>
      <c r="BC280" s="21">
        <v>744950</v>
      </c>
      <c r="BD280" s="21">
        <v>716661</v>
      </c>
      <c r="BE280" s="21">
        <v>724007</v>
      </c>
      <c r="BF280" s="21">
        <v>699279</v>
      </c>
      <c r="BG280" s="21">
        <v>710716</v>
      </c>
      <c r="BH280" s="21">
        <v>717274</v>
      </c>
      <c r="BI280" s="21">
        <v>724774</v>
      </c>
      <c r="BJ280" s="21">
        <v>711739</v>
      </c>
      <c r="BK280" s="21">
        <v>706771</v>
      </c>
      <c r="BL280" s="21">
        <v>657734</v>
      </c>
      <c r="BM280" s="21">
        <v>706532</v>
      </c>
    </row>
    <row r="281" spans="1:65" x14ac:dyDescent="0.2">
      <c r="A281" s="21" t="s">
        <v>1413</v>
      </c>
      <c r="B281" s="21" t="s">
        <v>1414</v>
      </c>
      <c r="C281" s="21" t="s">
        <v>888</v>
      </c>
      <c r="D281" s="21">
        <v>10125440</v>
      </c>
      <c r="E281" s="21">
        <v>10324003</v>
      </c>
      <c r="F281" s="21">
        <v>10772163</v>
      </c>
      <c r="G281" s="21">
        <v>11166719</v>
      </c>
      <c r="H281" s="21">
        <v>11496358</v>
      </c>
      <c r="I281" s="21">
        <v>11866228</v>
      </c>
      <c r="J281" s="21">
        <v>12499798</v>
      </c>
      <c r="K281" s="21">
        <v>13112844</v>
      </c>
      <c r="L281" s="21">
        <v>14211979</v>
      </c>
      <c r="M281" s="21">
        <v>14813364</v>
      </c>
      <c r="N281" s="21">
        <v>15310548</v>
      </c>
      <c r="O281" s="21">
        <v>15924088</v>
      </c>
      <c r="P281" s="21">
        <v>16891686</v>
      </c>
      <c r="Q281" s="21">
        <v>17831928</v>
      </c>
      <c r="R281" s="21">
        <v>17400597</v>
      </c>
      <c r="S281" s="21">
        <v>17615388</v>
      </c>
      <c r="T281" s="21">
        <v>18507725</v>
      </c>
      <c r="U281" s="21">
        <v>19243289</v>
      </c>
      <c r="V281" s="21">
        <v>20043894</v>
      </c>
      <c r="W281" s="21">
        <v>19825499</v>
      </c>
      <c r="X281" s="21">
        <v>19009268</v>
      </c>
      <c r="Y281" s="21">
        <v>18812711</v>
      </c>
      <c r="Z281" s="21">
        <v>18422005</v>
      </c>
      <c r="AA281" s="21">
        <v>18595201</v>
      </c>
      <c r="AB281" s="21">
        <v>19022762</v>
      </c>
      <c r="AC281" s="21">
        <v>19472382</v>
      </c>
      <c r="AD281" s="21">
        <v>20183419</v>
      </c>
      <c r="AE281" s="21">
        <v>20817470</v>
      </c>
      <c r="AF281" s="21">
        <v>21567799</v>
      </c>
      <c r="AG281" s="21">
        <v>21707232</v>
      </c>
      <c r="AH281" s="21">
        <v>21625929</v>
      </c>
      <c r="AI281" s="21">
        <v>21374435</v>
      </c>
      <c r="AJ281" s="21">
        <v>21674933</v>
      </c>
      <c r="AK281" s="21">
        <v>21976153</v>
      </c>
      <c r="AL281" s="21">
        <v>22557900</v>
      </c>
      <c r="AM281" s="21">
        <v>23035787</v>
      </c>
      <c r="AN281" s="21">
        <v>23629894</v>
      </c>
      <c r="AO281" s="21">
        <v>23890635</v>
      </c>
      <c r="AP281" s="21">
        <v>24506465</v>
      </c>
      <c r="AQ281" s="21">
        <v>25186695</v>
      </c>
      <c r="AR281" s="21">
        <v>25787349</v>
      </c>
      <c r="AS281" s="21">
        <v>25523872</v>
      </c>
      <c r="AT281" s="21">
        <v>26050877</v>
      </c>
      <c r="AU281" s="21">
        <v>26184018</v>
      </c>
      <c r="AV281" s="21">
        <v>27150174</v>
      </c>
      <c r="AW281" s="21">
        <v>27552992</v>
      </c>
      <c r="AX281" s="21">
        <v>27971694</v>
      </c>
      <c r="AY281" s="21">
        <v>28034208</v>
      </c>
      <c r="AZ281" s="21">
        <v>26630325</v>
      </c>
      <c r="BA281" s="21">
        <v>25818015</v>
      </c>
      <c r="BB281" s="21">
        <v>26187431</v>
      </c>
      <c r="BC281" s="21">
        <v>25782568</v>
      </c>
      <c r="BD281" s="21">
        <v>25269827</v>
      </c>
      <c r="BE281" s="21">
        <v>25649541</v>
      </c>
      <c r="BF281" s="21">
        <v>26034771</v>
      </c>
      <c r="BG281" s="21">
        <v>26424205</v>
      </c>
      <c r="BH281" s="21">
        <v>26962996</v>
      </c>
      <c r="BI281" s="21">
        <v>27150387</v>
      </c>
      <c r="BJ281" s="21">
        <v>27436936</v>
      </c>
      <c r="BK281" s="21">
        <v>27407224</v>
      </c>
      <c r="BL281" s="21">
        <v>23195522</v>
      </c>
      <c r="BM281" s="21">
        <v>25784804</v>
      </c>
    </row>
    <row r="282" spans="1:65" x14ac:dyDescent="0.2">
      <c r="A282" s="21" t="s">
        <v>1413</v>
      </c>
      <c r="B282" s="21" t="s">
        <v>1414</v>
      </c>
      <c r="C282" s="21" t="s">
        <v>892</v>
      </c>
      <c r="D282" s="21">
        <v>5.3869999999999996</v>
      </c>
      <c r="E282" s="21">
        <v>5.3860000000000001</v>
      </c>
      <c r="F282" s="21">
        <v>5.3849999999999998</v>
      </c>
      <c r="G282" s="21">
        <v>5.3840000000000003</v>
      </c>
      <c r="H282" s="21">
        <v>5.3879999999999999</v>
      </c>
      <c r="I282" s="21">
        <v>5.3860000000000001</v>
      </c>
      <c r="J282" s="21">
        <v>5.3869999999999996</v>
      </c>
      <c r="K282" s="21">
        <v>5.391</v>
      </c>
      <c r="L282" s="21">
        <v>5.3940000000000001</v>
      </c>
      <c r="M282" s="21">
        <v>5.3940000000000001</v>
      </c>
      <c r="N282" s="21">
        <v>5.3929999999999998</v>
      </c>
      <c r="O282" s="21">
        <v>5.39</v>
      </c>
      <c r="P282" s="21">
        <v>5.3879999999999999</v>
      </c>
      <c r="Q282" s="21">
        <v>5.3959999999999999</v>
      </c>
      <c r="R282" s="21">
        <v>5.3940000000000001</v>
      </c>
      <c r="S282" s="21">
        <v>5.3920000000000003</v>
      </c>
      <c r="T282" s="21">
        <v>5.3959999999999999</v>
      </c>
      <c r="U282" s="21">
        <v>5.4009999999999998</v>
      </c>
      <c r="V282" s="21">
        <v>5.4050000000000002</v>
      </c>
      <c r="W282" s="21">
        <v>5.4290000000000003</v>
      </c>
      <c r="X282" s="21">
        <v>5.4409999999999998</v>
      </c>
      <c r="Y282" s="21">
        <v>5.4329999999999998</v>
      </c>
      <c r="Z282" s="21">
        <v>5.423</v>
      </c>
      <c r="AA282" s="21">
        <v>5.4160000000000004</v>
      </c>
      <c r="AB282" s="21">
        <v>5.4180000000000001</v>
      </c>
      <c r="AC282" s="21">
        <v>5.423</v>
      </c>
      <c r="AD282" s="21">
        <v>5.4260000000000002</v>
      </c>
      <c r="AE282" s="21">
        <v>5.4290000000000003</v>
      </c>
      <c r="AF282" s="21">
        <v>5.4329999999999998</v>
      </c>
      <c r="AG282" s="21">
        <v>5.4379999999999997</v>
      </c>
      <c r="AH282" s="21">
        <v>5.4420000000000002</v>
      </c>
      <c r="AI282" s="21">
        <v>5.4409999999999998</v>
      </c>
      <c r="AJ282" s="21">
        <v>5.4429999999999996</v>
      </c>
      <c r="AK282" s="21">
        <v>5.4130000000000003</v>
      </c>
      <c r="AL282" s="21">
        <v>5.4130000000000003</v>
      </c>
      <c r="AM282" s="21">
        <v>5.4089999999999998</v>
      </c>
      <c r="AN282" s="21">
        <v>5.4160000000000004</v>
      </c>
      <c r="AO282" s="21">
        <v>5.41</v>
      </c>
      <c r="AP282" s="21">
        <v>5.4059999999999997</v>
      </c>
      <c r="AQ282" s="21">
        <v>5.4059999999999997</v>
      </c>
      <c r="AR282" s="21">
        <v>5.415</v>
      </c>
      <c r="AS282" s="21">
        <v>5.4050000000000002</v>
      </c>
      <c r="AT282" s="21">
        <v>5.4039999999999999</v>
      </c>
      <c r="AU282" s="21">
        <v>5.4</v>
      </c>
      <c r="AV282" s="21">
        <v>5.407</v>
      </c>
      <c r="AW282" s="21">
        <v>5.4080000000000004</v>
      </c>
      <c r="AX282" s="21">
        <v>5.4050000000000002</v>
      </c>
      <c r="AY282" s="21">
        <v>5.3760000000000003</v>
      </c>
      <c r="AZ282" s="21">
        <v>5.3419999999999996</v>
      </c>
      <c r="BA282" s="21">
        <v>5.32</v>
      </c>
      <c r="BB282" s="21">
        <v>5.3159999999999998</v>
      </c>
      <c r="BC282" s="21">
        <v>5.3159999999999998</v>
      </c>
      <c r="BD282" s="21">
        <v>5.306</v>
      </c>
      <c r="BE282" s="21">
        <v>5.3029999999999999</v>
      </c>
      <c r="BF282" s="21">
        <v>5.3010000000000002</v>
      </c>
      <c r="BG282" s="21">
        <v>5.3029999999999999</v>
      </c>
      <c r="BH282" s="21">
        <v>5.3040000000000003</v>
      </c>
      <c r="BI282" s="21">
        <v>5.306</v>
      </c>
      <c r="BJ282" s="21">
        <v>5.31</v>
      </c>
      <c r="BK282" s="21">
        <v>5.3079999999999998</v>
      </c>
      <c r="BL282" s="21">
        <v>5.3019999999999996</v>
      </c>
      <c r="BM282" s="21">
        <v>5.3070000000000004</v>
      </c>
    </row>
    <row r="283" spans="1:65" x14ac:dyDescent="0.2">
      <c r="A283" s="21" t="s">
        <v>1413</v>
      </c>
      <c r="B283" s="21" t="s">
        <v>1414</v>
      </c>
      <c r="C283" s="21" t="s">
        <v>894</v>
      </c>
      <c r="D283" s="21">
        <v>1879579</v>
      </c>
      <c r="E283" s="21">
        <v>1916901</v>
      </c>
      <c r="F283" s="21">
        <v>2000368</v>
      </c>
      <c r="G283" s="21">
        <v>2074176</v>
      </c>
      <c r="H283" s="21">
        <v>2133787</v>
      </c>
      <c r="I283" s="21">
        <v>2202963</v>
      </c>
      <c r="J283" s="21">
        <v>2320191</v>
      </c>
      <c r="K283" s="21">
        <v>2432168</v>
      </c>
      <c r="L283" s="21">
        <v>2634570</v>
      </c>
      <c r="M283" s="21">
        <v>2746405</v>
      </c>
      <c r="N283" s="21">
        <v>2839051</v>
      </c>
      <c r="O283" s="21">
        <v>2954638</v>
      </c>
      <c r="P283" s="21">
        <v>3135133</v>
      </c>
      <c r="Q283" s="21">
        <v>3304816</v>
      </c>
      <c r="R283" s="21">
        <v>3225855</v>
      </c>
      <c r="S283" s="21">
        <v>3266952</v>
      </c>
      <c r="T283" s="21">
        <v>3430145</v>
      </c>
      <c r="U283" s="21">
        <v>3562945</v>
      </c>
      <c r="V283" s="21">
        <v>3708349</v>
      </c>
      <c r="W283" s="21">
        <v>3651966</v>
      </c>
      <c r="X283" s="21">
        <v>3493965</v>
      </c>
      <c r="Y283" s="21">
        <v>3462737</v>
      </c>
      <c r="Z283" s="21">
        <v>3397057</v>
      </c>
      <c r="AA283" s="21">
        <v>3433316</v>
      </c>
      <c r="AB283" s="21">
        <v>3510723</v>
      </c>
      <c r="AC283" s="21">
        <v>3590900</v>
      </c>
      <c r="AD283" s="21">
        <v>3719896</v>
      </c>
      <c r="AE283" s="21">
        <v>3834239</v>
      </c>
      <c r="AF283" s="21">
        <v>3969585</v>
      </c>
      <c r="AG283" s="21">
        <v>3991963</v>
      </c>
      <c r="AH283" s="21">
        <v>3973963</v>
      </c>
      <c r="AI283" s="21">
        <v>3928571</v>
      </c>
      <c r="AJ283" s="21">
        <v>3982337</v>
      </c>
      <c r="AK283" s="21">
        <v>4060215</v>
      </c>
      <c r="AL283" s="21">
        <v>4167344</v>
      </c>
      <c r="AM283" s="21">
        <v>4258914</v>
      </c>
      <c r="AN283" s="21">
        <v>4363088</v>
      </c>
      <c r="AO283" s="21">
        <v>4416041</v>
      </c>
      <c r="AP283" s="21">
        <v>4533278</v>
      </c>
      <c r="AQ283" s="21">
        <v>4659078</v>
      </c>
      <c r="AR283" s="21">
        <v>4762490</v>
      </c>
      <c r="AS283" s="21">
        <v>4722246</v>
      </c>
      <c r="AT283" s="21">
        <v>4821018</v>
      </c>
      <c r="AU283" s="21">
        <v>4849225</v>
      </c>
      <c r="AV283" s="21">
        <v>5021459</v>
      </c>
      <c r="AW283" s="21">
        <v>5094460</v>
      </c>
      <c r="AX283" s="21">
        <v>5175025</v>
      </c>
      <c r="AY283" s="21">
        <v>5214664</v>
      </c>
      <c r="AZ283" s="21">
        <v>4985233</v>
      </c>
      <c r="BA283" s="21">
        <v>4853229</v>
      </c>
      <c r="BB283" s="21">
        <v>4926205</v>
      </c>
      <c r="BC283" s="21">
        <v>4850390</v>
      </c>
      <c r="BD283" s="21">
        <v>4762085</v>
      </c>
      <c r="BE283" s="21">
        <v>4837050</v>
      </c>
      <c r="BF283" s="21">
        <v>4911068</v>
      </c>
      <c r="BG283" s="21">
        <v>4982786</v>
      </c>
      <c r="BH283" s="21">
        <v>5083939</v>
      </c>
      <c r="BI283" s="21">
        <v>5117101</v>
      </c>
      <c r="BJ283" s="21">
        <v>5166885</v>
      </c>
      <c r="BK283" s="21">
        <v>5163344</v>
      </c>
      <c r="BL283" s="21">
        <v>4374974</v>
      </c>
      <c r="BM283" s="21">
        <v>4858799</v>
      </c>
    </row>
    <row r="284" spans="1:65" x14ac:dyDescent="0.2">
      <c r="A284" s="21" t="s">
        <v>1413</v>
      </c>
      <c r="B284" s="21" t="s">
        <v>1414</v>
      </c>
      <c r="C284" s="21" t="s">
        <v>899</v>
      </c>
      <c r="D284" s="21">
        <v>1248150</v>
      </c>
      <c r="E284" s="21">
        <v>1268593</v>
      </c>
      <c r="F284" s="21">
        <v>1302550</v>
      </c>
      <c r="G284" s="21">
        <v>1286568</v>
      </c>
      <c r="H284" s="21">
        <v>1274927</v>
      </c>
      <c r="I284" s="21">
        <v>1413037</v>
      </c>
      <c r="J284" s="21">
        <v>1461052</v>
      </c>
      <c r="K284" s="21">
        <v>1512434</v>
      </c>
      <c r="L284" s="21">
        <v>1543712</v>
      </c>
      <c r="M284" s="21">
        <v>1559610</v>
      </c>
      <c r="N284" s="21">
        <v>1591939</v>
      </c>
      <c r="O284" s="21">
        <v>1550992</v>
      </c>
      <c r="P284" s="21">
        <v>1573101</v>
      </c>
      <c r="Q284" s="21">
        <v>1607397</v>
      </c>
      <c r="R284" s="21">
        <v>1460772</v>
      </c>
      <c r="S284" s="21">
        <v>1346198</v>
      </c>
      <c r="T284" s="21">
        <v>1499952</v>
      </c>
      <c r="U284" s="21">
        <v>1551978</v>
      </c>
      <c r="V284" s="21">
        <v>1490025</v>
      </c>
      <c r="W284" s="21">
        <v>1366795</v>
      </c>
      <c r="X284" s="21">
        <v>1318328</v>
      </c>
      <c r="Y284" s="21">
        <v>1121989</v>
      </c>
      <c r="Z284" s="21">
        <v>1037263</v>
      </c>
      <c r="AA284" s="21">
        <v>1170094</v>
      </c>
      <c r="AB284" s="21">
        <v>1227124</v>
      </c>
      <c r="AC284" s="21">
        <v>1082751</v>
      </c>
      <c r="AD284" s="21">
        <v>1162580</v>
      </c>
      <c r="AE284" s="21">
        <v>1131050</v>
      </c>
      <c r="AF284" s="21">
        <v>1099523</v>
      </c>
      <c r="AG284" s="21">
        <v>1040912</v>
      </c>
      <c r="AH284" s="21">
        <v>991100</v>
      </c>
      <c r="AI284" s="21">
        <v>934822</v>
      </c>
      <c r="AJ284" s="21">
        <v>893574</v>
      </c>
      <c r="AK284" s="21">
        <v>818730</v>
      </c>
      <c r="AL284" s="21">
        <v>824598</v>
      </c>
      <c r="AM284" s="21">
        <v>769132</v>
      </c>
      <c r="AN284" s="21">
        <v>789905</v>
      </c>
      <c r="AO284" s="21">
        <v>742517</v>
      </c>
      <c r="AP284" s="21">
        <v>701510</v>
      </c>
      <c r="AQ284" s="21">
        <v>707066</v>
      </c>
      <c r="AR284" s="21">
        <v>806907</v>
      </c>
      <c r="AS284" s="21">
        <v>789522</v>
      </c>
      <c r="AT284" s="21">
        <v>725633</v>
      </c>
      <c r="AU284" s="21">
        <v>842451</v>
      </c>
      <c r="AV284" s="21">
        <v>809713</v>
      </c>
      <c r="AW284" s="21">
        <v>761723</v>
      </c>
      <c r="AX284" s="21">
        <v>662150</v>
      </c>
      <c r="AY284" s="21">
        <v>647971</v>
      </c>
      <c r="AZ284" s="21">
        <v>662577</v>
      </c>
      <c r="BA284" s="21">
        <v>661467</v>
      </c>
      <c r="BB284" s="21">
        <v>649672</v>
      </c>
      <c r="BC284" s="21">
        <v>634708</v>
      </c>
      <c r="BD284" s="21">
        <v>561817</v>
      </c>
      <c r="BE284" s="21">
        <v>560153</v>
      </c>
      <c r="BF284" s="21">
        <v>580709</v>
      </c>
      <c r="BG284" s="21">
        <v>889191</v>
      </c>
      <c r="BH284" s="21">
        <v>856770</v>
      </c>
      <c r="BI284" s="21">
        <v>843824</v>
      </c>
      <c r="BJ284" s="21">
        <v>869491</v>
      </c>
      <c r="BK284" s="21">
        <v>882020</v>
      </c>
      <c r="BL284" s="21">
        <v>852092</v>
      </c>
      <c r="BM284" s="21">
        <v>924358</v>
      </c>
    </row>
    <row r="285" spans="1:65" x14ac:dyDescent="0.2">
      <c r="A285" s="21" t="s">
        <v>1413</v>
      </c>
      <c r="B285" s="21" t="s">
        <v>1414</v>
      </c>
      <c r="C285" s="21" t="s">
        <v>903</v>
      </c>
      <c r="D285" s="21">
        <v>5.7809999999999997</v>
      </c>
      <c r="E285" s="21">
        <v>5.7789999999999999</v>
      </c>
      <c r="F285" s="21">
        <v>5.7629999999999999</v>
      </c>
      <c r="G285" s="21">
        <v>5.7409999999999997</v>
      </c>
      <c r="H285" s="21">
        <v>5.7249999999999996</v>
      </c>
      <c r="I285" s="21">
        <v>5.7610000000000001</v>
      </c>
      <c r="J285" s="21">
        <v>5.766</v>
      </c>
      <c r="K285" s="21">
        <v>5.7610000000000001</v>
      </c>
      <c r="L285" s="21">
        <v>5.7370000000000001</v>
      </c>
      <c r="M285" s="21">
        <v>5.7009999999999996</v>
      </c>
      <c r="N285" s="21">
        <v>5.7089999999999996</v>
      </c>
      <c r="O285" s="21">
        <v>5.6929999999999996</v>
      </c>
      <c r="P285" s="21">
        <v>5.67</v>
      </c>
      <c r="Q285" s="21">
        <v>5.69</v>
      </c>
      <c r="R285" s="21">
        <v>5.6840000000000002</v>
      </c>
      <c r="S285" s="21">
        <v>5.649</v>
      </c>
      <c r="T285" s="21">
        <v>5.673</v>
      </c>
      <c r="U285" s="21">
        <v>5.6820000000000004</v>
      </c>
      <c r="V285" s="21">
        <v>5.6660000000000004</v>
      </c>
      <c r="W285" s="21">
        <v>5.718</v>
      </c>
      <c r="X285" s="21">
        <v>5.7519999999999998</v>
      </c>
      <c r="Y285" s="21">
        <v>5.6929999999999996</v>
      </c>
      <c r="Z285" s="21">
        <v>5.6989999999999998</v>
      </c>
      <c r="AA285" s="21">
        <v>5.5919999999999996</v>
      </c>
      <c r="AB285" s="21">
        <v>5.6580000000000004</v>
      </c>
      <c r="AC285" s="21">
        <v>5.5979999999999999</v>
      </c>
      <c r="AD285" s="21">
        <v>5.6319999999999997</v>
      </c>
      <c r="AE285" s="21">
        <v>5.5949999999999998</v>
      </c>
      <c r="AF285" s="21">
        <v>5.5979999999999999</v>
      </c>
      <c r="AG285" s="21">
        <v>5.5490000000000004</v>
      </c>
      <c r="AH285" s="21">
        <v>5.5540000000000003</v>
      </c>
      <c r="AI285" s="21">
        <v>5.5289999999999999</v>
      </c>
      <c r="AJ285" s="21">
        <v>5.5140000000000002</v>
      </c>
      <c r="AK285" s="21">
        <v>5.5049999999999999</v>
      </c>
      <c r="AL285" s="21">
        <v>5.5129999999999999</v>
      </c>
      <c r="AM285" s="21">
        <v>5.476</v>
      </c>
      <c r="AN285" s="21">
        <v>5.431</v>
      </c>
      <c r="AO285" s="21">
        <v>5.3890000000000002</v>
      </c>
      <c r="AP285" s="21">
        <v>5.3630000000000004</v>
      </c>
      <c r="AQ285" s="21">
        <v>5.2889999999999997</v>
      </c>
      <c r="AR285" s="21">
        <v>5.3129999999999997</v>
      </c>
      <c r="AS285" s="21">
        <v>5.3230000000000004</v>
      </c>
      <c r="AT285" s="21">
        <v>5.2910000000000004</v>
      </c>
      <c r="AU285" s="21">
        <v>5.3129999999999997</v>
      </c>
      <c r="AV285" s="21">
        <v>5.3239999999999998</v>
      </c>
      <c r="AW285" s="21">
        <v>5.36</v>
      </c>
      <c r="AX285" s="21">
        <v>5.2960000000000003</v>
      </c>
      <c r="AY285" s="21">
        <v>5.27</v>
      </c>
      <c r="AZ285" s="21">
        <v>5.1559999999999997</v>
      </c>
      <c r="BA285" s="21">
        <v>5.2140000000000004</v>
      </c>
      <c r="BB285" s="21">
        <v>5.1929999999999996</v>
      </c>
      <c r="BC285" s="21">
        <v>5.1719999999999997</v>
      </c>
      <c r="BD285" s="21">
        <v>5.1219999999999999</v>
      </c>
      <c r="BE285" s="21">
        <v>5.048</v>
      </c>
      <c r="BF285" s="21">
        <v>5.0110000000000001</v>
      </c>
      <c r="BG285" s="21">
        <v>5.0460000000000003</v>
      </c>
      <c r="BH285" s="21">
        <v>5.016</v>
      </c>
      <c r="BI285" s="21">
        <v>5.0010000000000003</v>
      </c>
      <c r="BJ285" s="21">
        <v>4.9669999999999996</v>
      </c>
      <c r="BK285" s="21">
        <v>4.9589999999999996</v>
      </c>
      <c r="BL285" s="21">
        <v>4.8860000000000001</v>
      </c>
      <c r="BM285" s="21">
        <v>4.907</v>
      </c>
    </row>
    <row r="286" spans="1:65" x14ac:dyDescent="0.2">
      <c r="A286" s="21" t="s">
        <v>1413</v>
      </c>
      <c r="B286" s="21" t="s">
        <v>1414</v>
      </c>
      <c r="C286" s="21" t="s">
        <v>905</v>
      </c>
      <c r="D286" s="21">
        <v>215900</v>
      </c>
      <c r="E286" s="21">
        <v>219531</v>
      </c>
      <c r="F286" s="21">
        <v>226017</v>
      </c>
      <c r="G286" s="21">
        <v>224110</v>
      </c>
      <c r="H286" s="21">
        <v>222701</v>
      </c>
      <c r="I286" s="21">
        <v>245280</v>
      </c>
      <c r="J286" s="21">
        <v>253376</v>
      </c>
      <c r="K286" s="21">
        <v>262540</v>
      </c>
      <c r="L286" s="21">
        <v>269098</v>
      </c>
      <c r="M286" s="21">
        <v>273553</v>
      </c>
      <c r="N286" s="21">
        <v>278864</v>
      </c>
      <c r="O286" s="21">
        <v>272426</v>
      </c>
      <c r="P286" s="21">
        <v>277464</v>
      </c>
      <c r="Q286" s="21">
        <v>282506</v>
      </c>
      <c r="R286" s="21">
        <v>257018</v>
      </c>
      <c r="S286" s="21">
        <v>238295</v>
      </c>
      <c r="T286" s="21">
        <v>264421</v>
      </c>
      <c r="U286" s="21">
        <v>273131</v>
      </c>
      <c r="V286" s="21">
        <v>262992</v>
      </c>
      <c r="W286" s="21">
        <v>239047</v>
      </c>
      <c r="X286" s="21">
        <v>229211</v>
      </c>
      <c r="Y286" s="21">
        <v>197074</v>
      </c>
      <c r="Z286" s="21">
        <v>182016</v>
      </c>
      <c r="AA286" s="21">
        <v>209246</v>
      </c>
      <c r="AB286" s="21">
        <v>216886</v>
      </c>
      <c r="AC286" s="21">
        <v>193402</v>
      </c>
      <c r="AD286" s="21">
        <v>206416</v>
      </c>
      <c r="AE286" s="21">
        <v>202172</v>
      </c>
      <c r="AF286" s="21">
        <v>196429</v>
      </c>
      <c r="AG286" s="21">
        <v>187572</v>
      </c>
      <c r="AH286" s="21">
        <v>178461</v>
      </c>
      <c r="AI286" s="21">
        <v>169068</v>
      </c>
      <c r="AJ286" s="21">
        <v>162050</v>
      </c>
      <c r="AK286" s="21">
        <v>148729</v>
      </c>
      <c r="AL286" s="21">
        <v>149587</v>
      </c>
      <c r="AM286" s="21">
        <v>140453</v>
      </c>
      <c r="AN286" s="21">
        <v>145448</v>
      </c>
      <c r="AO286" s="21">
        <v>137796</v>
      </c>
      <c r="AP286" s="21">
        <v>130815</v>
      </c>
      <c r="AQ286" s="21">
        <v>133692</v>
      </c>
      <c r="AR286" s="21">
        <v>151864</v>
      </c>
      <c r="AS286" s="21">
        <v>148333</v>
      </c>
      <c r="AT286" s="21">
        <v>137150</v>
      </c>
      <c r="AU286" s="21">
        <v>158566</v>
      </c>
      <c r="AV286" s="21">
        <v>152074</v>
      </c>
      <c r="AW286" s="21">
        <v>142120</v>
      </c>
      <c r="AX286" s="21">
        <v>125018</v>
      </c>
      <c r="AY286" s="21">
        <v>122951</v>
      </c>
      <c r="AZ286" s="21">
        <v>128495</v>
      </c>
      <c r="BA286" s="21">
        <v>126855</v>
      </c>
      <c r="BB286" s="21">
        <v>125105</v>
      </c>
      <c r="BC286" s="21">
        <v>122715</v>
      </c>
      <c r="BD286" s="21">
        <v>109689</v>
      </c>
      <c r="BE286" s="21">
        <v>110975</v>
      </c>
      <c r="BF286" s="21">
        <v>115890</v>
      </c>
      <c r="BG286" s="21">
        <v>176212</v>
      </c>
      <c r="BH286" s="21">
        <v>170800</v>
      </c>
      <c r="BI286" s="21">
        <v>168741</v>
      </c>
      <c r="BJ286" s="21">
        <v>175071</v>
      </c>
      <c r="BK286" s="21">
        <v>177878</v>
      </c>
      <c r="BL286" s="21">
        <v>174408</v>
      </c>
      <c r="BM286" s="21">
        <v>188360</v>
      </c>
    </row>
    <row r="287" spans="1:65" x14ac:dyDescent="0.2">
      <c r="A287" s="21" t="s">
        <v>1413</v>
      </c>
      <c r="B287" s="21" t="s">
        <v>1414</v>
      </c>
      <c r="C287" s="21" t="s">
        <v>908</v>
      </c>
      <c r="D287" s="21">
        <v>552715</v>
      </c>
      <c r="E287" s="21">
        <v>557278</v>
      </c>
      <c r="F287" s="21">
        <v>559585</v>
      </c>
      <c r="G287" s="21">
        <v>584707</v>
      </c>
      <c r="H287" s="21">
        <v>633882</v>
      </c>
      <c r="I287" s="21">
        <v>722002</v>
      </c>
      <c r="J287" s="21">
        <v>883230</v>
      </c>
      <c r="K287" s="21">
        <v>1010541</v>
      </c>
      <c r="L287" s="21">
        <v>1181450</v>
      </c>
      <c r="M287" s="21">
        <v>1571294</v>
      </c>
      <c r="N287" s="21">
        <v>2117337</v>
      </c>
      <c r="O287" s="21">
        <v>2494999</v>
      </c>
      <c r="P287" s="21">
        <v>3097087</v>
      </c>
      <c r="Q287" s="21">
        <v>3514815</v>
      </c>
      <c r="R287" s="21">
        <v>3365031</v>
      </c>
      <c r="S287" s="21">
        <v>3165675</v>
      </c>
      <c r="T287" s="21">
        <v>3477133</v>
      </c>
      <c r="U287" s="21">
        <v>3900624</v>
      </c>
      <c r="V287" s="21">
        <v>3986863</v>
      </c>
      <c r="W287" s="21">
        <v>3283366</v>
      </c>
      <c r="X287" s="21">
        <v>2633561</v>
      </c>
      <c r="Y287" s="21">
        <v>2201663</v>
      </c>
      <c r="Z287" s="21">
        <v>1567654</v>
      </c>
      <c r="AA287" s="21">
        <v>1543683</v>
      </c>
      <c r="AB287" s="21">
        <v>1286116</v>
      </c>
      <c r="AC287" s="21">
        <v>1090459</v>
      </c>
      <c r="AD287" s="21">
        <v>1451843</v>
      </c>
      <c r="AE287" s="21">
        <v>1256859</v>
      </c>
      <c r="AF287" s="21">
        <v>1563425</v>
      </c>
      <c r="AG287" s="21">
        <v>1703091</v>
      </c>
      <c r="AH287" s="21">
        <v>1289433</v>
      </c>
      <c r="AI287" s="21">
        <v>1198261</v>
      </c>
      <c r="AJ287" s="21">
        <v>990707</v>
      </c>
      <c r="AK287" s="21">
        <v>1123790</v>
      </c>
      <c r="AL287" s="21">
        <v>1058680</v>
      </c>
      <c r="AM287" s="21">
        <v>754504</v>
      </c>
      <c r="AN287" s="21">
        <v>817262</v>
      </c>
      <c r="AO287" s="21">
        <v>926706</v>
      </c>
      <c r="AP287" s="21">
        <v>1306095</v>
      </c>
      <c r="AQ287" s="21">
        <v>1211206</v>
      </c>
      <c r="AR287" s="21">
        <v>1144140</v>
      </c>
      <c r="AS287" s="21">
        <v>1276376</v>
      </c>
      <c r="AT287" s="21">
        <v>961185</v>
      </c>
      <c r="AU287" s="21">
        <v>1204819</v>
      </c>
      <c r="AV287" s="21">
        <v>1200997</v>
      </c>
      <c r="AW287" s="21">
        <v>1222065</v>
      </c>
      <c r="AX287" s="21">
        <v>636958</v>
      </c>
      <c r="AY287" s="21">
        <v>647831</v>
      </c>
      <c r="AZ287" s="21">
        <v>459335</v>
      </c>
      <c r="BA287" s="21">
        <v>382323</v>
      </c>
      <c r="BB287" s="21">
        <v>370284</v>
      </c>
      <c r="BC287" s="21">
        <v>294975</v>
      </c>
      <c r="BD287" s="21">
        <v>214141</v>
      </c>
      <c r="BE287" s="21">
        <v>255057</v>
      </c>
      <c r="BF287" s="21">
        <v>295327</v>
      </c>
      <c r="BG287" s="21">
        <v>275830</v>
      </c>
      <c r="BH287" s="21">
        <v>243747</v>
      </c>
      <c r="BI287" s="21">
        <v>217579</v>
      </c>
      <c r="BJ287" s="21">
        <v>260168</v>
      </c>
      <c r="BK287" s="21">
        <v>188474</v>
      </c>
      <c r="BL287" s="21">
        <v>184290</v>
      </c>
      <c r="BM287" s="21">
        <v>204957</v>
      </c>
    </row>
    <row r="288" spans="1:65" x14ac:dyDescent="0.2">
      <c r="A288" s="21" t="s">
        <v>1413</v>
      </c>
      <c r="B288" s="21" t="s">
        <v>1414</v>
      </c>
      <c r="C288" s="21" t="s">
        <v>912</v>
      </c>
      <c r="D288" s="21">
        <v>6.2670000000000003</v>
      </c>
      <c r="E288" s="21">
        <v>6.2679999999999998</v>
      </c>
      <c r="F288" s="21">
        <v>6.2670000000000003</v>
      </c>
      <c r="G288" s="21">
        <v>6.266</v>
      </c>
      <c r="H288" s="21">
        <v>6.2670000000000003</v>
      </c>
      <c r="I288" s="21">
        <v>6.2670000000000003</v>
      </c>
      <c r="J288" s="21">
        <v>6.266</v>
      </c>
      <c r="K288" s="21">
        <v>6.266</v>
      </c>
      <c r="L288" s="21">
        <v>6.2629999999999999</v>
      </c>
      <c r="M288" s="21">
        <v>6.2590000000000003</v>
      </c>
      <c r="N288" s="21">
        <v>6.2519999999999998</v>
      </c>
      <c r="O288" s="21">
        <v>6.2450000000000001</v>
      </c>
      <c r="P288" s="21">
        <v>6.2329999999999997</v>
      </c>
      <c r="Q288" s="21">
        <v>6.2450000000000001</v>
      </c>
      <c r="R288" s="21">
        <v>6.2380000000000004</v>
      </c>
      <c r="S288" s="21">
        <v>6.25</v>
      </c>
      <c r="T288" s="21">
        <v>6.2510000000000003</v>
      </c>
      <c r="U288" s="21">
        <v>6.2489999999999997</v>
      </c>
      <c r="V288" s="21">
        <v>6.2510000000000003</v>
      </c>
      <c r="W288" s="21">
        <v>6.258</v>
      </c>
      <c r="X288" s="21">
        <v>6.2539999999999996</v>
      </c>
      <c r="Y288" s="21">
        <v>6.258</v>
      </c>
      <c r="Z288" s="21">
        <v>6.258</v>
      </c>
      <c r="AA288" s="21">
        <v>6.2549999999999999</v>
      </c>
      <c r="AB288" s="21">
        <v>6.2510000000000003</v>
      </c>
      <c r="AC288" s="21">
        <v>6.2469999999999999</v>
      </c>
      <c r="AD288" s="21">
        <v>6.2569999999999997</v>
      </c>
      <c r="AE288" s="21">
        <v>6.2489999999999997</v>
      </c>
      <c r="AF288" s="21">
        <v>6.25</v>
      </c>
      <c r="AG288" s="21">
        <v>6.24</v>
      </c>
      <c r="AH288" s="21">
        <v>6.2439999999999998</v>
      </c>
      <c r="AI288" s="21">
        <v>6.2460000000000004</v>
      </c>
      <c r="AJ288" s="21">
        <v>6.2380000000000004</v>
      </c>
      <c r="AK288" s="21">
        <v>6.23</v>
      </c>
      <c r="AL288" s="21">
        <v>6.2130000000000001</v>
      </c>
      <c r="AM288" s="21">
        <v>6.1870000000000003</v>
      </c>
      <c r="AN288" s="21">
        <v>6.194</v>
      </c>
      <c r="AO288" s="21">
        <v>6.1980000000000004</v>
      </c>
      <c r="AP288" s="21">
        <v>6.21</v>
      </c>
      <c r="AQ288" s="21">
        <v>6.2039999999999997</v>
      </c>
      <c r="AR288" s="21">
        <v>6.1879999999999997</v>
      </c>
      <c r="AS288" s="21">
        <v>6.1989999999999998</v>
      </c>
      <c r="AT288" s="21">
        <v>6.1719999999999997</v>
      </c>
      <c r="AU288" s="21">
        <v>6.1820000000000004</v>
      </c>
      <c r="AV288" s="21">
        <v>6.1340000000000003</v>
      </c>
      <c r="AW288" s="21">
        <v>6.1260000000000003</v>
      </c>
      <c r="AX288" s="21">
        <v>6.0380000000000003</v>
      </c>
      <c r="AY288" s="21">
        <v>6.0640000000000001</v>
      </c>
      <c r="AZ288" s="21">
        <v>6.0129999999999999</v>
      </c>
      <c r="BA288" s="21">
        <v>5.9859999999999998</v>
      </c>
      <c r="BB288" s="21">
        <v>5.9550000000000001</v>
      </c>
      <c r="BC288" s="21">
        <v>5.8979999999999997</v>
      </c>
      <c r="BD288" s="21">
        <v>5.923</v>
      </c>
      <c r="BE288" s="21">
        <v>5.89</v>
      </c>
      <c r="BF288" s="21">
        <v>5.9029999999999996</v>
      </c>
      <c r="BG288" s="21">
        <v>5.9119999999999999</v>
      </c>
      <c r="BH288" s="21">
        <v>5.8819999999999997</v>
      </c>
      <c r="BI288" s="21">
        <v>5.89</v>
      </c>
      <c r="BJ288" s="21">
        <v>5.8920000000000003</v>
      </c>
      <c r="BK288" s="21">
        <v>5.8970000000000002</v>
      </c>
      <c r="BL288" s="21">
        <v>5.88</v>
      </c>
      <c r="BM288" s="21">
        <v>5.8810000000000002</v>
      </c>
    </row>
    <row r="289" spans="1:65" x14ac:dyDescent="0.2">
      <c r="A289" s="21" t="s">
        <v>1413</v>
      </c>
      <c r="B289" s="21" t="s">
        <v>1414</v>
      </c>
      <c r="C289" s="21" t="s">
        <v>914</v>
      </c>
      <c r="D289" s="21">
        <v>88195</v>
      </c>
      <c r="E289" s="21">
        <v>88912</v>
      </c>
      <c r="F289" s="21">
        <v>89294</v>
      </c>
      <c r="G289" s="21">
        <v>93314</v>
      </c>
      <c r="H289" s="21">
        <v>101141</v>
      </c>
      <c r="I289" s="21">
        <v>115203</v>
      </c>
      <c r="J289" s="21">
        <v>140949</v>
      </c>
      <c r="K289" s="21">
        <v>161278</v>
      </c>
      <c r="L289" s="21">
        <v>188642</v>
      </c>
      <c r="M289" s="21">
        <v>251027</v>
      </c>
      <c r="N289" s="21">
        <v>338686</v>
      </c>
      <c r="O289" s="21">
        <v>399496</v>
      </c>
      <c r="P289" s="21">
        <v>496895</v>
      </c>
      <c r="Q289" s="21">
        <v>562781</v>
      </c>
      <c r="R289" s="21">
        <v>539399</v>
      </c>
      <c r="S289" s="21">
        <v>506479</v>
      </c>
      <c r="T289" s="21">
        <v>556261</v>
      </c>
      <c r="U289" s="21">
        <v>624193</v>
      </c>
      <c r="V289" s="21">
        <v>637830</v>
      </c>
      <c r="W289" s="21">
        <v>524636</v>
      </c>
      <c r="X289" s="21">
        <v>421110</v>
      </c>
      <c r="Y289" s="21">
        <v>351806</v>
      </c>
      <c r="Z289" s="21">
        <v>250517</v>
      </c>
      <c r="AA289" s="21">
        <v>246804</v>
      </c>
      <c r="AB289" s="21">
        <v>205736</v>
      </c>
      <c r="AC289" s="21">
        <v>174571</v>
      </c>
      <c r="AD289" s="21">
        <v>232046</v>
      </c>
      <c r="AE289" s="21">
        <v>201116</v>
      </c>
      <c r="AF289" s="21">
        <v>250141</v>
      </c>
      <c r="AG289" s="21">
        <v>272921</v>
      </c>
      <c r="AH289" s="21">
        <v>206523</v>
      </c>
      <c r="AI289" s="21">
        <v>191852</v>
      </c>
      <c r="AJ289" s="21">
        <v>158820</v>
      </c>
      <c r="AK289" s="21">
        <v>180386</v>
      </c>
      <c r="AL289" s="21">
        <v>170407</v>
      </c>
      <c r="AM289" s="21">
        <v>121948</v>
      </c>
      <c r="AN289" s="21">
        <v>131940</v>
      </c>
      <c r="AO289" s="21">
        <v>149516</v>
      </c>
      <c r="AP289" s="21">
        <v>210338</v>
      </c>
      <c r="AQ289" s="21">
        <v>195224</v>
      </c>
      <c r="AR289" s="21">
        <v>184904</v>
      </c>
      <c r="AS289" s="21">
        <v>205914</v>
      </c>
      <c r="AT289" s="21">
        <v>155730</v>
      </c>
      <c r="AU289" s="21">
        <v>194906</v>
      </c>
      <c r="AV289" s="21">
        <v>195784</v>
      </c>
      <c r="AW289" s="21">
        <v>199499</v>
      </c>
      <c r="AX289" s="21">
        <v>105495</v>
      </c>
      <c r="AY289" s="21">
        <v>106837</v>
      </c>
      <c r="AZ289" s="21">
        <v>76386</v>
      </c>
      <c r="BA289" s="21">
        <v>63871</v>
      </c>
      <c r="BB289" s="21">
        <v>62178</v>
      </c>
      <c r="BC289" s="21">
        <v>50010</v>
      </c>
      <c r="BD289" s="21">
        <v>36156</v>
      </c>
      <c r="BE289" s="21">
        <v>43304</v>
      </c>
      <c r="BF289" s="21">
        <v>50027</v>
      </c>
      <c r="BG289" s="21">
        <v>46656</v>
      </c>
      <c r="BH289" s="21">
        <v>41441</v>
      </c>
      <c r="BI289" s="21">
        <v>36943</v>
      </c>
      <c r="BJ289" s="21">
        <v>44158</v>
      </c>
      <c r="BK289" s="21">
        <v>31962</v>
      </c>
      <c r="BL289" s="21">
        <v>31342</v>
      </c>
      <c r="BM289" s="21">
        <v>34851</v>
      </c>
    </row>
    <row r="290" spans="1:65" x14ac:dyDescent="0.2">
      <c r="A290" s="21" t="s">
        <v>1413</v>
      </c>
      <c r="B290" s="21" t="s">
        <v>1414</v>
      </c>
      <c r="C290" s="21" t="s">
        <v>917</v>
      </c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>
        <v>57445</v>
      </c>
      <c r="BA290" s="21">
        <v>56781</v>
      </c>
      <c r="BB290" s="21">
        <v>55647</v>
      </c>
      <c r="BC290" s="21">
        <v>51482</v>
      </c>
      <c r="BD290" s="21">
        <v>47167</v>
      </c>
      <c r="BE290" s="21">
        <v>43523</v>
      </c>
      <c r="BF290" s="21">
        <v>41135</v>
      </c>
      <c r="BG290" s="21">
        <v>36830</v>
      </c>
      <c r="BH290" s="21">
        <v>34382</v>
      </c>
      <c r="BI290" s="21">
        <v>33307</v>
      </c>
      <c r="BJ290" s="21">
        <v>32218</v>
      </c>
      <c r="BK290" s="21">
        <v>31401</v>
      </c>
      <c r="BL290" s="21">
        <v>27570</v>
      </c>
      <c r="BM290" s="21">
        <v>28206</v>
      </c>
    </row>
    <row r="291" spans="1:65" x14ac:dyDescent="0.2">
      <c r="A291" s="21" t="s">
        <v>1413</v>
      </c>
      <c r="B291" s="21" t="s">
        <v>1414</v>
      </c>
      <c r="C291" s="21" t="s">
        <v>919</v>
      </c>
      <c r="D291" s="21">
        <v>5719806</v>
      </c>
      <c r="E291" s="21">
        <v>5724904</v>
      </c>
      <c r="F291" s="21">
        <v>5964221</v>
      </c>
      <c r="G291" s="21">
        <v>6191897</v>
      </c>
      <c r="H291" s="21">
        <v>6509107</v>
      </c>
      <c r="I291" s="21">
        <v>6750274</v>
      </c>
      <c r="J291" s="21">
        <v>7068016</v>
      </c>
      <c r="K291" s="21">
        <v>7108871</v>
      </c>
      <c r="L291" s="21">
        <v>7372498</v>
      </c>
      <c r="M291" s="21">
        <v>7671853</v>
      </c>
      <c r="N291" s="21">
        <v>7754715</v>
      </c>
      <c r="O291" s="21">
        <v>7822871</v>
      </c>
      <c r="P291" s="21">
        <v>8489062</v>
      </c>
      <c r="Q291" s="21">
        <v>9050815</v>
      </c>
      <c r="R291" s="21">
        <v>8639689</v>
      </c>
      <c r="S291" s="21">
        <v>8092081</v>
      </c>
      <c r="T291" s="21">
        <v>8953201</v>
      </c>
      <c r="U291" s="21">
        <v>9704791</v>
      </c>
      <c r="V291" s="21">
        <v>9790185</v>
      </c>
      <c r="W291" s="21">
        <v>10500861</v>
      </c>
      <c r="X291" s="21">
        <v>9463945</v>
      </c>
      <c r="Y291" s="21">
        <v>8216262</v>
      </c>
      <c r="Z291" s="21">
        <v>7718675</v>
      </c>
      <c r="AA291" s="21">
        <v>7334399</v>
      </c>
      <c r="AB291" s="21">
        <v>7926002</v>
      </c>
      <c r="AC291" s="21">
        <v>7656104</v>
      </c>
      <c r="AD291" s="21">
        <v>7812102</v>
      </c>
      <c r="AE291" s="21">
        <v>7995978</v>
      </c>
      <c r="AF291" s="21">
        <v>8267689</v>
      </c>
      <c r="AG291" s="21">
        <v>8052757</v>
      </c>
      <c r="AH291" s="21">
        <v>8199798</v>
      </c>
      <c r="AI291" s="21">
        <v>7901386</v>
      </c>
      <c r="AJ291" s="21">
        <v>8495155</v>
      </c>
      <c r="AK291" s="21">
        <v>8328383</v>
      </c>
      <c r="AL291" s="21">
        <v>8714862</v>
      </c>
      <c r="AM291" s="21">
        <v>8526736</v>
      </c>
      <c r="AN291" s="21">
        <v>8954058</v>
      </c>
      <c r="AO291" s="21">
        <v>9191132</v>
      </c>
      <c r="AP291" s="21">
        <v>9020751</v>
      </c>
      <c r="AQ291" s="21">
        <v>9286277</v>
      </c>
      <c r="AR291" s="21">
        <v>9000765</v>
      </c>
      <c r="AS291" s="21">
        <v>9112765</v>
      </c>
      <c r="AT291" s="21">
        <v>9098914</v>
      </c>
      <c r="AU291" s="21">
        <v>9168956</v>
      </c>
      <c r="AV291" s="21">
        <v>9760956</v>
      </c>
      <c r="AW291" s="21">
        <v>9575164</v>
      </c>
      <c r="AX291" s="21">
        <v>9703295</v>
      </c>
      <c r="AY291" s="21">
        <v>9373194</v>
      </c>
      <c r="AZ291" s="21">
        <v>8514483</v>
      </c>
      <c r="BA291" s="21">
        <v>7732777</v>
      </c>
      <c r="BB291" s="21">
        <v>8099226</v>
      </c>
      <c r="BC291" s="21">
        <v>8070628</v>
      </c>
      <c r="BD291" s="21">
        <v>8080969</v>
      </c>
      <c r="BE291" s="21">
        <v>8276041</v>
      </c>
      <c r="BF291" s="21">
        <v>8032837</v>
      </c>
      <c r="BG291" s="21">
        <v>8150662</v>
      </c>
      <c r="BH291" s="21">
        <v>8257595</v>
      </c>
      <c r="BI291" s="21">
        <v>8442889</v>
      </c>
      <c r="BJ291" s="21">
        <v>8763267</v>
      </c>
      <c r="BK291" s="21">
        <v>8801168</v>
      </c>
      <c r="BL291" s="21">
        <v>8492584</v>
      </c>
      <c r="BM291" s="21">
        <v>8902437</v>
      </c>
    </row>
    <row r="292" spans="1:65" x14ac:dyDescent="0.2">
      <c r="A292" s="21" t="s">
        <v>1413</v>
      </c>
      <c r="B292" s="21" t="s">
        <v>1414</v>
      </c>
      <c r="C292" s="21" t="s">
        <v>923</v>
      </c>
      <c r="D292" s="21">
        <v>5.7720000000000002</v>
      </c>
      <c r="E292" s="21">
        <v>5.766</v>
      </c>
      <c r="F292" s="21">
        <v>5.7539999999999996</v>
      </c>
      <c r="G292" s="21">
        <v>5.7270000000000003</v>
      </c>
      <c r="H292" s="21">
        <v>5.6959999999999997</v>
      </c>
      <c r="I292" s="21">
        <v>5.6950000000000003</v>
      </c>
      <c r="J292" s="21">
        <v>5.6890000000000001</v>
      </c>
      <c r="K292" s="21">
        <v>5.6740000000000004</v>
      </c>
      <c r="L292" s="21">
        <v>5.633</v>
      </c>
      <c r="M292" s="21">
        <v>5.585</v>
      </c>
      <c r="N292" s="21">
        <v>5.58</v>
      </c>
      <c r="O292" s="21">
        <v>5.5739999999999998</v>
      </c>
      <c r="P292" s="21">
        <v>5.5339999999999998</v>
      </c>
      <c r="Q292" s="21">
        <v>5.5369999999999999</v>
      </c>
      <c r="R292" s="21">
        <v>5.5039999999999996</v>
      </c>
      <c r="S292" s="21">
        <v>5.49</v>
      </c>
      <c r="T292" s="21">
        <v>5.5010000000000003</v>
      </c>
      <c r="U292" s="21">
        <v>5.5149999999999997</v>
      </c>
      <c r="V292" s="21">
        <v>5.5110000000000001</v>
      </c>
      <c r="W292" s="21">
        <v>5.3840000000000003</v>
      </c>
      <c r="X292" s="21">
        <v>5.34</v>
      </c>
      <c r="Y292" s="21">
        <v>5.2679999999999998</v>
      </c>
      <c r="Z292" s="21">
        <v>5.2110000000000003</v>
      </c>
      <c r="AA292" s="21">
        <v>5.2140000000000004</v>
      </c>
      <c r="AB292" s="21">
        <v>5.1680000000000001</v>
      </c>
      <c r="AC292" s="21">
        <v>5.16</v>
      </c>
      <c r="AD292" s="21">
        <v>5.2370000000000001</v>
      </c>
      <c r="AE292" s="21">
        <v>5.2030000000000003</v>
      </c>
      <c r="AF292" s="21">
        <v>5.1970000000000001</v>
      </c>
      <c r="AG292" s="21">
        <v>5.19</v>
      </c>
      <c r="AH292" s="21">
        <v>5.22</v>
      </c>
      <c r="AI292" s="21">
        <v>5.1310000000000002</v>
      </c>
      <c r="AJ292" s="21">
        <v>5.133</v>
      </c>
      <c r="AK292" s="21">
        <v>5.141</v>
      </c>
      <c r="AL292" s="21">
        <v>5.1159999999999997</v>
      </c>
      <c r="AM292" s="21">
        <v>5.085</v>
      </c>
      <c r="AN292" s="21">
        <v>5.077</v>
      </c>
      <c r="AO292" s="21">
        <v>5.0839999999999996</v>
      </c>
      <c r="AP292" s="21">
        <v>5.1020000000000003</v>
      </c>
      <c r="AQ292" s="21">
        <v>5.0529999999999999</v>
      </c>
      <c r="AR292" s="21">
        <v>5.0149999999999997</v>
      </c>
      <c r="AS292" s="21">
        <v>5.1040000000000001</v>
      </c>
      <c r="AT292" s="21">
        <v>5.0529999999999999</v>
      </c>
      <c r="AU292" s="21">
        <v>5.1079999999999997</v>
      </c>
      <c r="AV292" s="21">
        <v>5.1070000000000002</v>
      </c>
      <c r="AW292" s="21">
        <v>5.1440000000000001</v>
      </c>
      <c r="AX292" s="21">
        <v>5.12</v>
      </c>
      <c r="AY292" s="21">
        <v>5.0789999999999997</v>
      </c>
      <c r="AZ292" s="21">
        <v>5.1029999999999998</v>
      </c>
      <c r="BA292" s="21">
        <v>4.9589999999999996</v>
      </c>
      <c r="BB292" s="21">
        <v>4.92</v>
      </c>
      <c r="BC292" s="21">
        <v>4.8860000000000001</v>
      </c>
      <c r="BD292" s="21">
        <v>4.843</v>
      </c>
      <c r="BE292" s="21">
        <v>4.8</v>
      </c>
      <c r="BF292" s="21">
        <v>4.8029999999999999</v>
      </c>
      <c r="BG292" s="21">
        <v>4.766</v>
      </c>
      <c r="BH292" s="21">
        <v>4.7969999999999997</v>
      </c>
      <c r="BI292" s="21">
        <v>4.7670000000000003</v>
      </c>
      <c r="BJ292" s="21">
        <v>4.6630000000000003</v>
      </c>
      <c r="BK292" s="21">
        <v>4.6449999999999996</v>
      </c>
      <c r="BL292" s="21">
        <v>4.532</v>
      </c>
      <c r="BM292" s="21">
        <v>4.524</v>
      </c>
    </row>
    <row r="293" spans="1:65" x14ac:dyDescent="0.2">
      <c r="A293" s="21" t="s">
        <v>1413</v>
      </c>
      <c r="B293" s="21" t="s">
        <v>1414</v>
      </c>
      <c r="C293" s="21" t="s">
        <v>925</v>
      </c>
      <c r="D293" s="21">
        <v>991010</v>
      </c>
      <c r="E293" s="21">
        <v>992838</v>
      </c>
      <c r="F293" s="21">
        <v>1036570</v>
      </c>
      <c r="G293" s="21">
        <v>1081125</v>
      </c>
      <c r="H293" s="21">
        <v>1142842</v>
      </c>
      <c r="I293" s="21">
        <v>1185235</v>
      </c>
      <c r="J293" s="21">
        <v>1242330</v>
      </c>
      <c r="K293" s="21">
        <v>1252905</v>
      </c>
      <c r="L293" s="21">
        <v>1308774</v>
      </c>
      <c r="M293" s="21">
        <v>1373685</v>
      </c>
      <c r="N293" s="21">
        <v>1389859</v>
      </c>
      <c r="O293" s="21">
        <v>1403395</v>
      </c>
      <c r="P293" s="21">
        <v>1533870</v>
      </c>
      <c r="Q293" s="21">
        <v>1634662</v>
      </c>
      <c r="R293" s="21">
        <v>1569837</v>
      </c>
      <c r="S293" s="21">
        <v>1473948</v>
      </c>
      <c r="T293" s="21">
        <v>1627610</v>
      </c>
      <c r="U293" s="21">
        <v>1759847</v>
      </c>
      <c r="V293" s="21">
        <v>1776630</v>
      </c>
      <c r="W293" s="21">
        <v>1950240</v>
      </c>
      <c r="X293" s="21">
        <v>1772263</v>
      </c>
      <c r="Y293" s="21">
        <v>1559621</v>
      </c>
      <c r="Z293" s="21">
        <v>1481108</v>
      </c>
      <c r="AA293" s="21">
        <v>1406667</v>
      </c>
      <c r="AB293" s="21">
        <v>1533787</v>
      </c>
      <c r="AC293" s="21">
        <v>1483849</v>
      </c>
      <c r="AD293" s="21">
        <v>1491629</v>
      </c>
      <c r="AE293" s="21">
        <v>1536670</v>
      </c>
      <c r="AF293" s="21">
        <v>1590992</v>
      </c>
      <c r="AG293" s="21">
        <v>1551569</v>
      </c>
      <c r="AH293" s="21">
        <v>1570865</v>
      </c>
      <c r="AI293" s="21">
        <v>1540004</v>
      </c>
      <c r="AJ293" s="21">
        <v>1654872</v>
      </c>
      <c r="AK293" s="21">
        <v>1620009</v>
      </c>
      <c r="AL293" s="21">
        <v>1703547</v>
      </c>
      <c r="AM293" s="21">
        <v>1676811</v>
      </c>
      <c r="AN293" s="21">
        <v>1763762</v>
      </c>
      <c r="AO293" s="21">
        <v>1807997</v>
      </c>
      <c r="AP293" s="21">
        <v>1768206</v>
      </c>
      <c r="AQ293" s="21">
        <v>1837738</v>
      </c>
      <c r="AR293" s="21">
        <v>1794673</v>
      </c>
      <c r="AS293" s="21">
        <v>1785541</v>
      </c>
      <c r="AT293" s="21">
        <v>1800772</v>
      </c>
      <c r="AU293" s="21">
        <v>1795187</v>
      </c>
      <c r="AV293" s="21">
        <v>1911340</v>
      </c>
      <c r="AW293" s="21">
        <v>1861593</v>
      </c>
      <c r="AX293" s="21">
        <v>1895278</v>
      </c>
      <c r="AY293" s="21">
        <v>1845410</v>
      </c>
      <c r="AZ293" s="21">
        <v>1668580</v>
      </c>
      <c r="BA293" s="21">
        <v>1559401</v>
      </c>
      <c r="BB293" s="21">
        <v>1646061</v>
      </c>
      <c r="BC293" s="21">
        <v>1651733</v>
      </c>
      <c r="BD293" s="21">
        <v>1668730</v>
      </c>
      <c r="BE293" s="21">
        <v>1724214</v>
      </c>
      <c r="BF293" s="21">
        <v>1672488</v>
      </c>
      <c r="BG293" s="21">
        <v>1710069</v>
      </c>
      <c r="BH293" s="21">
        <v>1721420</v>
      </c>
      <c r="BI293" s="21">
        <v>1771141</v>
      </c>
      <c r="BJ293" s="21">
        <v>1879349</v>
      </c>
      <c r="BK293" s="21">
        <v>1894838</v>
      </c>
      <c r="BL293" s="21">
        <v>1873785</v>
      </c>
      <c r="BM293" s="21">
        <v>1967954</v>
      </c>
    </row>
    <row r="294" spans="1:65" x14ac:dyDescent="0.2">
      <c r="A294" s="21" t="s">
        <v>1413</v>
      </c>
      <c r="B294" s="21" t="s">
        <v>1414</v>
      </c>
      <c r="C294" s="21" t="s">
        <v>933</v>
      </c>
      <c r="D294" s="21">
        <v>2227541</v>
      </c>
      <c r="E294" s="21">
        <v>2293262</v>
      </c>
      <c r="F294" s="21">
        <v>2398962</v>
      </c>
      <c r="G294" s="21">
        <v>2414599</v>
      </c>
      <c r="H294" s="21">
        <v>2325975</v>
      </c>
      <c r="I294" s="21">
        <v>2432422</v>
      </c>
      <c r="J294" s="21">
        <v>2422338</v>
      </c>
      <c r="K294" s="21">
        <v>2527827</v>
      </c>
      <c r="L294" s="21">
        <v>2655224</v>
      </c>
      <c r="M294" s="21">
        <v>2705506</v>
      </c>
      <c r="N294" s="21">
        <v>2725574</v>
      </c>
      <c r="O294" s="21">
        <v>2748505</v>
      </c>
      <c r="P294" s="21">
        <v>2868224</v>
      </c>
      <c r="Q294" s="21">
        <v>2801069</v>
      </c>
      <c r="R294" s="21">
        <v>2554524</v>
      </c>
      <c r="S294" s="21">
        <v>2479439</v>
      </c>
      <c r="T294" s="21">
        <v>2703974</v>
      </c>
      <c r="U294" s="21">
        <v>2681960</v>
      </c>
      <c r="V294" s="21">
        <v>2608152</v>
      </c>
      <c r="W294" s="21">
        <v>2099222</v>
      </c>
      <c r="X294" s="21">
        <v>1734431</v>
      </c>
      <c r="Y294" s="21">
        <v>1531454</v>
      </c>
      <c r="Z294" s="21">
        <v>1433921</v>
      </c>
      <c r="AA294" s="21">
        <v>1353854</v>
      </c>
      <c r="AB294" s="21">
        <v>1531080</v>
      </c>
      <c r="AC294" s="21">
        <v>1565590</v>
      </c>
      <c r="AD294" s="21">
        <v>1540970</v>
      </c>
      <c r="AE294" s="21">
        <v>1617027</v>
      </c>
      <c r="AF294" s="21">
        <v>1675172</v>
      </c>
      <c r="AG294" s="21">
        <v>1660749</v>
      </c>
      <c r="AH294" s="21">
        <v>1394636</v>
      </c>
      <c r="AI294" s="21">
        <v>1381346</v>
      </c>
      <c r="AJ294" s="21">
        <v>1414557</v>
      </c>
      <c r="AK294" s="21">
        <v>1439497</v>
      </c>
      <c r="AL294" s="21">
        <v>1408077</v>
      </c>
      <c r="AM294" s="21">
        <v>1373597</v>
      </c>
      <c r="AN294" s="21">
        <v>1483339</v>
      </c>
      <c r="AO294" s="21">
        <v>1421966</v>
      </c>
      <c r="AP294" s="21">
        <v>1303868</v>
      </c>
      <c r="AQ294" s="21">
        <v>1464736</v>
      </c>
      <c r="AR294" s="21">
        <v>1554054</v>
      </c>
      <c r="AS294" s="21">
        <v>1528836</v>
      </c>
      <c r="AT294" s="21">
        <v>1456726</v>
      </c>
      <c r="AU294" s="21">
        <v>1546575</v>
      </c>
      <c r="AV294" s="21">
        <v>1519849</v>
      </c>
      <c r="AW294" s="21">
        <v>1450481</v>
      </c>
      <c r="AX294" s="21">
        <v>1221852</v>
      </c>
      <c r="AY294" s="21">
        <v>1249169</v>
      </c>
      <c r="AZ294" s="21">
        <v>1324511</v>
      </c>
      <c r="BA294" s="21">
        <v>1157254</v>
      </c>
      <c r="BB294" s="21">
        <v>1120150</v>
      </c>
      <c r="BC294" s="21">
        <v>1033288</v>
      </c>
      <c r="BD294" s="21">
        <v>885039</v>
      </c>
      <c r="BE294" s="21">
        <v>962243</v>
      </c>
      <c r="BF294" s="21">
        <v>1035341</v>
      </c>
      <c r="BG294" s="21">
        <v>1006103</v>
      </c>
      <c r="BH294" s="21">
        <v>877076</v>
      </c>
      <c r="BI294" s="21">
        <v>870371</v>
      </c>
      <c r="BJ294" s="21">
        <v>1021210</v>
      </c>
      <c r="BK294" s="21">
        <v>1043766</v>
      </c>
      <c r="BL294" s="21">
        <v>913106</v>
      </c>
      <c r="BM294" s="21">
        <v>966988</v>
      </c>
    </row>
    <row r="295" spans="1:65" x14ac:dyDescent="0.2">
      <c r="A295" s="21" t="s">
        <v>1413</v>
      </c>
      <c r="B295" s="21" t="s">
        <v>1414</v>
      </c>
      <c r="C295" s="21" t="s">
        <v>937</v>
      </c>
      <c r="D295" s="21">
        <v>5.4180000000000001</v>
      </c>
      <c r="E295" s="21">
        <v>5.42</v>
      </c>
      <c r="F295" s="21">
        <v>5.4059999999999997</v>
      </c>
      <c r="G295" s="21">
        <v>5.3819999999999997</v>
      </c>
      <c r="H295" s="21">
        <v>5.3620000000000001</v>
      </c>
      <c r="I295" s="21">
        <v>5.3650000000000002</v>
      </c>
      <c r="J295" s="21">
        <v>5.3360000000000003</v>
      </c>
      <c r="K295" s="21">
        <v>5.3150000000000004</v>
      </c>
      <c r="L295" s="21">
        <v>5.3029999999999999</v>
      </c>
      <c r="M295" s="21">
        <v>5.2510000000000003</v>
      </c>
      <c r="N295" s="21">
        <v>5.2619999999999996</v>
      </c>
      <c r="O295" s="21">
        <v>5.2590000000000003</v>
      </c>
      <c r="P295" s="21">
        <v>5.2439999999999998</v>
      </c>
      <c r="Q295" s="21">
        <v>5.26</v>
      </c>
      <c r="R295" s="21">
        <v>5.2549999999999999</v>
      </c>
      <c r="S295" s="21">
        <v>5.2549999999999999</v>
      </c>
      <c r="T295" s="21">
        <v>5.2779999999999996</v>
      </c>
      <c r="U295" s="21">
        <v>5.2859999999999996</v>
      </c>
      <c r="V295" s="21">
        <v>5.2880000000000003</v>
      </c>
      <c r="W295" s="21">
        <v>5.3659999999999997</v>
      </c>
      <c r="X295" s="21">
        <v>5.3220000000000001</v>
      </c>
      <c r="Y295" s="21">
        <v>5.2839999999999998</v>
      </c>
      <c r="Z295" s="21">
        <v>5.2670000000000003</v>
      </c>
      <c r="AA295" s="21">
        <v>5.141</v>
      </c>
      <c r="AB295" s="21">
        <v>5.3079999999999998</v>
      </c>
      <c r="AC295" s="21">
        <v>5.2640000000000002</v>
      </c>
      <c r="AD295" s="21">
        <v>5.2690000000000001</v>
      </c>
      <c r="AE295" s="21">
        <v>5.2409999999999997</v>
      </c>
      <c r="AF295" s="21">
        <v>5.2590000000000003</v>
      </c>
      <c r="AG295" s="21">
        <v>5.1950000000000003</v>
      </c>
      <c r="AH295" s="21">
        <v>5.1459999999999999</v>
      </c>
      <c r="AI295" s="21">
        <v>5.0960000000000001</v>
      </c>
      <c r="AJ295" s="21">
        <v>5.1260000000000003</v>
      </c>
      <c r="AK295" s="21">
        <v>5.1029999999999998</v>
      </c>
      <c r="AL295" s="21">
        <v>5.0970000000000004</v>
      </c>
      <c r="AM295" s="21">
        <v>5.0620000000000003</v>
      </c>
      <c r="AN295" s="21">
        <v>4.9969999999999999</v>
      </c>
      <c r="AO295" s="21">
        <v>4.9880000000000004</v>
      </c>
      <c r="AP295" s="21">
        <v>4.9740000000000002</v>
      </c>
      <c r="AQ295" s="21">
        <v>4.9020000000000001</v>
      </c>
      <c r="AR295" s="21">
        <v>4.9080000000000004</v>
      </c>
      <c r="AS295" s="21">
        <v>4.9359999999999999</v>
      </c>
      <c r="AT295" s="21">
        <v>4.8849999999999998</v>
      </c>
      <c r="AU295" s="21">
        <v>4.92</v>
      </c>
      <c r="AV295" s="21">
        <v>4.952</v>
      </c>
      <c r="AW295" s="21">
        <v>4.915</v>
      </c>
      <c r="AX295" s="21">
        <v>4.8860000000000001</v>
      </c>
      <c r="AY295" s="21">
        <v>4.8330000000000002</v>
      </c>
      <c r="AZ295" s="21">
        <v>4.7720000000000002</v>
      </c>
      <c r="BA295" s="21">
        <v>4.6630000000000003</v>
      </c>
      <c r="BB295" s="21">
        <v>4.6619999999999999</v>
      </c>
      <c r="BC295" s="21">
        <v>4.6539999999999999</v>
      </c>
      <c r="BD295" s="21">
        <v>4.7110000000000003</v>
      </c>
      <c r="BE295" s="21">
        <v>4.6429999999999998</v>
      </c>
      <c r="BF295" s="21">
        <v>4.66</v>
      </c>
      <c r="BG295" s="21">
        <v>4.7160000000000002</v>
      </c>
      <c r="BH295" s="21">
        <v>4.625</v>
      </c>
      <c r="BI295" s="21">
        <v>4.617</v>
      </c>
      <c r="BJ295" s="21">
        <v>4.6150000000000002</v>
      </c>
      <c r="BK295" s="21">
        <v>4.5359999999999996</v>
      </c>
      <c r="BL295" s="21">
        <v>4.5309999999999997</v>
      </c>
      <c r="BM295" s="21">
        <v>4.6079999999999997</v>
      </c>
    </row>
    <row r="296" spans="1:65" x14ac:dyDescent="0.2">
      <c r="A296" s="21" t="s">
        <v>1413</v>
      </c>
      <c r="B296" s="21" t="s">
        <v>1414</v>
      </c>
      <c r="C296" s="21" t="s">
        <v>939</v>
      </c>
      <c r="D296" s="21">
        <v>411136</v>
      </c>
      <c r="E296" s="21">
        <v>423099</v>
      </c>
      <c r="F296" s="21">
        <v>443780</v>
      </c>
      <c r="G296" s="21">
        <v>448640</v>
      </c>
      <c r="H296" s="21">
        <v>433765</v>
      </c>
      <c r="I296" s="21">
        <v>453358</v>
      </c>
      <c r="J296" s="21">
        <v>453950</v>
      </c>
      <c r="K296" s="21">
        <v>475634</v>
      </c>
      <c r="L296" s="21">
        <v>500706</v>
      </c>
      <c r="M296" s="21">
        <v>515260</v>
      </c>
      <c r="N296" s="21">
        <v>518013</v>
      </c>
      <c r="O296" s="21">
        <v>522603</v>
      </c>
      <c r="P296" s="21">
        <v>546954</v>
      </c>
      <c r="Q296" s="21">
        <v>532538</v>
      </c>
      <c r="R296" s="21">
        <v>486130</v>
      </c>
      <c r="S296" s="21">
        <v>471841</v>
      </c>
      <c r="T296" s="21">
        <v>512314</v>
      </c>
      <c r="U296" s="21">
        <v>507352</v>
      </c>
      <c r="V296" s="21">
        <v>493214</v>
      </c>
      <c r="W296" s="21">
        <v>391188</v>
      </c>
      <c r="X296" s="21">
        <v>325895</v>
      </c>
      <c r="Y296" s="21">
        <v>289824</v>
      </c>
      <c r="Z296" s="21">
        <v>272239</v>
      </c>
      <c r="AA296" s="21">
        <v>263331</v>
      </c>
      <c r="AB296" s="21">
        <v>288445</v>
      </c>
      <c r="AC296" s="21">
        <v>297420</v>
      </c>
      <c r="AD296" s="21">
        <v>292444</v>
      </c>
      <c r="AE296" s="21">
        <v>308546</v>
      </c>
      <c r="AF296" s="21">
        <v>318546</v>
      </c>
      <c r="AG296" s="21">
        <v>319655</v>
      </c>
      <c r="AH296" s="21">
        <v>270989</v>
      </c>
      <c r="AI296" s="21">
        <v>271056</v>
      </c>
      <c r="AJ296" s="21">
        <v>275948</v>
      </c>
      <c r="AK296" s="21">
        <v>282069</v>
      </c>
      <c r="AL296" s="21">
        <v>276243</v>
      </c>
      <c r="AM296" s="21">
        <v>271348</v>
      </c>
      <c r="AN296" s="21">
        <v>296823</v>
      </c>
      <c r="AO296" s="21">
        <v>285061</v>
      </c>
      <c r="AP296" s="21">
        <v>262122</v>
      </c>
      <c r="AQ296" s="21">
        <v>298827</v>
      </c>
      <c r="AR296" s="21">
        <v>316663</v>
      </c>
      <c r="AS296" s="21">
        <v>309744</v>
      </c>
      <c r="AT296" s="21">
        <v>298209</v>
      </c>
      <c r="AU296" s="21">
        <v>314346</v>
      </c>
      <c r="AV296" s="21">
        <v>306945</v>
      </c>
      <c r="AW296" s="21">
        <v>295116</v>
      </c>
      <c r="AX296" s="21">
        <v>250091</v>
      </c>
      <c r="AY296" s="21">
        <v>258477</v>
      </c>
      <c r="AZ296" s="21">
        <v>277563</v>
      </c>
      <c r="BA296" s="21">
        <v>248204</v>
      </c>
      <c r="BB296" s="21">
        <v>240254</v>
      </c>
      <c r="BC296" s="21">
        <v>222012</v>
      </c>
      <c r="BD296" s="21">
        <v>187882</v>
      </c>
      <c r="BE296" s="21">
        <v>207235</v>
      </c>
      <c r="BF296" s="21">
        <v>222197</v>
      </c>
      <c r="BG296" s="21">
        <v>213325</v>
      </c>
      <c r="BH296" s="21">
        <v>189634</v>
      </c>
      <c r="BI296" s="21">
        <v>188526</v>
      </c>
      <c r="BJ296" s="21">
        <v>221268</v>
      </c>
      <c r="BK296" s="21">
        <v>230122</v>
      </c>
      <c r="BL296" s="21">
        <v>201534</v>
      </c>
      <c r="BM296" s="21">
        <v>209841</v>
      </c>
    </row>
    <row r="297" spans="1:65" x14ac:dyDescent="0.2">
      <c r="A297" s="21" t="s">
        <v>1413</v>
      </c>
      <c r="B297" s="21" t="s">
        <v>1414</v>
      </c>
      <c r="C297" s="21" t="s">
        <v>944</v>
      </c>
      <c r="D297" s="21">
        <v>19873652</v>
      </c>
      <c r="E297" s="21">
        <v>20168040</v>
      </c>
      <c r="F297" s="21">
        <v>20997481</v>
      </c>
      <c r="G297" s="21">
        <v>21644489</v>
      </c>
      <c r="H297" s="21">
        <v>22240249</v>
      </c>
      <c r="I297" s="21">
        <v>23183963</v>
      </c>
      <c r="J297" s="21">
        <v>24334435</v>
      </c>
      <c r="K297" s="21">
        <v>25272517</v>
      </c>
      <c r="L297" s="21">
        <v>26964864</v>
      </c>
      <c r="M297" s="21">
        <v>28321627</v>
      </c>
      <c r="N297" s="21">
        <v>29500112</v>
      </c>
      <c r="O297" s="21">
        <v>30541454</v>
      </c>
      <c r="P297" s="21">
        <v>32919160</v>
      </c>
      <c r="Q297" s="21">
        <v>34806025</v>
      </c>
      <c r="R297" s="21">
        <v>33420613</v>
      </c>
      <c r="S297" s="21">
        <v>32698781</v>
      </c>
      <c r="T297" s="21">
        <v>35141985</v>
      </c>
      <c r="U297" s="21">
        <v>37082642</v>
      </c>
      <c r="V297" s="21">
        <v>37919119</v>
      </c>
      <c r="W297" s="21">
        <v>37075744</v>
      </c>
      <c r="X297" s="21">
        <v>34159533</v>
      </c>
      <c r="Y297" s="21">
        <v>31884079</v>
      </c>
      <c r="Z297" s="21">
        <v>30179518</v>
      </c>
      <c r="AA297" s="21">
        <v>29997230</v>
      </c>
      <c r="AB297" s="21">
        <v>30993084</v>
      </c>
      <c r="AC297" s="21">
        <v>30867287</v>
      </c>
      <c r="AD297" s="21">
        <v>32150914</v>
      </c>
      <c r="AE297" s="21">
        <v>32818384</v>
      </c>
      <c r="AF297" s="21">
        <v>34173609</v>
      </c>
      <c r="AG297" s="21">
        <v>34164741</v>
      </c>
      <c r="AH297" s="21">
        <v>33500896</v>
      </c>
      <c r="AI297" s="21">
        <v>32790251</v>
      </c>
      <c r="AJ297" s="21">
        <v>33468926</v>
      </c>
      <c r="AK297" s="21">
        <v>33686553</v>
      </c>
      <c r="AL297" s="21">
        <v>34564117</v>
      </c>
      <c r="AM297" s="21">
        <v>34459757</v>
      </c>
      <c r="AN297" s="21">
        <v>35674458</v>
      </c>
      <c r="AO297" s="21">
        <v>36172956</v>
      </c>
      <c r="AP297" s="21">
        <v>36838689</v>
      </c>
      <c r="AQ297" s="21">
        <v>37855980</v>
      </c>
      <c r="AR297" s="21">
        <v>38293215</v>
      </c>
      <c r="AS297" s="21">
        <v>38231372</v>
      </c>
      <c r="AT297" s="21">
        <v>38293336</v>
      </c>
      <c r="AU297" s="21">
        <v>38946820</v>
      </c>
      <c r="AV297" s="21">
        <v>40441691</v>
      </c>
      <c r="AW297" s="21">
        <v>40562424</v>
      </c>
      <c r="AX297" s="21">
        <v>40195949</v>
      </c>
      <c r="AY297" s="21">
        <v>39952373</v>
      </c>
      <c r="AZ297" s="21">
        <v>37591231</v>
      </c>
      <c r="BA297" s="21">
        <v>35751836</v>
      </c>
      <c r="BB297" s="21">
        <v>36426764</v>
      </c>
      <c r="BC297" s="21">
        <v>35816167</v>
      </c>
      <c r="BD297" s="21">
        <v>35011792</v>
      </c>
      <c r="BE297" s="21">
        <v>35703034</v>
      </c>
      <c r="BF297" s="21">
        <v>35978984</v>
      </c>
      <c r="BG297" s="21">
        <v>36745991</v>
      </c>
      <c r="BH297" s="21">
        <v>37198184</v>
      </c>
      <c r="BI297" s="21">
        <v>37525050</v>
      </c>
      <c r="BJ297" s="21">
        <v>38351073</v>
      </c>
      <c r="BK297" s="21">
        <v>38322652</v>
      </c>
      <c r="BL297" s="21">
        <v>33637593</v>
      </c>
      <c r="BM297" s="21">
        <v>36783544</v>
      </c>
    </row>
    <row r="298" spans="1:65" x14ac:dyDescent="0.2">
      <c r="A298" s="21" t="s">
        <v>1413</v>
      </c>
      <c r="B298" s="21" t="s">
        <v>1414</v>
      </c>
      <c r="C298" s="21" t="s">
        <v>948</v>
      </c>
      <c r="D298" s="21">
        <v>5.5419999999999998</v>
      </c>
      <c r="E298" s="21">
        <v>5.5389999999999997</v>
      </c>
      <c r="F298" s="21">
        <v>5.5309999999999997</v>
      </c>
      <c r="G298" s="21">
        <v>5.52</v>
      </c>
      <c r="H298" s="21">
        <v>5.5129999999999999</v>
      </c>
      <c r="I298" s="21">
        <v>5.5170000000000003</v>
      </c>
      <c r="J298" s="21">
        <v>5.5170000000000003</v>
      </c>
      <c r="K298" s="21">
        <v>5.5129999999999999</v>
      </c>
      <c r="L298" s="21">
        <v>5.5010000000000003</v>
      </c>
      <c r="M298" s="21">
        <v>5.4889999999999999</v>
      </c>
      <c r="N298" s="21">
        <v>5.4989999999999997</v>
      </c>
      <c r="O298" s="21">
        <v>5.5</v>
      </c>
      <c r="P298" s="21">
        <v>5.4950000000000001</v>
      </c>
      <c r="Q298" s="21">
        <v>5.51</v>
      </c>
      <c r="R298" s="21">
        <v>5.4980000000000002</v>
      </c>
      <c r="S298" s="21">
        <v>5.4889999999999999</v>
      </c>
      <c r="T298" s="21">
        <v>5.4989999999999997</v>
      </c>
      <c r="U298" s="21">
        <v>5.5119999999999996</v>
      </c>
      <c r="V298" s="21">
        <v>5.5119999999999996</v>
      </c>
      <c r="W298" s="21">
        <v>5.4870000000000001</v>
      </c>
      <c r="X298" s="21">
        <v>5.4720000000000004</v>
      </c>
      <c r="Y298" s="21">
        <v>5.44</v>
      </c>
      <c r="Z298" s="21">
        <v>5.4059999999999997</v>
      </c>
      <c r="AA298" s="21">
        <v>5.3959999999999999</v>
      </c>
      <c r="AB298" s="21">
        <v>5.3849999999999998</v>
      </c>
      <c r="AC298" s="21">
        <v>5.3769999999999998</v>
      </c>
      <c r="AD298" s="21">
        <v>5.41</v>
      </c>
      <c r="AE298" s="21">
        <v>5.3949999999999996</v>
      </c>
      <c r="AF298" s="21">
        <v>5.4020000000000001</v>
      </c>
      <c r="AG298" s="21">
        <v>5.4029999999999996</v>
      </c>
      <c r="AH298" s="21">
        <v>5.4029999999999996</v>
      </c>
      <c r="AI298" s="21">
        <v>5.375</v>
      </c>
      <c r="AJ298" s="21">
        <v>5.3689999999999998</v>
      </c>
      <c r="AK298" s="21">
        <v>5.3540000000000001</v>
      </c>
      <c r="AL298" s="21">
        <v>5.3449999999999998</v>
      </c>
      <c r="AM298" s="21">
        <v>5.327</v>
      </c>
      <c r="AN298" s="21">
        <v>5.3239999999999998</v>
      </c>
      <c r="AO298" s="21">
        <v>5.3220000000000001</v>
      </c>
      <c r="AP298" s="21">
        <v>5.335</v>
      </c>
      <c r="AQ298" s="21">
        <v>5.3129999999999997</v>
      </c>
      <c r="AR298" s="21">
        <v>5.3109999999999999</v>
      </c>
      <c r="AS298" s="21">
        <v>5.3310000000000004</v>
      </c>
      <c r="AT298" s="21">
        <v>5.3090000000000002</v>
      </c>
      <c r="AU298" s="21">
        <v>5.3259999999999996</v>
      </c>
      <c r="AV298" s="21">
        <v>5.33</v>
      </c>
      <c r="AW298" s="21">
        <v>5.3419999999999996</v>
      </c>
      <c r="AX298" s="21">
        <v>5.3230000000000004</v>
      </c>
      <c r="AY298" s="21">
        <v>5.2930000000000001</v>
      </c>
      <c r="AZ298" s="21">
        <v>5.2679999999999998</v>
      </c>
      <c r="BA298" s="21">
        <v>5.218</v>
      </c>
      <c r="BB298" s="21">
        <v>5.2039999999999997</v>
      </c>
      <c r="BC298" s="21">
        <v>5.1929999999999996</v>
      </c>
      <c r="BD298" s="21">
        <v>5.1760000000000002</v>
      </c>
      <c r="BE298" s="21">
        <v>5.157</v>
      </c>
      <c r="BF298" s="21">
        <v>5.1609999999999996</v>
      </c>
      <c r="BG298" s="21">
        <v>5.1539999999999999</v>
      </c>
      <c r="BH298" s="21">
        <v>5.1609999999999996</v>
      </c>
      <c r="BI298" s="21">
        <v>5.1529999999999996</v>
      </c>
      <c r="BJ298" s="21">
        <v>5.1230000000000002</v>
      </c>
      <c r="BK298" s="21">
        <v>5.1109999999999998</v>
      </c>
      <c r="BL298" s="21">
        <v>5.0540000000000003</v>
      </c>
      <c r="BM298" s="21">
        <v>5.0670000000000002</v>
      </c>
    </row>
    <row r="299" spans="1:65" x14ac:dyDescent="0.2">
      <c r="A299" s="21" t="s">
        <v>1413</v>
      </c>
      <c r="B299" s="21" t="s">
        <v>1414</v>
      </c>
      <c r="C299" s="21" t="s">
        <v>950</v>
      </c>
      <c r="D299" s="21">
        <v>3585820</v>
      </c>
      <c r="E299" s="21">
        <v>3641280</v>
      </c>
      <c r="F299" s="21">
        <v>3796029</v>
      </c>
      <c r="G299" s="21">
        <v>3921364</v>
      </c>
      <c r="H299" s="21">
        <v>4034236</v>
      </c>
      <c r="I299" s="21">
        <v>4202039</v>
      </c>
      <c r="J299" s="21">
        <v>4410796</v>
      </c>
      <c r="K299" s="21">
        <v>4584526</v>
      </c>
      <c r="L299" s="21">
        <v>4901789</v>
      </c>
      <c r="M299" s="21">
        <v>5159930</v>
      </c>
      <c r="N299" s="21">
        <v>5364473</v>
      </c>
      <c r="O299" s="21">
        <v>5552560</v>
      </c>
      <c r="P299" s="21">
        <v>5990316</v>
      </c>
      <c r="Q299" s="21">
        <v>6317303</v>
      </c>
      <c r="R299" s="21">
        <v>6078239</v>
      </c>
      <c r="S299" s="21">
        <v>5957515</v>
      </c>
      <c r="T299" s="21">
        <v>6390750</v>
      </c>
      <c r="U299" s="21">
        <v>6727468</v>
      </c>
      <c r="V299" s="21">
        <v>6879017</v>
      </c>
      <c r="W299" s="21">
        <v>6757077</v>
      </c>
      <c r="X299" s="21">
        <v>6242445</v>
      </c>
      <c r="Y299" s="21">
        <v>5861062</v>
      </c>
      <c r="Z299" s="21">
        <v>5582937</v>
      </c>
      <c r="AA299" s="21">
        <v>5559364</v>
      </c>
      <c r="AB299" s="21">
        <v>5755576</v>
      </c>
      <c r="AC299" s="21">
        <v>5740142</v>
      </c>
      <c r="AD299" s="21">
        <v>5942430</v>
      </c>
      <c r="AE299" s="21">
        <v>6082743</v>
      </c>
      <c r="AF299" s="21">
        <v>6325692</v>
      </c>
      <c r="AG299" s="21">
        <v>6323680</v>
      </c>
      <c r="AH299" s="21">
        <v>6200801</v>
      </c>
      <c r="AI299" s="21">
        <v>6100551</v>
      </c>
      <c r="AJ299" s="21">
        <v>6234027</v>
      </c>
      <c r="AK299" s="21">
        <v>6291408</v>
      </c>
      <c r="AL299" s="21">
        <v>6467128</v>
      </c>
      <c r="AM299" s="21">
        <v>6469474</v>
      </c>
      <c r="AN299" s="21">
        <v>6701060</v>
      </c>
      <c r="AO299" s="21">
        <v>6796411</v>
      </c>
      <c r="AP299" s="21">
        <v>6904758</v>
      </c>
      <c r="AQ299" s="21">
        <v>7124559</v>
      </c>
      <c r="AR299" s="21">
        <v>7210595</v>
      </c>
      <c r="AS299" s="21">
        <v>7171778</v>
      </c>
      <c r="AT299" s="21">
        <v>7212878</v>
      </c>
      <c r="AU299" s="21">
        <v>7312230</v>
      </c>
      <c r="AV299" s="21">
        <v>7587603</v>
      </c>
      <c r="AW299" s="21">
        <v>7592787</v>
      </c>
      <c r="AX299" s="21">
        <v>7550908</v>
      </c>
      <c r="AY299" s="21">
        <v>7548339</v>
      </c>
      <c r="AZ299" s="21">
        <v>7136256</v>
      </c>
      <c r="BA299" s="21">
        <v>6851560</v>
      </c>
      <c r="BB299" s="21">
        <v>6999803</v>
      </c>
      <c r="BC299" s="21">
        <v>6896860</v>
      </c>
      <c r="BD299" s="21">
        <v>6764542</v>
      </c>
      <c r="BE299" s="21">
        <v>6922778</v>
      </c>
      <c r="BF299" s="21">
        <v>6971670</v>
      </c>
      <c r="BG299" s="21">
        <v>7129048</v>
      </c>
      <c r="BH299" s="21">
        <v>7207234</v>
      </c>
      <c r="BI299" s="21">
        <v>7282452</v>
      </c>
      <c r="BJ299" s="21">
        <v>7486731</v>
      </c>
      <c r="BK299" s="21">
        <v>7498143</v>
      </c>
      <c r="BL299" s="21">
        <v>6656043</v>
      </c>
      <c r="BM299" s="21">
        <v>7259805</v>
      </c>
    </row>
    <row r="300" spans="1:65" x14ac:dyDescent="0.2">
      <c r="A300" s="21" t="s">
        <v>1413</v>
      </c>
      <c r="B300" s="21" t="s">
        <v>1414</v>
      </c>
      <c r="C300" s="21" t="s">
        <v>953</v>
      </c>
      <c r="D300" s="21">
        <v>110</v>
      </c>
      <c r="E300" s="21">
        <v>109.8</v>
      </c>
      <c r="F300" s="21">
        <v>112.6</v>
      </c>
      <c r="G300" s="21">
        <v>114.4</v>
      </c>
      <c r="H300" s="21">
        <v>115.9</v>
      </c>
      <c r="I300" s="21">
        <v>119.3</v>
      </c>
      <c r="J300" s="21">
        <v>123.8</v>
      </c>
      <c r="K300" s="21">
        <v>127.2</v>
      </c>
      <c r="L300" s="21">
        <v>134.4</v>
      </c>
      <c r="M300" s="21">
        <v>139.69999999999999</v>
      </c>
      <c r="N300" s="21">
        <v>143.9</v>
      </c>
      <c r="O300" s="21">
        <v>147.1</v>
      </c>
      <c r="P300" s="21">
        <v>156.80000000000001</v>
      </c>
      <c r="Q300" s="21">
        <v>164.3</v>
      </c>
      <c r="R300" s="21">
        <v>156.30000000000001</v>
      </c>
      <c r="S300" s="21">
        <v>151.4</v>
      </c>
      <c r="T300" s="21">
        <v>161.19999999999999</v>
      </c>
      <c r="U300" s="21">
        <v>168.4</v>
      </c>
      <c r="V300" s="21">
        <v>170.4</v>
      </c>
      <c r="W300" s="21">
        <v>164.7</v>
      </c>
      <c r="X300" s="21">
        <v>150.30000000000001</v>
      </c>
      <c r="Y300" s="21">
        <v>138.9</v>
      </c>
      <c r="Z300" s="21">
        <v>130.30000000000001</v>
      </c>
      <c r="AA300" s="21">
        <v>128.30000000000001</v>
      </c>
      <c r="AB300" s="21">
        <v>131.4</v>
      </c>
      <c r="AC300" s="21">
        <v>129.69999999999999</v>
      </c>
      <c r="AD300" s="21">
        <v>133.9</v>
      </c>
      <c r="AE300" s="21">
        <v>135.5</v>
      </c>
      <c r="AF300" s="21">
        <v>139.80000000000001</v>
      </c>
      <c r="AG300" s="21">
        <v>138.4</v>
      </c>
      <c r="AH300" s="21">
        <v>134.19999999999999</v>
      </c>
      <c r="AI300" s="21">
        <v>129.6</v>
      </c>
      <c r="AJ300" s="21">
        <v>130.5</v>
      </c>
      <c r="AK300" s="21">
        <v>129.6</v>
      </c>
      <c r="AL300" s="21">
        <v>131.4</v>
      </c>
      <c r="AM300" s="21">
        <v>129.4</v>
      </c>
      <c r="AN300" s="21">
        <v>132.4</v>
      </c>
      <c r="AO300" s="21">
        <v>132.69999999999999</v>
      </c>
      <c r="AP300" s="21">
        <v>133.5</v>
      </c>
      <c r="AQ300" s="21">
        <v>135.69999999999999</v>
      </c>
      <c r="AR300" s="21">
        <v>135.69999999999999</v>
      </c>
      <c r="AS300" s="21">
        <v>134.19999999999999</v>
      </c>
      <c r="AT300" s="21">
        <v>133.1</v>
      </c>
      <c r="AU300" s="21">
        <v>134.19999999999999</v>
      </c>
      <c r="AV300" s="21">
        <v>138.1</v>
      </c>
      <c r="AW300" s="21">
        <v>137.30000000000001</v>
      </c>
      <c r="AX300" s="21">
        <v>134.69999999999999</v>
      </c>
      <c r="AY300" s="21">
        <v>132.6</v>
      </c>
      <c r="AZ300" s="21">
        <v>123.6</v>
      </c>
      <c r="BA300" s="21">
        <v>116.5</v>
      </c>
      <c r="BB300" s="21">
        <v>117.8</v>
      </c>
      <c r="BC300" s="21">
        <v>114.9</v>
      </c>
      <c r="BD300" s="21">
        <v>111.5</v>
      </c>
      <c r="BE300" s="21">
        <v>113</v>
      </c>
      <c r="BF300" s="21">
        <v>113</v>
      </c>
      <c r="BG300" s="21">
        <v>114.6</v>
      </c>
      <c r="BH300" s="21">
        <v>115.1</v>
      </c>
      <c r="BI300" s="21">
        <v>115.4</v>
      </c>
      <c r="BJ300" s="21">
        <v>117.3</v>
      </c>
      <c r="BK300" s="21">
        <v>116.7</v>
      </c>
      <c r="BL300" s="21">
        <v>101.5</v>
      </c>
      <c r="BM300" s="21">
        <v>110.8</v>
      </c>
    </row>
    <row r="301" spans="1:65" x14ac:dyDescent="0.2">
      <c r="A301" s="21" t="s">
        <v>1413</v>
      </c>
      <c r="B301" s="21" t="s">
        <v>1414</v>
      </c>
      <c r="C301" s="21" t="s">
        <v>955</v>
      </c>
      <c r="D301" s="21">
        <v>19.8</v>
      </c>
      <c r="E301" s="21">
        <v>19.8</v>
      </c>
      <c r="F301" s="21">
        <v>20.3</v>
      </c>
      <c r="G301" s="21">
        <v>20.7</v>
      </c>
      <c r="H301" s="21">
        <v>21</v>
      </c>
      <c r="I301" s="21">
        <v>21.6</v>
      </c>
      <c r="J301" s="21">
        <v>22.4</v>
      </c>
      <c r="K301" s="21">
        <v>23.1</v>
      </c>
      <c r="L301" s="21">
        <v>24.4</v>
      </c>
      <c r="M301" s="21">
        <v>25.5</v>
      </c>
      <c r="N301" s="21">
        <v>26.2</v>
      </c>
      <c r="O301" s="21">
        <v>26.7</v>
      </c>
      <c r="P301" s="21">
        <v>28.5</v>
      </c>
      <c r="Q301" s="21">
        <v>29.8</v>
      </c>
      <c r="R301" s="21">
        <v>28.4</v>
      </c>
      <c r="S301" s="21">
        <v>27.6</v>
      </c>
      <c r="T301" s="21">
        <v>29.3</v>
      </c>
      <c r="U301" s="21">
        <v>30.5</v>
      </c>
      <c r="V301" s="21">
        <v>30.9</v>
      </c>
      <c r="W301" s="21">
        <v>30</v>
      </c>
      <c r="X301" s="21">
        <v>27.5</v>
      </c>
      <c r="Y301" s="21">
        <v>25.5</v>
      </c>
      <c r="Z301" s="21">
        <v>24.1</v>
      </c>
      <c r="AA301" s="21">
        <v>23.8</v>
      </c>
      <c r="AB301" s="21">
        <v>24.4</v>
      </c>
      <c r="AC301" s="21">
        <v>24.1</v>
      </c>
      <c r="AD301" s="21">
        <v>24.7</v>
      </c>
      <c r="AE301" s="21">
        <v>25.1</v>
      </c>
      <c r="AF301" s="21">
        <v>25.9</v>
      </c>
      <c r="AG301" s="21">
        <v>25.6</v>
      </c>
      <c r="AH301" s="21">
        <v>24.8</v>
      </c>
      <c r="AI301" s="21">
        <v>24.1</v>
      </c>
      <c r="AJ301" s="21">
        <v>24.3</v>
      </c>
      <c r="AK301" s="21">
        <v>24.2</v>
      </c>
      <c r="AL301" s="21">
        <v>24.6</v>
      </c>
      <c r="AM301" s="21">
        <v>24.3</v>
      </c>
      <c r="AN301" s="21">
        <v>24.9</v>
      </c>
      <c r="AO301" s="21">
        <v>24.9</v>
      </c>
      <c r="AP301" s="21">
        <v>25</v>
      </c>
      <c r="AQ301" s="21">
        <v>25.5</v>
      </c>
      <c r="AR301" s="21">
        <v>25.6</v>
      </c>
      <c r="AS301" s="21">
        <v>25.2</v>
      </c>
      <c r="AT301" s="21">
        <v>25.1</v>
      </c>
      <c r="AU301" s="21">
        <v>25.2</v>
      </c>
      <c r="AV301" s="21">
        <v>25.9</v>
      </c>
      <c r="AW301" s="21">
        <v>25.7</v>
      </c>
      <c r="AX301" s="21">
        <v>25.3</v>
      </c>
      <c r="AY301" s="21">
        <v>25.1</v>
      </c>
      <c r="AZ301" s="21">
        <v>23.5</v>
      </c>
      <c r="BA301" s="21">
        <v>22.3</v>
      </c>
      <c r="BB301" s="21">
        <v>22.6</v>
      </c>
      <c r="BC301" s="21">
        <v>22.1</v>
      </c>
      <c r="BD301" s="21">
        <v>21.6</v>
      </c>
      <c r="BE301" s="21">
        <v>21.9</v>
      </c>
      <c r="BF301" s="21">
        <v>21.9</v>
      </c>
      <c r="BG301" s="21">
        <v>22.2</v>
      </c>
      <c r="BH301" s="21">
        <v>22.3</v>
      </c>
      <c r="BI301" s="21">
        <v>22.4</v>
      </c>
      <c r="BJ301" s="21">
        <v>22.9</v>
      </c>
      <c r="BK301" s="21">
        <v>22.8</v>
      </c>
      <c r="BL301" s="21">
        <v>20.100000000000001</v>
      </c>
      <c r="BM301" s="21">
        <v>21.9</v>
      </c>
    </row>
    <row r="302" spans="1:65" x14ac:dyDescent="0.2">
      <c r="A302" s="21" t="s">
        <v>1413</v>
      </c>
      <c r="B302" s="21" t="s">
        <v>1414</v>
      </c>
      <c r="C302" s="21" t="s">
        <v>957</v>
      </c>
      <c r="D302" s="21">
        <v>19320937</v>
      </c>
      <c r="E302" s="21">
        <v>19610762</v>
      </c>
      <c r="F302" s="21">
        <v>20437896</v>
      </c>
      <c r="G302" s="21">
        <v>21059783</v>
      </c>
      <c r="H302" s="21">
        <v>21606367</v>
      </c>
      <c r="I302" s="21">
        <v>22461962</v>
      </c>
      <c r="J302" s="21">
        <v>23451205</v>
      </c>
      <c r="K302" s="21">
        <v>24261976</v>
      </c>
      <c r="L302" s="21">
        <v>25783414</v>
      </c>
      <c r="M302" s="21">
        <v>26750332</v>
      </c>
      <c r="N302" s="21">
        <v>27382775</v>
      </c>
      <c r="O302" s="21">
        <v>28046455</v>
      </c>
      <c r="P302" s="21">
        <v>29822073</v>
      </c>
      <c r="Q302" s="21">
        <v>31291210</v>
      </c>
      <c r="R302" s="21">
        <v>30055582</v>
      </c>
      <c r="S302" s="21">
        <v>29533106</v>
      </c>
      <c r="T302" s="21">
        <v>31664853</v>
      </c>
      <c r="U302" s="21">
        <v>33182018</v>
      </c>
      <c r="V302" s="21">
        <v>33932256</v>
      </c>
      <c r="W302" s="21">
        <v>33792377</v>
      </c>
      <c r="X302" s="21">
        <v>31525972</v>
      </c>
      <c r="Y302" s="21">
        <v>29682416</v>
      </c>
      <c r="Z302" s="21">
        <v>28611864</v>
      </c>
      <c r="AA302" s="21">
        <v>28453547</v>
      </c>
      <c r="AB302" s="21">
        <v>29706968</v>
      </c>
      <c r="AC302" s="21">
        <v>29776828</v>
      </c>
      <c r="AD302" s="21">
        <v>30699071</v>
      </c>
      <c r="AE302" s="21">
        <v>31561525</v>
      </c>
      <c r="AF302" s="21">
        <v>32610183</v>
      </c>
      <c r="AG302" s="21">
        <v>32461650</v>
      </c>
      <c r="AH302" s="21">
        <v>32211463</v>
      </c>
      <c r="AI302" s="21">
        <v>31591990</v>
      </c>
      <c r="AJ302" s="21">
        <v>32478219</v>
      </c>
      <c r="AK302" s="21">
        <v>32562763</v>
      </c>
      <c r="AL302" s="21">
        <v>33505437</v>
      </c>
      <c r="AM302" s="21">
        <v>33705253</v>
      </c>
      <c r="AN302" s="21">
        <v>34857196</v>
      </c>
      <c r="AO302" s="21">
        <v>35246250</v>
      </c>
      <c r="AP302" s="21">
        <v>35532594</v>
      </c>
      <c r="AQ302" s="21">
        <v>36644774</v>
      </c>
      <c r="AR302" s="21">
        <v>37149075</v>
      </c>
      <c r="AS302" s="21">
        <v>36954996</v>
      </c>
      <c r="AT302" s="21">
        <v>37332151</v>
      </c>
      <c r="AU302" s="21">
        <v>37742001</v>
      </c>
      <c r="AV302" s="21">
        <v>39240693</v>
      </c>
      <c r="AW302" s="21">
        <v>39340360</v>
      </c>
      <c r="AX302" s="21">
        <v>39558991</v>
      </c>
      <c r="AY302" s="21">
        <v>39304542</v>
      </c>
      <c r="AZ302" s="21">
        <v>37131896</v>
      </c>
      <c r="BA302" s="21">
        <v>35369513</v>
      </c>
      <c r="BB302" s="21">
        <v>36056480</v>
      </c>
      <c r="BC302" s="21">
        <v>35521192</v>
      </c>
      <c r="BD302" s="21">
        <v>34797651</v>
      </c>
      <c r="BE302" s="21">
        <v>35447977</v>
      </c>
      <c r="BF302" s="21">
        <v>35683657</v>
      </c>
      <c r="BG302" s="21">
        <v>36470161</v>
      </c>
      <c r="BH302" s="21">
        <v>36954437</v>
      </c>
      <c r="BI302" s="21">
        <v>37307471</v>
      </c>
      <c r="BJ302" s="21">
        <v>38090904</v>
      </c>
      <c r="BK302" s="21">
        <v>38134178</v>
      </c>
      <c r="BL302" s="21">
        <v>33453304</v>
      </c>
      <c r="BM302" s="21">
        <v>36578587</v>
      </c>
    </row>
    <row r="303" spans="1:65" x14ac:dyDescent="0.2">
      <c r="A303" s="21" t="s">
        <v>1413</v>
      </c>
      <c r="B303" s="21" t="s">
        <v>1414</v>
      </c>
      <c r="C303" s="21" t="s">
        <v>961</v>
      </c>
      <c r="D303" s="21">
        <v>3497625</v>
      </c>
      <c r="E303" s="21">
        <v>3552368</v>
      </c>
      <c r="F303" s="21">
        <v>3706735</v>
      </c>
      <c r="G303" s="21">
        <v>3828050</v>
      </c>
      <c r="H303" s="21">
        <v>3933095</v>
      </c>
      <c r="I303" s="21">
        <v>4086836</v>
      </c>
      <c r="J303" s="21">
        <v>4269847</v>
      </c>
      <c r="K303" s="21">
        <v>4423248</v>
      </c>
      <c r="L303" s="21">
        <v>4713147</v>
      </c>
      <c r="M303" s="21">
        <v>4908903</v>
      </c>
      <c r="N303" s="21">
        <v>5025787</v>
      </c>
      <c r="O303" s="21">
        <v>5153064</v>
      </c>
      <c r="P303" s="21">
        <v>5493421</v>
      </c>
      <c r="Q303" s="21">
        <v>5754522</v>
      </c>
      <c r="R303" s="21">
        <v>5538840</v>
      </c>
      <c r="S303" s="21">
        <v>5451036</v>
      </c>
      <c r="T303" s="21">
        <v>5834489</v>
      </c>
      <c r="U303" s="21">
        <v>6103275</v>
      </c>
      <c r="V303" s="21">
        <v>6241187</v>
      </c>
      <c r="W303" s="21">
        <v>6232441</v>
      </c>
      <c r="X303" s="21">
        <v>5821335</v>
      </c>
      <c r="Y303" s="21">
        <v>5509256</v>
      </c>
      <c r="Z303" s="21">
        <v>5332420</v>
      </c>
      <c r="AA303" s="21">
        <v>5312560</v>
      </c>
      <c r="AB303" s="21">
        <v>5549840</v>
      </c>
      <c r="AC303" s="21">
        <v>5565571</v>
      </c>
      <c r="AD303" s="21">
        <v>5710384</v>
      </c>
      <c r="AE303" s="21">
        <v>5881627</v>
      </c>
      <c r="AF303" s="21">
        <v>6075551</v>
      </c>
      <c r="AG303" s="21">
        <v>6050759</v>
      </c>
      <c r="AH303" s="21">
        <v>5994278</v>
      </c>
      <c r="AI303" s="21">
        <v>5908699</v>
      </c>
      <c r="AJ303" s="21">
        <v>6075207</v>
      </c>
      <c r="AK303" s="21">
        <v>6111022</v>
      </c>
      <c r="AL303" s="21">
        <v>6296721</v>
      </c>
      <c r="AM303" s="21">
        <v>6347526</v>
      </c>
      <c r="AN303" s="21">
        <v>6569120</v>
      </c>
      <c r="AO303" s="21">
        <v>6646895</v>
      </c>
      <c r="AP303" s="21">
        <v>6694420</v>
      </c>
      <c r="AQ303" s="21">
        <v>6929335</v>
      </c>
      <c r="AR303" s="21">
        <v>7025691</v>
      </c>
      <c r="AS303" s="21">
        <v>6965864</v>
      </c>
      <c r="AT303" s="21">
        <v>7057148</v>
      </c>
      <c r="AU303" s="21">
        <v>7117324</v>
      </c>
      <c r="AV303" s="21">
        <v>7391819</v>
      </c>
      <c r="AW303" s="21">
        <v>7393288</v>
      </c>
      <c r="AX303" s="21">
        <v>7445413</v>
      </c>
      <c r="AY303" s="21">
        <v>7441502</v>
      </c>
      <c r="AZ303" s="21">
        <v>7059870</v>
      </c>
      <c r="BA303" s="21">
        <v>6787689</v>
      </c>
      <c r="BB303" s="21">
        <v>6937625</v>
      </c>
      <c r="BC303" s="21">
        <v>6846850</v>
      </c>
      <c r="BD303" s="21">
        <v>6728386</v>
      </c>
      <c r="BE303" s="21">
        <v>6879474</v>
      </c>
      <c r="BF303" s="21">
        <v>6921643</v>
      </c>
      <c r="BG303" s="21">
        <v>7082392</v>
      </c>
      <c r="BH303" s="21">
        <v>7165793</v>
      </c>
      <c r="BI303" s="21">
        <v>7245509</v>
      </c>
      <c r="BJ303" s="21">
        <v>7442573</v>
      </c>
      <c r="BK303" s="21">
        <v>7466181</v>
      </c>
      <c r="BL303" s="21">
        <v>6624701</v>
      </c>
      <c r="BM303" s="21">
        <v>7224954</v>
      </c>
    </row>
    <row r="304" spans="1:65" x14ac:dyDescent="0.2">
      <c r="A304" s="21" t="s">
        <v>1413</v>
      </c>
      <c r="B304" s="21" t="s">
        <v>1414</v>
      </c>
      <c r="C304" s="21" t="s">
        <v>964</v>
      </c>
      <c r="D304" s="21">
        <v>0</v>
      </c>
      <c r="E304" s="21">
        <v>0</v>
      </c>
      <c r="F304" s="21">
        <v>0</v>
      </c>
      <c r="G304" s="21">
        <v>0</v>
      </c>
      <c r="H304" s="21">
        <v>0</v>
      </c>
      <c r="I304" s="21">
        <v>0</v>
      </c>
      <c r="J304" s="21">
        <v>0</v>
      </c>
      <c r="K304" s="21">
        <v>0</v>
      </c>
      <c r="L304" s="21">
        <v>0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0</v>
      </c>
      <c r="W304" s="21">
        <v>0</v>
      </c>
      <c r="X304" s="21">
        <v>0</v>
      </c>
      <c r="Y304" s="21">
        <v>0</v>
      </c>
      <c r="Z304" s="21">
        <v>0</v>
      </c>
      <c r="AA304" s="21">
        <v>0</v>
      </c>
      <c r="AB304" s="21">
        <v>0</v>
      </c>
      <c r="AC304" s="21">
        <v>0</v>
      </c>
      <c r="AD304" s="21">
        <v>0</v>
      </c>
      <c r="AE304" s="21">
        <v>0</v>
      </c>
      <c r="AF304" s="21">
        <v>0</v>
      </c>
      <c r="AG304" s="21">
        <v>0</v>
      </c>
      <c r="AH304" s="21">
        <v>0</v>
      </c>
      <c r="AI304" s="21">
        <v>0</v>
      </c>
      <c r="AJ304" s="21">
        <v>73</v>
      </c>
      <c r="AK304" s="21">
        <v>155</v>
      </c>
      <c r="AL304" s="21">
        <v>135</v>
      </c>
      <c r="AM304" s="21">
        <v>126</v>
      </c>
      <c r="AN304" s="21">
        <v>114</v>
      </c>
      <c r="AO304" s="21">
        <v>133</v>
      </c>
      <c r="AP304" s="21">
        <v>126</v>
      </c>
      <c r="AQ304" s="21">
        <v>120</v>
      </c>
      <c r="AR304" s="21">
        <v>168</v>
      </c>
      <c r="AS304" s="21">
        <v>190</v>
      </c>
      <c r="AT304" s="21">
        <v>244</v>
      </c>
      <c r="AU304" s="21">
        <v>328</v>
      </c>
      <c r="AV304" s="21">
        <v>263</v>
      </c>
      <c r="AW304" s="21">
        <v>264</v>
      </c>
      <c r="AX304" s="21">
        <v>279</v>
      </c>
      <c r="AY304" s="21">
        <v>350</v>
      </c>
      <c r="AZ304" s="21">
        <v>287</v>
      </c>
      <c r="BA304" s="21">
        <v>249</v>
      </c>
      <c r="BB304" s="21">
        <v>346</v>
      </c>
      <c r="BC304" s="21">
        <v>182</v>
      </c>
      <c r="BD304" s="21">
        <v>362</v>
      </c>
      <c r="BE304" s="21">
        <v>350</v>
      </c>
      <c r="BF304" s="21">
        <v>525</v>
      </c>
      <c r="BG304" s="21">
        <v>521</v>
      </c>
      <c r="BH304" s="21">
        <v>297</v>
      </c>
      <c r="BI304" s="21">
        <v>496</v>
      </c>
      <c r="BJ304" s="21">
        <v>354</v>
      </c>
      <c r="BK304" s="21">
        <v>210</v>
      </c>
      <c r="BL304" s="21">
        <v>112</v>
      </c>
      <c r="BM304" s="21">
        <v>193</v>
      </c>
    </row>
    <row r="305" spans="1:65" x14ac:dyDescent="0.2">
      <c r="A305" s="21" t="s">
        <v>1413</v>
      </c>
      <c r="B305" s="21" t="s">
        <v>1414</v>
      </c>
      <c r="C305" s="21" t="s">
        <v>968</v>
      </c>
      <c r="D305" s="21">
        <v>0</v>
      </c>
      <c r="E305" s="21">
        <v>0</v>
      </c>
      <c r="F305" s="21">
        <v>0</v>
      </c>
      <c r="G305" s="21">
        <v>0</v>
      </c>
      <c r="H305" s="21">
        <v>0</v>
      </c>
      <c r="I305" s="21">
        <v>0</v>
      </c>
      <c r="J305" s="21">
        <v>0</v>
      </c>
      <c r="K305" s="21">
        <v>0</v>
      </c>
      <c r="L305" s="21">
        <v>0</v>
      </c>
      <c r="M305" s="21">
        <v>0</v>
      </c>
      <c r="N305" s="21">
        <v>0</v>
      </c>
      <c r="O305" s="21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0</v>
      </c>
      <c r="W305" s="21">
        <v>0</v>
      </c>
      <c r="X305" s="21">
        <v>0</v>
      </c>
      <c r="Y305" s="21">
        <v>0</v>
      </c>
      <c r="Z305" s="21">
        <v>0</v>
      </c>
      <c r="AA305" s="21">
        <v>0</v>
      </c>
      <c r="AB305" s="21">
        <v>0</v>
      </c>
      <c r="AC305" s="21">
        <v>0</v>
      </c>
      <c r="AD305" s="21">
        <v>0</v>
      </c>
      <c r="AE305" s="21">
        <v>0</v>
      </c>
      <c r="AF305" s="21">
        <v>0</v>
      </c>
      <c r="AG305" s="21">
        <v>0</v>
      </c>
      <c r="AH305" s="21">
        <v>0</v>
      </c>
      <c r="AI305" s="21">
        <v>0</v>
      </c>
      <c r="AJ305" s="21">
        <v>12</v>
      </c>
      <c r="AK305" s="21">
        <v>26</v>
      </c>
      <c r="AL305" s="21">
        <v>22</v>
      </c>
      <c r="AM305" s="21">
        <v>21</v>
      </c>
      <c r="AN305" s="21">
        <v>19</v>
      </c>
      <c r="AO305" s="21">
        <v>22</v>
      </c>
      <c r="AP305" s="21">
        <v>21</v>
      </c>
      <c r="AQ305" s="21">
        <v>20</v>
      </c>
      <c r="AR305" s="21">
        <v>28</v>
      </c>
      <c r="AS305" s="21">
        <v>32</v>
      </c>
      <c r="AT305" s="21">
        <v>40</v>
      </c>
      <c r="AU305" s="21">
        <v>54</v>
      </c>
      <c r="AV305" s="21">
        <v>46</v>
      </c>
      <c r="AW305" s="21">
        <v>46</v>
      </c>
      <c r="AX305" s="21">
        <v>49</v>
      </c>
      <c r="AY305" s="21">
        <v>61</v>
      </c>
      <c r="AZ305" s="21">
        <v>50</v>
      </c>
      <c r="BA305" s="21">
        <v>43</v>
      </c>
      <c r="BB305" s="21">
        <v>60</v>
      </c>
      <c r="BC305" s="21">
        <v>32</v>
      </c>
      <c r="BD305" s="21">
        <v>63</v>
      </c>
      <c r="BE305" s="21">
        <v>61</v>
      </c>
      <c r="BF305" s="21">
        <v>92</v>
      </c>
      <c r="BG305" s="21">
        <v>91</v>
      </c>
      <c r="BH305" s="21">
        <v>52</v>
      </c>
      <c r="BI305" s="21">
        <v>87</v>
      </c>
      <c r="BJ305" s="21">
        <v>62</v>
      </c>
      <c r="BK305" s="21">
        <v>37</v>
      </c>
      <c r="BL305" s="21">
        <v>20</v>
      </c>
      <c r="BM305" s="21">
        <v>34</v>
      </c>
    </row>
    <row r="306" spans="1:65" x14ac:dyDescent="0.2">
      <c r="A306" s="21" t="s">
        <v>1413</v>
      </c>
      <c r="B306" s="21" t="s">
        <v>1414</v>
      </c>
      <c r="C306" s="21" t="s">
        <v>971</v>
      </c>
      <c r="D306" s="21">
        <v>6.024</v>
      </c>
      <c r="E306" s="21">
        <v>6.024</v>
      </c>
      <c r="F306" s="21">
        <v>6.024</v>
      </c>
      <c r="G306" s="21">
        <v>6.024</v>
      </c>
      <c r="H306" s="21">
        <v>6.024</v>
      </c>
      <c r="I306" s="21">
        <v>6.024</v>
      </c>
      <c r="J306" s="21">
        <v>6.024</v>
      </c>
      <c r="K306" s="21">
        <v>6.024</v>
      </c>
      <c r="L306" s="21">
        <v>6.024</v>
      </c>
      <c r="M306" s="21">
        <v>6.024</v>
      </c>
      <c r="N306" s="21">
        <v>6.024</v>
      </c>
      <c r="O306" s="21">
        <v>6.024</v>
      </c>
      <c r="P306" s="21">
        <v>6.024</v>
      </c>
      <c r="Q306" s="21">
        <v>6.024</v>
      </c>
      <c r="R306" s="21">
        <v>6.024</v>
      </c>
      <c r="S306" s="21">
        <v>6.024</v>
      </c>
      <c r="T306" s="21">
        <v>6.024</v>
      </c>
      <c r="U306" s="21">
        <v>6.024</v>
      </c>
      <c r="V306" s="21">
        <v>6.024</v>
      </c>
      <c r="W306" s="21">
        <v>6.024</v>
      </c>
      <c r="X306" s="21">
        <v>6.024</v>
      </c>
      <c r="Y306" s="21">
        <v>6.024</v>
      </c>
      <c r="Z306" s="21">
        <v>6.024</v>
      </c>
      <c r="AA306" s="21">
        <v>6.024</v>
      </c>
      <c r="AB306" s="21">
        <v>6.024</v>
      </c>
      <c r="AC306" s="21">
        <v>6.024</v>
      </c>
      <c r="AD306" s="21">
        <v>6.024</v>
      </c>
      <c r="AE306" s="21">
        <v>6.024</v>
      </c>
      <c r="AF306" s="21">
        <v>6.024</v>
      </c>
      <c r="AG306" s="21">
        <v>6.024</v>
      </c>
      <c r="AH306" s="21">
        <v>6.024</v>
      </c>
      <c r="AI306" s="21">
        <v>6.024</v>
      </c>
      <c r="AJ306" s="21">
        <v>6.024</v>
      </c>
      <c r="AK306" s="21">
        <v>6.024</v>
      </c>
      <c r="AL306" s="21">
        <v>6.024</v>
      </c>
      <c r="AM306" s="21">
        <v>6.024</v>
      </c>
      <c r="AN306" s="21">
        <v>6.024</v>
      </c>
      <c r="AO306" s="21">
        <v>6.024</v>
      </c>
      <c r="AP306" s="21">
        <v>6.024</v>
      </c>
      <c r="AQ306" s="21">
        <v>6.024</v>
      </c>
      <c r="AR306" s="21">
        <v>6.024</v>
      </c>
      <c r="AS306" s="21">
        <v>6.024</v>
      </c>
      <c r="AT306" s="21">
        <v>6.024</v>
      </c>
      <c r="AU306" s="21">
        <v>6.024</v>
      </c>
      <c r="AV306" s="21">
        <v>6.2869999999999999</v>
      </c>
      <c r="AW306" s="21">
        <v>6.2869999999999999</v>
      </c>
      <c r="AX306" s="21">
        <v>6.2869999999999999</v>
      </c>
      <c r="AY306" s="21">
        <v>6.2869999999999999</v>
      </c>
      <c r="AZ306" s="21">
        <v>6.2869999999999999</v>
      </c>
      <c r="BA306" s="21">
        <v>6.2869999999999999</v>
      </c>
      <c r="BB306" s="21">
        <v>6.2869999999999999</v>
      </c>
      <c r="BC306" s="21">
        <v>6.2869999999999999</v>
      </c>
      <c r="BD306" s="21">
        <v>6.2869999999999999</v>
      </c>
      <c r="BE306" s="21">
        <v>6.2869999999999999</v>
      </c>
      <c r="BF306" s="21">
        <v>6.2869999999999999</v>
      </c>
      <c r="BG306" s="21">
        <v>6.2869999999999999</v>
      </c>
      <c r="BH306" s="21">
        <v>6.2869999999999999</v>
      </c>
      <c r="BI306" s="21">
        <v>6.2869999999999999</v>
      </c>
      <c r="BJ306" s="21">
        <v>6.2869999999999999</v>
      </c>
      <c r="BK306" s="21">
        <v>6.2869999999999999</v>
      </c>
      <c r="BL306" s="21">
        <v>6.2869999999999999</v>
      </c>
      <c r="BM306" s="21">
        <v>6.2869999999999999</v>
      </c>
    </row>
    <row r="307" spans="1:65" x14ac:dyDescent="0.2">
      <c r="A307" s="21" t="s">
        <v>1413</v>
      </c>
      <c r="B307" s="21" t="s">
        <v>1414</v>
      </c>
      <c r="C307" s="21" t="s">
        <v>973</v>
      </c>
      <c r="D307" s="21">
        <v>0</v>
      </c>
      <c r="E307" s="21">
        <v>0</v>
      </c>
      <c r="F307" s="21">
        <v>0</v>
      </c>
      <c r="G307" s="21">
        <v>0</v>
      </c>
      <c r="H307" s="21">
        <v>0</v>
      </c>
      <c r="I307" s="21">
        <v>0</v>
      </c>
      <c r="J307" s="21">
        <v>0</v>
      </c>
      <c r="K307" s="21">
        <v>0</v>
      </c>
      <c r="L307" s="21">
        <v>0</v>
      </c>
      <c r="M307" s="21">
        <v>0</v>
      </c>
      <c r="N307" s="21">
        <v>19169</v>
      </c>
      <c r="O307" s="21">
        <v>18228</v>
      </c>
      <c r="P307" s="21">
        <v>18894</v>
      </c>
      <c r="Q307" s="21">
        <v>15262</v>
      </c>
      <c r="R307" s="21">
        <v>18826</v>
      </c>
      <c r="S307" s="21">
        <v>2113</v>
      </c>
      <c r="T307" s="21">
        <v>2050</v>
      </c>
      <c r="U307" s="21">
        <v>2938</v>
      </c>
      <c r="V307" s="21">
        <v>11996</v>
      </c>
      <c r="W307" s="21">
        <v>8069</v>
      </c>
      <c r="X307" s="21">
        <v>5397</v>
      </c>
      <c r="Y307" s="21">
        <v>4183</v>
      </c>
      <c r="Z307" s="21">
        <v>4498</v>
      </c>
      <c r="AA307" s="21">
        <v>7875</v>
      </c>
      <c r="AB307" s="21">
        <v>7576</v>
      </c>
      <c r="AC307" s="21">
        <v>6968</v>
      </c>
      <c r="AD307" s="21">
        <v>9418</v>
      </c>
      <c r="AE307" s="21">
        <v>10469</v>
      </c>
      <c r="AF307" s="21">
        <v>12319</v>
      </c>
      <c r="AG307" s="21">
        <v>15584</v>
      </c>
      <c r="AH307" s="21">
        <v>30367</v>
      </c>
      <c r="AI307" s="21">
        <v>29329</v>
      </c>
      <c r="AJ307" s="21">
        <v>45006</v>
      </c>
      <c r="AK307" s="21">
        <v>78648</v>
      </c>
      <c r="AL307" s="21">
        <v>69717</v>
      </c>
      <c r="AM307" s="21">
        <v>80556</v>
      </c>
      <c r="AN307" s="21">
        <v>79571</v>
      </c>
      <c r="AO307" s="21">
        <v>101558</v>
      </c>
      <c r="AP307" s="21">
        <v>123554</v>
      </c>
      <c r="AQ307" s="21">
        <v>112491</v>
      </c>
      <c r="AR307" s="21">
        <v>98641</v>
      </c>
      <c r="AS307" s="21">
        <v>103226</v>
      </c>
      <c r="AT307" s="21">
        <v>175176</v>
      </c>
      <c r="AU307" s="21">
        <v>174667</v>
      </c>
      <c r="AV307" s="21">
        <v>210811</v>
      </c>
      <c r="AW307" s="21">
        <v>231132</v>
      </c>
      <c r="AX307" s="21">
        <v>203043</v>
      </c>
      <c r="AY307" s="21">
        <v>162557</v>
      </c>
      <c r="AZ307" s="21">
        <v>146391</v>
      </c>
      <c r="BA307" s="21">
        <v>131842</v>
      </c>
      <c r="BB307" s="21">
        <v>136595</v>
      </c>
      <c r="BC307" s="21">
        <v>138320</v>
      </c>
      <c r="BD307" s="21">
        <v>85054</v>
      </c>
      <c r="BE307" s="21">
        <v>122518</v>
      </c>
      <c r="BF307" s="21">
        <v>118155</v>
      </c>
      <c r="BG307" s="21">
        <v>111716</v>
      </c>
      <c r="BH307" s="21">
        <v>118317</v>
      </c>
      <c r="BI307" s="21">
        <v>97208</v>
      </c>
      <c r="BJ307" s="21">
        <v>101482</v>
      </c>
      <c r="BK307" s="21">
        <v>75913</v>
      </c>
      <c r="BL307" s="21">
        <v>87427</v>
      </c>
      <c r="BM307" s="21">
        <v>87940</v>
      </c>
    </row>
    <row r="308" spans="1:65" x14ac:dyDescent="0.2">
      <c r="A308" s="21" t="s">
        <v>1413</v>
      </c>
      <c r="B308" s="21" t="s">
        <v>1414</v>
      </c>
      <c r="C308" s="21" t="s">
        <v>977</v>
      </c>
      <c r="D308" s="21">
        <v>0</v>
      </c>
      <c r="E308" s="21">
        <v>0</v>
      </c>
      <c r="F308" s="21">
        <v>0</v>
      </c>
      <c r="G308" s="21">
        <v>0</v>
      </c>
      <c r="H308" s="21">
        <v>0</v>
      </c>
      <c r="I308" s="21">
        <v>0</v>
      </c>
      <c r="J308" s="21">
        <v>0</v>
      </c>
      <c r="K308" s="21">
        <v>0</v>
      </c>
      <c r="L308" s="21">
        <v>0</v>
      </c>
      <c r="M308" s="21">
        <v>0</v>
      </c>
      <c r="N308" s="21">
        <v>3182</v>
      </c>
      <c r="O308" s="21">
        <v>3026</v>
      </c>
      <c r="P308" s="21">
        <v>3136</v>
      </c>
      <c r="Q308" s="21">
        <v>2534</v>
      </c>
      <c r="R308" s="21">
        <v>3125</v>
      </c>
      <c r="S308" s="21">
        <v>351</v>
      </c>
      <c r="T308" s="21">
        <v>340</v>
      </c>
      <c r="U308" s="21">
        <v>488</v>
      </c>
      <c r="V308" s="21">
        <v>1991</v>
      </c>
      <c r="W308" s="21">
        <v>1339</v>
      </c>
      <c r="X308" s="21">
        <v>896</v>
      </c>
      <c r="Y308" s="21">
        <v>694</v>
      </c>
      <c r="Z308" s="21">
        <v>747</v>
      </c>
      <c r="AA308" s="21">
        <v>1307</v>
      </c>
      <c r="AB308" s="21">
        <v>1258</v>
      </c>
      <c r="AC308" s="21">
        <v>1157</v>
      </c>
      <c r="AD308" s="21">
        <v>1563</v>
      </c>
      <c r="AE308" s="21">
        <v>1738</v>
      </c>
      <c r="AF308" s="21">
        <v>2045</v>
      </c>
      <c r="AG308" s="21">
        <v>2587</v>
      </c>
      <c r="AH308" s="21">
        <v>5041</v>
      </c>
      <c r="AI308" s="21">
        <v>4869</v>
      </c>
      <c r="AJ308" s="21">
        <v>7471</v>
      </c>
      <c r="AK308" s="21">
        <v>13056</v>
      </c>
      <c r="AL308" s="21">
        <v>11573</v>
      </c>
      <c r="AM308" s="21">
        <v>13372</v>
      </c>
      <c r="AN308" s="21">
        <v>13209</v>
      </c>
      <c r="AO308" s="21">
        <v>16859</v>
      </c>
      <c r="AP308" s="21">
        <v>20510</v>
      </c>
      <c r="AQ308" s="21">
        <v>18674</v>
      </c>
      <c r="AR308" s="21">
        <v>16375</v>
      </c>
      <c r="AS308" s="21">
        <v>17136</v>
      </c>
      <c r="AT308" s="21">
        <v>29080</v>
      </c>
      <c r="AU308" s="21">
        <v>28995</v>
      </c>
      <c r="AV308" s="21">
        <v>36861</v>
      </c>
      <c r="AW308" s="21">
        <v>40415</v>
      </c>
      <c r="AX308" s="21">
        <v>35503</v>
      </c>
      <c r="AY308" s="21">
        <v>28424</v>
      </c>
      <c r="AZ308" s="21">
        <v>25597</v>
      </c>
      <c r="BA308" s="21">
        <v>23053</v>
      </c>
      <c r="BB308" s="21">
        <v>23884</v>
      </c>
      <c r="BC308" s="21">
        <v>24186</v>
      </c>
      <c r="BD308" s="21">
        <v>14872</v>
      </c>
      <c r="BE308" s="21">
        <v>21423</v>
      </c>
      <c r="BF308" s="21">
        <v>20660</v>
      </c>
      <c r="BG308" s="21">
        <v>19534</v>
      </c>
      <c r="BH308" s="21">
        <v>20688</v>
      </c>
      <c r="BI308" s="21">
        <v>16997</v>
      </c>
      <c r="BJ308" s="21">
        <v>17745</v>
      </c>
      <c r="BK308" s="21">
        <v>13274</v>
      </c>
      <c r="BL308" s="21">
        <v>15287</v>
      </c>
      <c r="BM308" s="21">
        <v>15377</v>
      </c>
    </row>
    <row r="309" spans="1:65" x14ac:dyDescent="0.2">
      <c r="A309" s="21" t="s">
        <v>1413</v>
      </c>
      <c r="B309" s="21" t="s">
        <v>1414</v>
      </c>
      <c r="C309" s="21" t="s">
        <v>980</v>
      </c>
      <c r="D309" s="21">
        <v>328139</v>
      </c>
      <c r="E309" s="21">
        <v>404415</v>
      </c>
      <c r="F309" s="21">
        <v>425921</v>
      </c>
      <c r="G309" s="21">
        <v>417602</v>
      </c>
      <c r="H309" s="21">
        <v>424059</v>
      </c>
      <c r="I309" s="21">
        <v>443529</v>
      </c>
      <c r="J309" s="21">
        <v>443848</v>
      </c>
      <c r="K309" s="21">
        <v>452583</v>
      </c>
      <c r="L309" s="21">
        <v>459746</v>
      </c>
      <c r="M309" s="21">
        <v>486920</v>
      </c>
      <c r="N309" s="21">
        <v>445974</v>
      </c>
      <c r="O309" s="21">
        <v>463072</v>
      </c>
      <c r="P309" s="21">
        <v>512881</v>
      </c>
      <c r="Q309" s="21">
        <v>557958</v>
      </c>
      <c r="R309" s="21">
        <v>505600</v>
      </c>
      <c r="S309" s="21">
        <v>540336</v>
      </c>
      <c r="T309" s="21">
        <v>534634</v>
      </c>
      <c r="U309" s="21">
        <v>585812</v>
      </c>
      <c r="V309" s="21">
        <v>550182</v>
      </c>
      <c r="W309" s="21">
        <v>533260</v>
      </c>
      <c r="X309" s="21">
        <v>516166</v>
      </c>
      <c r="Y309" s="21">
        <v>549230</v>
      </c>
      <c r="Z309" s="21">
        <v>540644</v>
      </c>
      <c r="AA309" s="21">
        <v>494894</v>
      </c>
      <c r="AB309" s="21">
        <v>537843</v>
      </c>
      <c r="AC309" s="21">
        <v>574576</v>
      </c>
      <c r="AD309" s="21">
        <v>580608</v>
      </c>
      <c r="AE309" s="21">
        <v>646412</v>
      </c>
      <c r="AF309" s="21">
        <v>674820</v>
      </c>
      <c r="AG309" s="21">
        <v>659990</v>
      </c>
      <c r="AH309" s="21">
        <v>714218</v>
      </c>
      <c r="AI309" s="21">
        <v>692647</v>
      </c>
      <c r="AJ309" s="21">
        <v>797709</v>
      </c>
      <c r="AK309" s="21">
        <v>725298</v>
      </c>
      <c r="AL309" s="21">
        <v>723159</v>
      </c>
      <c r="AM309" s="21">
        <v>721294</v>
      </c>
      <c r="AN309" s="21">
        <v>756838</v>
      </c>
      <c r="AO309" s="21">
        <v>727410</v>
      </c>
      <c r="AP309" s="21">
        <v>858485</v>
      </c>
      <c r="AQ309" s="21">
        <v>935764</v>
      </c>
      <c r="AR309" s="21">
        <v>796069</v>
      </c>
      <c r="AS309" s="21">
        <v>857569</v>
      </c>
      <c r="AT309" s="21">
        <v>842088</v>
      </c>
      <c r="AU309" s="21">
        <v>824694</v>
      </c>
      <c r="AV309" s="21">
        <v>937790</v>
      </c>
      <c r="AW309" s="21">
        <v>894996</v>
      </c>
      <c r="AX309" s="21">
        <v>938164</v>
      </c>
      <c r="AY309" s="21">
        <v>909986</v>
      </c>
      <c r="AZ309" s="21">
        <v>870294</v>
      </c>
      <c r="BA309" s="21">
        <v>805147</v>
      </c>
      <c r="BB309" s="21">
        <v>694485</v>
      </c>
      <c r="BC309" s="21">
        <v>663238</v>
      </c>
      <c r="BD309" s="21">
        <v>717010</v>
      </c>
      <c r="BE309" s="21">
        <v>663707</v>
      </c>
      <c r="BF309" s="21">
        <v>653829</v>
      </c>
      <c r="BG309" s="21">
        <v>663572</v>
      </c>
      <c r="BH309" s="21">
        <v>652905</v>
      </c>
      <c r="BI309" s="21">
        <v>610404</v>
      </c>
      <c r="BJ309" s="21">
        <v>628897</v>
      </c>
      <c r="BK309" s="21">
        <v>602695</v>
      </c>
      <c r="BL309" s="21">
        <v>495467</v>
      </c>
      <c r="BM309" s="21">
        <v>514908</v>
      </c>
    </row>
    <row r="310" spans="1:65" x14ac:dyDescent="0.2">
      <c r="A310" s="21" t="s">
        <v>1413</v>
      </c>
      <c r="B310" s="21" t="s">
        <v>1414</v>
      </c>
      <c r="C310" s="21" t="s">
        <v>984</v>
      </c>
      <c r="D310" s="21">
        <v>54472</v>
      </c>
      <c r="E310" s="21">
        <v>67134</v>
      </c>
      <c r="F310" s="21">
        <v>70704</v>
      </c>
      <c r="G310" s="21">
        <v>69323</v>
      </c>
      <c r="H310" s="21">
        <v>70395</v>
      </c>
      <c r="I310" s="21">
        <v>73627</v>
      </c>
      <c r="J310" s="21">
        <v>73680</v>
      </c>
      <c r="K310" s="21">
        <v>75130</v>
      </c>
      <c r="L310" s="21">
        <v>76319</v>
      </c>
      <c r="M310" s="21">
        <v>80830</v>
      </c>
      <c r="N310" s="21">
        <v>74033</v>
      </c>
      <c r="O310" s="21">
        <v>76871</v>
      </c>
      <c r="P310" s="21">
        <v>85140</v>
      </c>
      <c r="Q310" s="21">
        <v>92622</v>
      </c>
      <c r="R310" s="21">
        <v>83931</v>
      </c>
      <c r="S310" s="21">
        <v>89697</v>
      </c>
      <c r="T310" s="21">
        <v>88751</v>
      </c>
      <c r="U310" s="21">
        <v>97246</v>
      </c>
      <c r="V310" s="21">
        <v>91332</v>
      </c>
      <c r="W310" s="21">
        <v>88523</v>
      </c>
      <c r="X310" s="21">
        <v>85685</v>
      </c>
      <c r="Y310" s="21">
        <v>91174</v>
      </c>
      <c r="Z310" s="21">
        <v>89748</v>
      </c>
      <c r="AA310" s="21">
        <v>82154</v>
      </c>
      <c r="AB310" s="21">
        <v>89283</v>
      </c>
      <c r="AC310" s="21">
        <v>95381</v>
      </c>
      <c r="AD310" s="21">
        <v>96383</v>
      </c>
      <c r="AE310" s="21">
        <v>107306</v>
      </c>
      <c r="AF310" s="21">
        <v>112022</v>
      </c>
      <c r="AG310" s="21">
        <v>109560</v>
      </c>
      <c r="AH310" s="21">
        <v>118562</v>
      </c>
      <c r="AI310" s="21">
        <v>114981</v>
      </c>
      <c r="AJ310" s="21">
        <v>132422</v>
      </c>
      <c r="AK310" s="21">
        <v>120401</v>
      </c>
      <c r="AL310" s="21">
        <v>120046</v>
      </c>
      <c r="AM310" s="21">
        <v>119737</v>
      </c>
      <c r="AN310" s="21">
        <v>125637</v>
      </c>
      <c r="AO310" s="21">
        <v>120752</v>
      </c>
      <c r="AP310" s="21">
        <v>142511</v>
      </c>
      <c r="AQ310" s="21">
        <v>155339</v>
      </c>
      <c r="AR310" s="21">
        <v>132149</v>
      </c>
      <c r="AS310" s="21">
        <v>142359</v>
      </c>
      <c r="AT310" s="21">
        <v>139789</v>
      </c>
      <c r="AU310" s="21">
        <v>136901</v>
      </c>
      <c r="AV310" s="21">
        <v>154975</v>
      </c>
      <c r="AW310" s="21">
        <v>147591</v>
      </c>
      <c r="AX310" s="21">
        <v>155056</v>
      </c>
      <c r="AY310" s="21">
        <v>150375</v>
      </c>
      <c r="AZ310" s="21">
        <v>144051</v>
      </c>
      <c r="BA310" s="21">
        <v>132589</v>
      </c>
      <c r="BB310" s="21">
        <v>113194</v>
      </c>
      <c r="BC310" s="21">
        <v>107623</v>
      </c>
      <c r="BD310" s="21">
        <v>116912</v>
      </c>
      <c r="BE310" s="21">
        <v>107622</v>
      </c>
      <c r="BF310" s="21">
        <v>105829</v>
      </c>
      <c r="BG310" s="21">
        <v>107823</v>
      </c>
      <c r="BH310" s="21">
        <v>105620</v>
      </c>
      <c r="BI310" s="21">
        <v>98339</v>
      </c>
      <c r="BJ310" s="21">
        <v>101510</v>
      </c>
      <c r="BK310" s="21">
        <v>97330</v>
      </c>
      <c r="BL310" s="21">
        <v>79751</v>
      </c>
      <c r="BM310" s="21">
        <v>82886</v>
      </c>
    </row>
    <row r="311" spans="1:65" x14ac:dyDescent="0.2">
      <c r="A311" s="21" t="s">
        <v>1413</v>
      </c>
      <c r="B311" s="21" t="s">
        <v>1414</v>
      </c>
      <c r="C311" s="21" t="s">
        <v>989</v>
      </c>
      <c r="D311" s="21">
        <v>6.024</v>
      </c>
      <c r="E311" s="21">
        <v>6.024</v>
      </c>
      <c r="F311" s="21">
        <v>6.024</v>
      </c>
      <c r="G311" s="21">
        <v>6.024</v>
      </c>
      <c r="H311" s="21">
        <v>6.024</v>
      </c>
      <c r="I311" s="21">
        <v>6.024</v>
      </c>
      <c r="J311" s="21">
        <v>6.024</v>
      </c>
      <c r="K311" s="21">
        <v>6.024</v>
      </c>
      <c r="L311" s="21">
        <v>6.024</v>
      </c>
      <c r="M311" s="21">
        <v>6.024</v>
      </c>
      <c r="N311" s="21">
        <v>6.024</v>
      </c>
      <c r="O311" s="21">
        <v>6.024</v>
      </c>
      <c r="P311" s="21">
        <v>6.024</v>
      </c>
      <c r="Q311" s="21">
        <v>6.024</v>
      </c>
      <c r="R311" s="21">
        <v>6.024</v>
      </c>
      <c r="S311" s="21">
        <v>6.024</v>
      </c>
      <c r="T311" s="21">
        <v>6.024</v>
      </c>
      <c r="U311" s="21">
        <v>6.024</v>
      </c>
      <c r="V311" s="21">
        <v>6.024</v>
      </c>
      <c r="W311" s="21">
        <v>6.024</v>
      </c>
      <c r="X311" s="21">
        <v>6.024</v>
      </c>
      <c r="Y311" s="21">
        <v>6.024</v>
      </c>
      <c r="Z311" s="21">
        <v>6.024</v>
      </c>
      <c r="AA311" s="21">
        <v>6.024</v>
      </c>
      <c r="AB311" s="21">
        <v>6.024</v>
      </c>
      <c r="AC311" s="21">
        <v>6.024</v>
      </c>
      <c r="AD311" s="21">
        <v>6.024</v>
      </c>
      <c r="AE311" s="21">
        <v>6.024</v>
      </c>
      <c r="AF311" s="21">
        <v>6.024</v>
      </c>
      <c r="AG311" s="21">
        <v>6.024</v>
      </c>
      <c r="AH311" s="21">
        <v>6.024</v>
      </c>
      <c r="AI311" s="21">
        <v>6.024</v>
      </c>
      <c r="AJ311" s="21">
        <v>6.024</v>
      </c>
      <c r="AK311" s="21">
        <v>6.024</v>
      </c>
      <c r="AL311" s="21">
        <v>6.024</v>
      </c>
      <c r="AM311" s="21">
        <v>6.024</v>
      </c>
      <c r="AN311" s="21">
        <v>6.024</v>
      </c>
      <c r="AO311" s="21">
        <v>6.024</v>
      </c>
      <c r="AP311" s="21">
        <v>6.024</v>
      </c>
      <c r="AQ311" s="21">
        <v>6.024</v>
      </c>
      <c r="AR311" s="21">
        <v>6.024</v>
      </c>
      <c r="AS311" s="21">
        <v>6.024</v>
      </c>
      <c r="AT311" s="21">
        <v>6.024</v>
      </c>
      <c r="AU311" s="21">
        <v>6.024</v>
      </c>
      <c r="AV311" s="21">
        <v>5.7190000000000003</v>
      </c>
      <c r="AW311" s="21">
        <v>5.7190000000000003</v>
      </c>
      <c r="AX311" s="21">
        <v>5.7190000000000003</v>
      </c>
      <c r="AY311" s="21">
        <v>5.7190000000000003</v>
      </c>
      <c r="AZ311" s="21">
        <v>5.7190000000000003</v>
      </c>
      <c r="BA311" s="21">
        <v>5.7190000000000003</v>
      </c>
      <c r="BB311" s="21">
        <v>5.7190000000000003</v>
      </c>
      <c r="BC311" s="21">
        <v>5.7190000000000003</v>
      </c>
      <c r="BD311" s="21">
        <v>5.7190000000000003</v>
      </c>
      <c r="BE311" s="21">
        <v>5.7190000000000003</v>
      </c>
      <c r="BF311" s="21">
        <v>5.7190000000000003</v>
      </c>
      <c r="BG311" s="21">
        <v>5.7190000000000003</v>
      </c>
      <c r="BH311" s="21">
        <v>5.7190000000000003</v>
      </c>
      <c r="BI311" s="21">
        <v>5.7190000000000003</v>
      </c>
      <c r="BJ311" s="21">
        <v>5.7190000000000003</v>
      </c>
      <c r="BK311" s="21">
        <v>5.7190000000000003</v>
      </c>
      <c r="BL311" s="21">
        <v>5.7190000000000003</v>
      </c>
      <c r="BM311" s="21">
        <v>5.7190000000000003</v>
      </c>
    </row>
    <row r="312" spans="1:65" x14ac:dyDescent="0.2">
      <c r="A312" s="21" t="s">
        <v>1413</v>
      </c>
      <c r="B312" s="21" t="s">
        <v>1414</v>
      </c>
      <c r="C312" s="21" t="s">
        <v>995</v>
      </c>
      <c r="D312" s="21">
        <v>328139</v>
      </c>
      <c r="E312" s="21">
        <v>404415</v>
      </c>
      <c r="F312" s="21">
        <v>425921</v>
      </c>
      <c r="G312" s="21">
        <v>417602</v>
      </c>
      <c r="H312" s="21">
        <v>424059</v>
      </c>
      <c r="I312" s="21">
        <v>443529</v>
      </c>
      <c r="J312" s="21">
        <v>443848</v>
      </c>
      <c r="K312" s="21">
        <v>452583</v>
      </c>
      <c r="L312" s="21">
        <v>459746</v>
      </c>
      <c r="M312" s="21">
        <v>486920</v>
      </c>
      <c r="N312" s="21">
        <v>465143</v>
      </c>
      <c r="O312" s="21">
        <v>481300</v>
      </c>
      <c r="P312" s="21">
        <v>531775</v>
      </c>
      <c r="Q312" s="21">
        <v>573220</v>
      </c>
      <c r="R312" s="21">
        <v>524425</v>
      </c>
      <c r="S312" s="21">
        <v>542449</v>
      </c>
      <c r="T312" s="21">
        <v>536684</v>
      </c>
      <c r="U312" s="21">
        <v>588750</v>
      </c>
      <c r="V312" s="21">
        <v>562178</v>
      </c>
      <c r="W312" s="21">
        <v>541329</v>
      </c>
      <c r="X312" s="21">
        <v>521564</v>
      </c>
      <c r="Y312" s="21">
        <v>553413</v>
      </c>
      <c r="Z312" s="21">
        <v>545142</v>
      </c>
      <c r="AA312" s="21">
        <v>502769</v>
      </c>
      <c r="AB312" s="21">
        <v>545419</v>
      </c>
      <c r="AC312" s="21">
        <v>581545</v>
      </c>
      <c r="AD312" s="21">
        <v>590027</v>
      </c>
      <c r="AE312" s="21">
        <v>656881</v>
      </c>
      <c r="AF312" s="21">
        <v>687140</v>
      </c>
      <c r="AG312" s="21">
        <v>675574</v>
      </c>
      <c r="AH312" s="21">
        <v>744584</v>
      </c>
      <c r="AI312" s="21">
        <v>721976</v>
      </c>
      <c r="AJ312" s="21">
        <v>842788</v>
      </c>
      <c r="AK312" s="21">
        <v>804102</v>
      </c>
      <c r="AL312" s="21">
        <v>793011</v>
      </c>
      <c r="AM312" s="21">
        <v>801975</v>
      </c>
      <c r="AN312" s="21">
        <v>836523</v>
      </c>
      <c r="AO312" s="21">
        <v>829101</v>
      </c>
      <c r="AP312" s="21">
        <v>982165</v>
      </c>
      <c r="AQ312" s="21">
        <v>1048375</v>
      </c>
      <c r="AR312" s="21">
        <v>894877</v>
      </c>
      <c r="AS312" s="21">
        <v>960985</v>
      </c>
      <c r="AT312" s="21">
        <v>1017508</v>
      </c>
      <c r="AU312" s="21">
        <v>999689</v>
      </c>
      <c r="AV312" s="21">
        <v>1148863</v>
      </c>
      <c r="AW312" s="21">
        <v>1126392</v>
      </c>
      <c r="AX312" s="21">
        <v>1141487</v>
      </c>
      <c r="AY312" s="21">
        <v>1072893</v>
      </c>
      <c r="AZ312" s="21">
        <v>1016972</v>
      </c>
      <c r="BA312" s="21">
        <v>937237</v>
      </c>
      <c r="BB312" s="21">
        <v>831425</v>
      </c>
      <c r="BC312" s="21">
        <v>801741</v>
      </c>
      <c r="BD312" s="21">
        <v>802427</v>
      </c>
      <c r="BE312" s="21">
        <v>786575</v>
      </c>
      <c r="BF312" s="21">
        <v>772509</v>
      </c>
      <c r="BG312" s="21">
        <v>775809</v>
      </c>
      <c r="BH312" s="21">
        <v>771519</v>
      </c>
      <c r="BI312" s="21">
        <v>708108</v>
      </c>
      <c r="BJ312" s="21">
        <v>730733</v>
      </c>
      <c r="BK312" s="21">
        <v>678818</v>
      </c>
      <c r="BL312" s="21">
        <v>583005</v>
      </c>
      <c r="BM312" s="21">
        <v>603041</v>
      </c>
    </row>
    <row r="313" spans="1:65" x14ac:dyDescent="0.2">
      <c r="A313" s="21" t="s">
        <v>1413</v>
      </c>
      <c r="B313" s="21" t="s">
        <v>1414</v>
      </c>
      <c r="C313" s="21" t="s">
        <v>999</v>
      </c>
      <c r="D313" s="21">
        <v>54472</v>
      </c>
      <c r="E313" s="21">
        <v>67134</v>
      </c>
      <c r="F313" s="21">
        <v>70704</v>
      </c>
      <c r="G313" s="21">
        <v>69323</v>
      </c>
      <c r="H313" s="21">
        <v>70395</v>
      </c>
      <c r="I313" s="21">
        <v>73627</v>
      </c>
      <c r="J313" s="21">
        <v>73680</v>
      </c>
      <c r="K313" s="21">
        <v>75130</v>
      </c>
      <c r="L313" s="21">
        <v>76319</v>
      </c>
      <c r="M313" s="21">
        <v>80830</v>
      </c>
      <c r="N313" s="21">
        <v>77215</v>
      </c>
      <c r="O313" s="21">
        <v>79897</v>
      </c>
      <c r="P313" s="21">
        <v>88276</v>
      </c>
      <c r="Q313" s="21">
        <v>95156</v>
      </c>
      <c r="R313" s="21">
        <v>87056</v>
      </c>
      <c r="S313" s="21">
        <v>90048</v>
      </c>
      <c r="T313" s="21">
        <v>89091</v>
      </c>
      <c r="U313" s="21">
        <v>97734</v>
      </c>
      <c r="V313" s="21">
        <v>93323</v>
      </c>
      <c r="W313" s="21">
        <v>89862</v>
      </c>
      <c r="X313" s="21">
        <v>86581</v>
      </c>
      <c r="Y313" s="21">
        <v>91868</v>
      </c>
      <c r="Z313" s="21">
        <v>90495</v>
      </c>
      <c r="AA313" s="21">
        <v>83461</v>
      </c>
      <c r="AB313" s="21">
        <v>90541</v>
      </c>
      <c r="AC313" s="21">
        <v>96538</v>
      </c>
      <c r="AD313" s="21">
        <v>97946</v>
      </c>
      <c r="AE313" s="21">
        <v>109044</v>
      </c>
      <c r="AF313" s="21">
        <v>114067</v>
      </c>
      <c r="AG313" s="21">
        <v>112147</v>
      </c>
      <c r="AH313" s="21">
        <v>123603</v>
      </c>
      <c r="AI313" s="21">
        <v>119850</v>
      </c>
      <c r="AJ313" s="21">
        <v>139905</v>
      </c>
      <c r="AK313" s="21">
        <v>133483</v>
      </c>
      <c r="AL313" s="21">
        <v>131642</v>
      </c>
      <c r="AM313" s="21">
        <v>133130</v>
      </c>
      <c r="AN313" s="21">
        <v>138865</v>
      </c>
      <c r="AO313" s="21">
        <v>137633</v>
      </c>
      <c r="AP313" s="21">
        <v>163042</v>
      </c>
      <c r="AQ313" s="21">
        <v>174033</v>
      </c>
      <c r="AR313" s="21">
        <v>148552</v>
      </c>
      <c r="AS313" s="21">
        <v>159526</v>
      </c>
      <c r="AT313" s="21">
        <v>168909</v>
      </c>
      <c r="AU313" s="21">
        <v>165951</v>
      </c>
      <c r="AV313" s="21">
        <v>191882</v>
      </c>
      <c r="AW313" s="21">
        <v>188052</v>
      </c>
      <c r="AX313" s="21">
        <v>190608</v>
      </c>
      <c r="AY313" s="21">
        <v>178860</v>
      </c>
      <c r="AZ313" s="21">
        <v>169698</v>
      </c>
      <c r="BA313" s="21">
        <v>155686</v>
      </c>
      <c r="BB313" s="21">
        <v>137139</v>
      </c>
      <c r="BC313" s="21">
        <v>131841</v>
      </c>
      <c r="BD313" s="21">
        <v>131848</v>
      </c>
      <c r="BE313" s="21">
        <v>129106</v>
      </c>
      <c r="BF313" s="21">
        <v>126581</v>
      </c>
      <c r="BG313" s="21">
        <v>127448</v>
      </c>
      <c r="BH313" s="21">
        <v>126360</v>
      </c>
      <c r="BI313" s="21">
        <v>115423</v>
      </c>
      <c r="BJ313" s="21">
        <v>119317</v>
      </c>
      <c r="BK313" s="21">
        <v>110641</v>
      </c>
      <c r="BL313" s="21">
        <v>95058</v>
      </c>
      <c r="BM313" s="21">
        <v>98297</v>
      </c>
    </row>
    <row r="314" spans="1:65" x14ac:dyDescent="0.2">
      <c r="A314" s="21" t="s">
        <v>1413</v>
      </c>
      <c r="B314" s="21" t="s">
        <v>1414</v>
      </c>
      <c r="C314" s="21" t="s">
        <v>1002</v>
      </c>
      <c r="D314" s="21">
        <v>328139</v>
      </c>
      <c r="E314" s="21">
        <v>404415</v>
      </c>
      <c r="F314" s="21">
        <v>425921</v>
      </c>
      <c r="G314" s="21">
        <v>417602</v>
      </c>
      <c r="H314" s="21">
        <v>424059</v>
      </c>
      <c r="I314" s="21">
        <v>443529</v>
      </c>
      <c r="J314" s="21">
        <v>443848</v>
      </c>
      <c r="K314" s="21">
        <v>452583</v>
      </c>
      <c r="L314" s="21">
        <v>459746</v>
      </c>
      <c r="M314" s="21">
        <v>486920</v>
      </c>
      <c r="N314" s="21">
        <v>445974</v>
      </c>
      <c r="O314" s="21">
        <v>463072</v>
      </c>
      <c r="P314" s="21">
        <v>512881</v>
      </c>
      <c r="Q314" s="21">
        <v>557958</v>
      </c>
      <c r="R314" s="21">
        <v>505600</v>
      </c>
      <c r="S314" s="21">
        <v>540336</v>
      </c>
      <c r="T314" s="21">
        <v>534634</v>
      </c>
      <c r="U314" s="21">
        <v>585812</v>
      </c>
      <c r="V314" s="21">
        <v>550182</v>
      </c>
      <c r="W314" s="21">
        <v>533260</v>
      </c>
      <c r="X314" s="21">
        <v>516166</v>
      </c>
      <c r="Y314" s="21">
        <v>549230</v>
      </c>
      <c r="Z314" s="21">
        <v>540644</v>
      </c>
      <c r="AA314" s="21">
        <v>494894</v>
      </c>
      <c r="AB314" s="21">
        <v>537843</v>
      </c>
      <c r="AC314" s="21">
        <v>574576</v>
      </c>
      <c r="AD314" s="21">
        <v>580608</v>
      </c>
      <c r="AE314" s="21">
        <v>646412</v>
      </c>
      <c r="AF314" s="21">
        <v>674820</v>
      </c>
      <c r="AG314" s="21">
        <v>659990</v>
      </c>
      <c r="AH314" s="21">
        <v>714218</v>
      </c>
      <c r="AI314" s="21">
        <v>692647</v>
      </c>
      <c r="AJ314" s="21">
        <v>797782</v>
      </c>
      <c r="AK314" s="21">
        <v>725453</v>
      </c>
      <c r="AL314" s="21">
        <v>723295</v>
      </c>
      <c r="AM314" s="21">
        <v>721420</v>
      </c>
      <c r="AN314" s="21">
        <v>756952</v>
      </c>
      <c r="AO314" s="21">
        <v>727543</v>
      </c>
      <c r="AP314" s="21">
        <v>858611</v>
      </c>
      <c r="AQ314" s="21">
        <v>935884</v>
      </c>
      <c r="AR314" s="21">
        <v>796236</v>
      </c>
      <c r="AS314" s="21">
        <v>857759</v>
      </c>
      <c r="AT314" s="21">
        <v>842331</v>
      </c>
      <c r="AU314" s="21">
        <v>825022</v>
      </c>
      <c r="AV314" s="21">
        <v>938053</v>
      </c>
      <c r="AW314" s="21">
        <v>895260</v>
      </c>
      <c r="AX314" s="21">
        <v>938443</v>
      </c>
      <c r="AY314" s="21">
        <v>910336</v>
      </c>
      <c r="AZ314" s="21">
        <v>870581</v>
      </c>
      <c r="BA314" s="21">
        <v>805396</v>
      </c>
      <c r="BB314" s="21">
        <v>694831</v>
      </c>
      <c r="BC314" s="21">
        <v>663420</v>
      </c>
      <c r="BD314" s="21">
        <v>717373</v>
      </c>
      <c r="BE314" s="21">
        <v>664057</v>
      </c>
      <c r="BF314" s="21">
        <v>654354</v>
      </c>
      <c r="BG314" s="21">
        <v>664093</v>
      </c>
      <c r="BH314" s="21">
        <v>653202</v>
      </c>
      <c r="BI314" s="21">
        <v>610900</v>
      </c>
      <c r="BJ314" s="21">
        <v>629251</v>
      </c>
      <c r="BK314" s="21">
        <v>602905</v>
      </c>
      <c r="BL314" s="21">
        <v>495579</v>
      </c>
      <c r="BM314" s="21">
        <v>515101</v>
      </c>
    </row>
    <row r="315" spans="1:65" x14ac:dyDescent="0.2">
      <c r="A315" s="21" t="s">
        <v>1413</v>
      </c>
      <c r="B315" s="21" t="s">
        <v>1414</v>
      </c>
      <c r="C315" s="21" t="s">
        <v>1006</v>
      </c>
      <c r="D315" s="21">
        <v>54472</v>
      </c>
      <c r="E315" s="21">
        <v>67134</v>
      </c>
      <c r="F315" s="21">
        <v>70704</v>
      </c>
      <c r="G315" s="21">
        <v>69323</v>
      </c>
      <c r="H315" s="21">
        <v>70395</v>
      </c>
      <c r="I315" s="21">
        <v>73627</v>
      </c>
      <c r="J315" s="21">
        <v>73680</v>
      </c>
      <c r="K315" s="21">
        <v>75130</v>
      </c>
      <c r="L315" s="21">
        <v>76319</v>
      </c>
      <c r="M315" s="21">
        <v>80830</v>
      </c>
      <c r="N315" s="21">
        <v>74033</v>
      </c>
      <c r="O315" s="21">
        <v>76871</v>
      </c>
      <c r="P315" s="21">
        <v>85140</v>
      </c>
      <c r="Q315" s="21">
        <v>92622</v>
      </c>
      <c r="R315" s="21">
        <v>83931</v>
      </c>
      <c r="S315" s="21">
        <v>89697</v>
      </c>
      <c r="T315" s="21">
        <v>88751</v>
      </c>
      <c r="U315" s="21">
        <v>97246</v>
      </c>
      <c r="V315" s="21">
        <v>91332</v>
      </c>
      <c r="W315" s="21">
        <v>88523</v>
      </c>
      <c r="X315" s="21">
        <v>85685</v>
      </c>
      <c r="Y315" s="21">
        <v>91174</v>
      </c>
      <c r="Z315" s="21">
        <v>89748</v>
      </c>
      <c r="AA315" s="21">
        <v>82154</v>
      </c>
      <c r="AB315" s="21">
        <v>89283</v>
      </c>
      <c r="AC315" s="21">
        <v>95381</v>
      </c>
      <c r="AD315" s="21">
        <v>96383</v>
      </c>
      <c r="AE315" s="21">
        <v>107306</v>
      </c>
      <c r="AF315" s="21">
        <v>112022</v>
      </c>
      <c r="AG315" s="21">
        <v>109560</v>
      </c>
      <c r="AH315" s="21">
        <v>118562</v>
      </c>
      <c r="AI315" s="21">
        <v>114981</v>
      </c>
      <c r="AJ315" s="21">
        <v>132434</v>
      </c>
      <c r="AK315" s="21">
        <v>120427</v>
      </c>
      <c r="AL315" s="21">
        <v>120069</v>
      </c>
      <c r="AM315" s="21">
        <v>119758</v>
      </c>
      <c r="AN315" s="21">
        <v>125656</v>
      </c>
      <c r="AO315" s="21">
        <v>120774</v>
      </c>
      <c r="AP315" s="21">
        <v>142532</v>
      </c>
      <c r="AQ315" s="21">
        <v>155359</v>
      </c>
      <c r="AR315" s="21">
        <v>132177</v>
      </c>
      <c r="AS315" s="21">
        <v>142390</v>
      </c>
      <c r="AT315" s="21">
        <v>139829</v>
      </c>
      <c r="AU315" s="21">
        <v>136956</v>
      </c>
      <c r="AV315" s="21">
        <v>155021</v>
      </c>
      <c r="AW315" s="21">
        <v>147637</v>
      </c>
      <c r="AX315" s="21">
        <v>155105</v>
      </c>
      <c r="AY315" s="21">
        <v>150436</v>
      </c>
      <c r="AZ315" s="21">
        <v>144101</v>
      </c>
      <c r="BA315" s="21">
        <v>132633</v>
      </c>
      <c r="BB315" s="21">
        <v>113255</v>
      </c>
      <c r="BC315" s="21">
        <v>107655</v>
      </c>
      <c r="BD315" s="21">
        <v>116976</v>
      </c>
      <c r="BE315" s="21">
        <v>107683</v>
      </c>
      <c r="BF315" s="21">
        <v>105921</v>
      </c>
      <c r="BG315" s="21">
        <v>107914</v>
      </c>
      <c r="BH315" s="21">
        <v>105672</v>
      </c>
      <c r="BI315" s="21">
        <v>98426</v>
      </c>
      <c r="BJ315" s="21">
        <v>101572</v>
      </c>
      <c r="BK315" s="21">
        <v>97367</v>
      </c>
      <c r="BL315" s="21">
        <v>79771</v>
      </c>
      <c r="BM315" s="21">
        <v>82920</v>
      </c>
    </row>
    <row r="316" spans="1:65" x14ac:dyDescent="0.2">
      <c r="A316" s="21" t="s">
        <v>1413</v>
      </c>
      <c r="B316" s="21" t="s">
        <v>1414</v>
      </c>
      <c r="C316" s="21" t="s">
        <v>1047</v>
      </c>
      <c r="D316" s="21">
        <v>0</v>
      </c>
      <c r="E316" s="21">
        <v>0</v>
      </c>
      <c r="F316" s="21">
        <v>0</v>
      </c>
      <c r="G316" s="21">
        <v>0</v>
      </c>
      <c r="H316" s="21">
        <v>0</v>
      </c>
      <c r="I316" s="21">
        <v>0</v>
      </c>
      <c r="J316" s="21">
        <v>0</v>
      </c>
      <c r="K316" s="21">
        <v>0</v>
      </c>
      <c r="L316" s="21">
        <v>0</v>
      </c>
      <c r="M316" s="21">
        <v>0</v>
      </c>
      <c r="N316" s="21">
        <v>0</v>
      </c>
      <c r="O316" s="21">
        <v>0</v>
      </c>
      <c r="P316" s="21">
        <v>0</v>
      </c>
      <c r="Q316" s="21">
        <v>10126</v>
      </c>
      <c r="R316" s="21">
        <v>33082</v>
      </c>
      <c r="S316" s="21">
        <v>37563</v>
      </c>
      <c r="T316" s="21">
        <v>5001</v>
      </c>
      <c r="U316" s="21">
        <v>0</v>
      </c>
      <c r="V316" s="21">
        <v>0</v>
      </c>
      <c r="W316" s="21">
        <v>0</v>
      </c>
      <c r="X316" s="21">
        <v>0</v>
      </c>
      <c r="Y316" s="21">
        <v>-60</v>
      </c>
      <c r="Z316" s="21">
        <v>135</v>
      </c>
      <c r="AA316" s="21">
        <v>130</v>
      </c>
      <c r="AB316" s="21">
        <v>0</v>
      </c>
      <c r="AC316" s="21">
        <v>0</v>
      </c>
      <c r="AD316" s="21">
        <v>0</v>
      </c>
      <c r="AE316" s="21">
        <v>0</v>
      </c>
      <c r="AF316" s="21">
        <v>0</v>
      </c>
      <c r="AG316" s="21">
        <v>0</v>
      </c>
      <c r="AH316" s="21">
        <v>0</v>
      </c>
      <c r="AI316" s="21">
        <v>0</v>
      </c>
      <c r="AJ316" s="21">
        <v>0</v>
      </c>
      <c r="AK316" s="21">
        <v>0</v>
      </c>
      <c r="AL316" s="21">
        <v>0</v>
      </c>
      <c r="AM316" s="21">
        <v>0</v>
      </c>
      <c r="AN316" s="21">
        <v>0</v>
      </c>
      <c r="AO316" s="21">
        <v>0</v>
      </c>
      <c r="AP316" s="21">
        <v>0</v>
      </c>
      <c r="AQ316" s="21">
        <v>0</v>
      </c>
      <c r="AR316" s="21">
        <v>0</v>
      </c>
      <c r="AS316" s="21">
        <v>0</v>
      </c>
      <c r="AT316" s="21">
        <v>0</v>
      </c>
      <c r="AU316" s="21">
        <v>0</v>
      </c>
      <c r="AV316" s="21">
        <v>0</v>
      </c>
      <c r="AW316" s="21">
        <v>0</v>
      </c>
      <c r="AX316" s="21">
        <v>0</v>
      </c>
      <c r="AY316" s="21">
        <v>0</v>
      </c>
      <c r="AZ316" s="21">
        <v>0</v>
      </c>
      <c r="BA316" s="21">
        <v>0</v>
      </c>
      <c r="BB316" s="21">
        <v>0</v>
      </c>
      <c r="BC316" s="21">
        <v>0</v>
      </c>
      <c r="BD316" s="21">
        <v>0</v>
      </c>
      <c r="BE316" s="21">
        <v>0</v>
      </c>
      <c r="BF316" s="21">
        <v>0</v>
      </c>
      <c r="BG316" s="21">
        <v>0</v>
      </c>
      <c r="BH316" s="21">
        <v>0</v>
      </c>
      <c r="BI316" s="21">
        <v>0</v>
      </c>
      <c r="BJ316" s="21">
        <v>0</v>
      </c>
      <c r="BK316" s="21">
        <v>0</v>
      </c>
      <c r="BL316" s="21">
        <v>0</v>
      </c>
      <c r="BM316" s="21">
        <v>0</v>
      </c>
    </row>
    <row r="317" spans="1:65" x14ac:dyDescent="0.2">
      <c r="A317" s="21" t="s">
        <v>1413</v>
      </c>
      <c r="B317" s="21" t="s">
        <v>1414</v>
      </c>
      <c r="C317" s="21" t="s">
        <v>1049</v>
      </c>
      <c r="D317" s="21">
        <v>0</v>
      </c>
      <c r="E317" s="21">
        <v>0</v>
      </c>
      <c r="F317" s="21">
        <v>0</v>
      </c>
      <c r="G317" s="21">
        <v>0</v>
      </c>
      <c r="H317" s="21">
        <v>0</v>
      </c>
      <c r="I317" s="21">
        <v>0</v>
      </c>
      <c r="J317" s="21">
        <v>0</v>
      </c>
      <c r="K317" s="21">
        <v>0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  <c r="Q317" s="21">
        <v>1869</v>
      </c>
      <c r="R317" s="21">
        <v>6106</v>
      </c>
      <c r="S317" s="21">
        <v>6933</v>
      </c>
      <c r="T317" s="21">
        <v>923</v>
      </c>
      <c r="U317" s="21">
        <v>0</v>
      </c>
      <c r="V317" s="21">
        <v>0</v>
      </c>
      <c r="W317" s="21">
        <v>0</v>
      </c>
      <c r="X317" s="21">
        <v>0</v>
      </c>
      <c r="Y317" s="21">
        <v>-11</v>
      </c>
      <c r="Z317" s="21">
        <v>25</v>
      </c>
      <c r="AA317" s="21">
        <v>24</v>
      </c>
      <c r="AB317" s="21">
        <v>0</v>
      </c>
      <c r="AC317" s="21">
        <v>0</v>
      </c>
      <c r="AD317" s="21">
        <v>0</v>
      </c>
      <c r="AE317" s="21">
        <v>0</v>
      </c>
      <c r="AF317" s="21">
        <v>0</v>
      </c>
      <c r="AG317" s="21">
        <v>0</v>
      </c>
      <c r="AH317" s="21">
        <v>0</v>
      </c>
      <c r="AI317" s="21">
        <v>0</v>
      </c>
      <c r="AJ317" s="21">
        <v>0</v>
      </c>
      <c r="AK317" s="21">
        <v>0</v>
      </c>
      <c r="AL317" s="21">
        <v>0</v>
      </c>
      <c r="AM317" s="21">
        <v>0</v>
      </c>
      <c r="AN317" s="21">
        <v>0</v>
      </c>
      <c r="AO317" s="21">
        <v>0</v>
      </c>
      <c r="AP317" s="21">
        <v>0</v>
      </c>
      <c r="AQ317" s="21">
        <v>0</v>
      </c>
      <c r="AR317" s="21">
        <v>0</v>
      </c>
      <c r="AS317" s="21">
        <v>0</v>
      </c>
      <c r="AT317" s="21">
        <v>0</v>
      </c>
      <c r="AU317" s="21">
        <v>0</v>
      </c>
      <c r="AV317" s="21">
        <v>0</v>
      </c>
      <c r="AW317" s="21">
        <v>0</v>
      </c>
      <c r="AX317" s="21">
        <v>0</v>
      </c>
      <c r="AY317" s="21">
        <v>0</v>
      </c>
      <c r="AZ317" s="21">
        <v>0</v>
      </c>
      <c r="BA317" s="21">
        <v>0</v>
      </c>
      <c r="BB317" s="21">
        <v>0</v>
      </c>
      <c r="BC317" s="21">
        <v>0</v>
      </c>
      <c r="BD317" s="21">
        <v>0</v>
      </c>
      <c r="BE317" s="21">
        <v>0</v>
      </c>
      <c r="BF317" s="21">
        <v>0</v>
      </c>
      <c r="BG317" s="21">
        <v>0</v>
      </c>
      <c r="BH317" s="21">
        <v>0</v>
      </c>
      <c r="BI317" s="21">
        <v>0</v>
      </c>
      <c r="BJ317" s="21">
        <v>0</v>
      </c>
      <c r="BK317" s="21">
        <v>0</v>
      </c>
      <c r="BL317" s="21">
        <v>0</v>
      </c>
      <c r="BM317" s="21">
        <v>0</v>
      </c>
    </row>
    <row r="318" spans="1:65" x14ac:dyDescent="0.2">
      <c r="A318" s="21" t="s">
        <v>1413</v>
      </c>
      <c r="B318" s="21" t="s">
        <v>1414</v>
      </c>
      <c r="C318" s="21" t="s">
        <v>1050</v>
      </c>
      <c r="D318" s="21">
        <v>19873652</v>
      </c>
      <c r="E318" s="21">
        <v>20168040</v>
      </c>
      <c r="F318" s="21">
        <v>20997481</v>
      </c>
      <c r="G318" s="21">
        <v>21644489</v>
      </c>
      <c r="H318" s="21">
        <v>22240249</v>
      </c>
      <c r="I318" s="21">
        <v>23183963</v>
      </c>
      <c r="J318" s="21">
        <v>24334435</v>
      </c>
      <c r="K318" s="21">
        <v>25272517</v>
      </c>
      <c r="L318" s="21">
        <v>26964864</v>
      </c>
      <c r="M318" s="21">
        <v>28321627</v>
      </c>
      <c r="N318" s="21">
        <v>29500112</v>
      </c>
      <c r="O318" s="21">
        <v>30541454</v>
      </c>
      <c r="P318" s="21">
        <v>32919160</v>
      </c>
      <c r="Q318" s="21">
        <v>34806025</v>
      </c>
      <c r="R318" s="21">
        <v>33420613</v>
      </c>
      <c r="S318" s="21">
        <v>32698781</v>
      </c>
      <c r="T318" s="21">
        <v>35141985</v>
      </c>
      <c r="U318" s="21">
        <v>37082642</v>
      </c>
      <c r="V318" s="21">
        <v>37919119</v>
      </c>
      <c r="W318" s="21">
        <v>37075744</v>
      </c>
      <c r="X318" s="21">
        <v>34159533</v>
      </c>
      <c r="Y318" s="21">
        <v>31884079</v>
      </c>
      <c r="Z318" s="21">
        <v>30179518</v>
      </c>
      <c r="AA318" s="21">
        <v>29997230</v>
      </c>
      <c r="AB318" s="21">
        <v>30993084</v>
      </c>
      <c r="AC318" s="21">
        <v>30867287</v>
      </c>
      <c r="AD318" s="21">
        <v>32150914</v>
      </c>
      <c r="AE318" s="21">
        <v>32818384</v>
      </c>
      <c r="AF318" s="21">
        <v>34173609</v>
      </c>
      <c r="AG318" s="21">
        <v>34164741</v>
      </c>
      <c r="AH318" s="21">
        <v>33500896</v>
      </c>
      <c r="AI318" s="21">
        <v>32790251</v>
      </c>
      <c r="AJ318" s="21">
        <v>33468926</v>
      </c>
      <c r="AK318" s="21">
        <v>33591507</v>
      </c>
      <c r="AL318" s="21">
        <v>34457681</v>
      </c>
      <c r="AM318" s="21">
        <v>34345586</v>
      </c>
      <c r="AN318" s="21">
        <v>35592566</v>
      </c>
      <c r="AO318" s="21">
        <v>36069260</v>
      </c>
      <c r="AP318" s="21">
        <v>36724106</v>
      </c>
      <c r="AQ318" s="21">
        <v>37736847</v>
      </c>
      <c r="AR318" s="21">
        <v>38156681</v>
      </c>
      <c r="AS318" s="21">
        <v>38087631</v>
      </c>
      <c r="AT318" s="21">
        <v>38122145</v>
      </c>
      <c r="AU318" s="21">
        <v>38713457</v>
      </c>
      <c r="AV318" s="21">
        <v>40148362</v>
      </c>
      <c r="AW318" s="21">
        <v>40227276</v>
      </c>
      <c r="AX318" s="21">
        <v>39743329</v>
      </c>
      <c r="AY318" s="21">
        <v>39383775</v>
      </c>
      <c r="AZ318" s="21">
        <v>36791612</v>
      </c>
      <c r="BA318" s="21">
        <v>34779630</v>
      </c>
      <c r="BB318" s="21">
        <v>35321018</v>
      </c>
      <c r="BC318" s="21">
        <v>34639718</v>
      </c>
      <c r="BD318" s="21">
        <v>33833375</v>
      </c>
      <c r="BE318" s="21">
        <v>34398415</v>
      </c>
      <c r="BF318" s="21">
        <v>34658248</v>
      </c>
      <c r="BG318" s="21">
        <v>35368448</v>
      </c>
      <c r="BH318" s="21">
        <v>35712347</v>
      </c>
      <c r="BI318" s="21">
        <v>36043829</v>
      </c>
      <c r="BJ318" s="21">
        <v>36892286</v>
      </c>
      <c r="BK318" s="21">
        <v>36867235</v>
      </c>
      <c r="BL318" s="21">
        <v>32333489</v>
      </c>
      <c r="BM318" s="21">
        <v>35251979</v>
      </c>
    </row>
    <row r="319" spans="1:65" x14ac:dyDescent="0.2">
      <c r="A319" s="21" t="s">
        <v>1413</v>
      </c>
      <c r="B319" s="21" t="s">
        <v>1414</v>
      </c>
      <c r="C319" s="21" t="s">
        <v>1052</v>
      </c>
      <c r="D319" s="21">
        <v>0</v>
      </c>
      <c r="E319" s="21">
        <v>0</v>
      </c>
      <c r="F319" s="21">
        <v>0</v>
      </c>
      <c r="G319" s="21">
        <v>0</v>
      </c>
      <c r="H319" s="21">
        <v>0</v>
      </c>
      <c r="I319" s="21">
        <v>0</v>
      </c>
      <c r="J319" s="21">
        <v>0</v>
      </c>
      <c r="K319" s="21">
        <v>0</v>
      </c>
      <c r="L319" s="21">
        <v>0</v>
      </c>
      <c r="M319" s="21">
        <v>0</v>
      </c>
      <c r="N319" s="21">
        <v>0</v>
      </c>
      <c r="O319" s="21">
        <v>0</v>
      </c>
      <c r="P319" s="21">
        <v>0</v>
      </c>
      <c r="Q319" s="21">
        <v>0</v>
      </c>
      <c r="R319" s="21">
        <v>0</v>
      </c>
      <c r="S319" s="21">
        <v>0</v>
      </c>
      <c r="T319" s="21">
        <v>0</v>
      </c>
      <c r="U319" s="21">
        <v>0</v>
      </c>
      <c r="V319" s="21">
        <v>0</v>
      </c>
      <c r="W319" s="21">
        <v>0</v>
      </c>
      <c r="X319" s="21">
        <v>0</v>
      </c>
      <c r="Y319" s="21">
        <v>0</v>
      </c>
      <c r="Z319" s="21">
        <v>0</v>
      </c>
      <c r="AA319" s="21">
        <v>0</v>
      </c>
      <c r="AB319" s="21">
        <v>219192</v>
      </c>
      <c r="AC319" s="21">
        <v>207453</v>
      </c>
      <c r="AD319" s="21">
        <v>196605</v>
      </c>
      <c r="AE319" s="21">
        <v>232855</v>
      </c>
      <c r="AF319" s="21">
        <v>209818</v>
      </c>
      <c r="AG319" s="21">
        <v>205899</v>
      </c>
      <c r="AH319" s="21">
        <v>251291</v>
      </c>
      <c r="AI319" s="21">
        <v>295162</v>
      </c>
      <c r="AJ319" s="21">
        <v>323802</v>
      </c>
      <c r="AK319" s="21">
        <v>333579</v>
      </c>
      <c r="AL319" s="21">
        <v>340049</v>
      </c>
      <c r="AM319" s="21">
        <v>339242</v>
      </c>
      <c r="AN319" s="21">
        <v>356375</v>
      </c>
      <c r="AO319" s="21">
        <v>330198</v>
      </c>
      <c r="AP319" s="21">
        <v>295158</v>
      </c>
      <c r="AQ319" s="21">
        <v>366397</v>
      </c>
      <c r="AR319" s="21">
        <v>344497</v>
      </c>
      <c r="AS319" s="21">
        <v>264204</v>
      </c>
      <c r="AT319" s="21">
        <v>224716</v>
      </c>
      <c r="AU319" s="21">
        <v>221696</v>
      </c>
      <c r="AV319" s="21">
        <v>223310</v>
      </c>
      <c r="AW319" s="21">
        <v>197004</v>
      </c>
      <c r="AX319" s="21">
        <v>140652</v>
      </c>
      <c r="AY319" s="21">
        <v>180061</v>
      </c>
      <c r="AZ319" s="21">
        <v>153643</v>
      </c>
      <c r="BA319" s="21">
        <v>128032</v>
      </c>
      <c r="BB319" s="21">
        <v>156106</v>
      </c>
      <c r="BC319" s="21">
        <v>54891</v>
      </c>
      <c r="BD319" s="21">
        <v>84750</v>
      </c>
      <c r="BE319" s="21">
        <v>94587</v>
      </c>
      <c r="BF319" s="21">
        <v>88734</v>
      </c>
      <c r="BG319" s="21">
        <v>161092</v>
      </c>
      <c r="BH319" s="21">
        <v>112597</v>
      </c>
      <c r="BI319" s="21">
        <v>173415</v>
      </c>
      <c r="BJ319" s="21">
        <v>224563</v>
      </c>
      <c r="BK319" s="21">
        <v>334557</v>
      </c>
      <c r="BL319" s="21">
        <v>354311</v>
      </c>
      <c r="BM319" s="21">
        <v>435916</v>
      </c>
    </row>
    <row r="320" spans="1:65" x14ac:dyDescent="0.2">
      <c r="A320" s="21" t="s">
        <v>1413</v>
      </c>
      <c r="B320" s="21" t="s">
        <v>1414</v>
      </c>
      <c r="C320" s="21" t="s">
        <v>1054</v>
      </c>
      <c r="D320" s="21">
        <v>0</v>
      </c>
      <c r="E320" s="21">
        <v>0</v>
      </c>
      <c r="F320" s="21">
        <v>0</v>
      </c>
      <c r="G320" s="21">
        <v>0</v>
      </c>
      <c r="H320" s="21">
        <v>0</v>
      </c>
      <c r="I320" s="21">
        <v>0</v>
      </c>
      <c r="J320" s="21">
        <v>0</v>
      </c>
      <c r="K320" s="21">
        <v>0</v>
      </c>
      <c r="L320" s="21">
        <v>0</v>
      </c>
      <c r="M320" s="21">
        <v>0</v>
      </c>
      <c r="N320" s="21">
        <v>0</v>
      </c>
      <c r="O320" s="21">
        <v>0</v>
      </c>
      <c r="P320" s="21">
        <v>0</v>
      </c>
      <c r="Q320" s="21">
        <v>0</v>
      </c>
      <c r="R320" s="21">
        <v>0</v>
      </c>
      <c r="S320" s="21">
        <v>0</v>
      </c>
      <c r="T320" s="21">
        <v>0</v>
      </c>
      <c r="U320" s="21">
        <v>0</v>
      </c>
      <c r="V320" s="21">
        <v>0</v>
      </c>
      <c r="W320" s="21">
        <v>0</v>
      </c>
      <c r="X320" s="21">
        <v>0</v>
      </c>
      <c r="Y320" s="21">
        <v>0</v>
      </c>
      <c r="Z320" s="21">
        <v>0</v>
      </c>
      <c r="AA320" s="21">
        <v>0</v>
      </c>
      <c r="AB320" s="21">
        <v>47260</v>
      </c>
      <c r="AC320" s="21">
        <v>44729</v>
      </c>
      <c r="AD320" s="21">
        <v>42390</v>
      </c>
      <c r="AE320" s="21">
        <v>50206</v>
      </c>
      <c r="AF320" s="21">
        <v>45239</v>
      </c>
      <c r="AG320" s="21">
        <v>44394</v>
      </c>
      <c r="AH320" s="21">
        <v>54181</v>
      </c>
      <c r="AI320" s="21">
        <v>63640</v>
      </c>
      <c r="AJ320" s="21">
        <v>69815</v>
      </c>
      <c r="AK320" s="21">
        <v>71923</v>
      </c>
      <c r="AL320" s="21">
        <v>73318</v>
      </c>
      <c r="AM320" s="21">
        <v>73144</v>
      </c>
      <c r="AN320" s="21">
        <v>76838</v>
      </c>
      <c r="AO320" s="21">
        <v>71194</v>
      </c>
      <c r="AP320" s="21">
        <v>63639</v>
      </c>
      <c r="AQ320" s="21">
        <v>78999</v>
      </c>
      <c r="AR320" s="21">
        <v>74277</v>
      </c>
      <c r="AS320" s="21">
        <v>56965</v>
      </c>
      <c r="AT320" s="21">
        <v>48451</v>
      </c>
      <c r="AU320" s="21">
        <v>47800</v>
      </c>
      <c r="AV320" s="21">
        <v>48148</v>
      </c>
      <c r="AW320" s="21">
        <v>42476</v>
      </c>
      <c r="AX320" s="21">
        <v>30326</v>
      </c>
      <c r="AY320" s="21">
        <v>38823</v>
      </c>
      <c r="AZ320" s="21">
        <v>33127</v>
      </c>
      <c r="BA320" s="21">
        <v>27605</v>
      </c>
      <c r="BB320" s="21">
        <v>33658</v>
      </c>
      <c r="BC320" s="21">
        <v>11835</v>
      </c>
      <c r="BD320" s="21">
        <v>18273</v>
      </c>
      <c r="BE320" s="21">
        <v>20394</v>
      </c>
      <c r="BF320" s="21">
        <v>19132</v>
      </c>
      <c r="BG320" s="21">
        <v>34733</v>
      </c>
      <c r="BH320" s="21">
        <v>24277</v>
      </c>
      <c r="BI320" s="21">
        <v>37390</v>
      </c>
      <c r="BJ320" s="21">
        <v>48418</v>
      </c>
      <c r="BK320" s="21">
        <v>72134</v>
      </c>
      <c r="BL320" s="21">
        <v>76393</v>
      </c>
      <c r="BM320" s="21">
        <v>93988</v>
      </c>
    </row>
    <row r="321" spans="1:65" x14ac:dyDescent="0.2">
      <c r="A321" s="21" t="s">
        <v>1413</v>
      </c>
      <c r="B321" s="21" t="s">
        <v>1414</v>
      </c>
      <c r="C321" s="21" t="s">
        <v>1055</v>
      </c>
      <c r="D321" s="21">
        <v>0</v>
      </c>
      <c r="E321" s="21">
        <v>0</v>
      </c>
      <c r="F321" s="21">
        <v>0</v>
      </c>
      <c r="G321" s="21">
        <v>0</v>
      </c>
      <c r="H321" s="21">
        <v>0</v>
      </c>
      <c r="I321" s="21">
        <v>0</v>
      </c>
      <c r="J321" s="21">
        <v>0</v>
      </c>
      <c r="K321" s="21">
        <v>0</v>
      </c>
      <c r="L321" s="21">
        <v>0</v>
      </c>
      <c r="M321" s="21">
        <v>0</v>
      </c>
      <c r="N321" s="21">
        <v>0</v>
      </c>
      <c r="O321" s="21">
        <v>0</v>
      </c>
      <c r="P321" s="21">
        <v>0</v>
      </c>
      <c r="Q321" s="21">
        <v>0</v>
      </c>
      <c r="R321" s="21">
        <v>0</v>
      </c>
      <c r="S321" s="21">
        <v>0</v>
      </c>
      <c r="T321" s="21">
        <v>0</v>
      </c>
      <c r="U321" s="21">
        <v>0</v>
      </c>
      <c r="V321" s="21">
        <v>0</v>
      </c>
      <c r="W321" s="21">
        <v>0</v>
      </c>
      <c r="X321" s="21">
        <v>0</v>
      </c>
      <c r="Y321" s="21">
        <v>0</v>
      </c>
      <c r="Z321" s="21">
        <v>0</v>
      </c>
      <c r="AA321" s="21">
        <v>0</v>
      </c>
      <c r="AB321" s="21">
        <v>219192</v>
      </c>
      <c r="AC321" s="21">
        <v>207453</v>
      </c>
      <c r="AD321" s="21">
        <v>196605</v>
      </c>
      <c r="AE321" s="21">
        <v>232855</v>
      </c>
      <c r="AF321" s="21">
        <v>209818</v>
      </c>
      <c r="AG321" s="21">
        <v>205899</v>
      </c>
      <c r="AH321" s="21">
        <v>251291</v>
      </c>
      <c r="AI321" s="21">
        <v>295162</v>
      </c>
      <c r="AJ321" s="21">
        <v>323802</v>
      </c>
      <c r="AK321" s="21">
        <v>333579</v>
      </c>
      <c r="AL321" s="21">
        <v>340049</v>
      </c>
      <c r="AM321" s="21">
        <v>339242</v>
      </c>
      <c r="AN321" s="21">
        <v>356375</v>
      </c>
      <c r="AO321" s="21">
        <v>330198</v>
      </c>
      <c r="AP321" s="21">
        <v>295158</v>
      </c>
      <c r="AQ321" s="21">
        <v>366397</v>
      </c>
      <c r="AR321" s="21">
        <v>344497</v>
      </c>
      <c r="AS321" s="21">
        <v>264204</v>
      </c>
      <c r="AT321" s="21">
        <v>224716</v>
      </c>
      <c r="AU321" s="21">
        <v>221696</v>
      </c>
      <c r="AV321" s="21">
        <v>223310</v>
      </c>
      <c r="AW321" s="21">
        <v>197004</v>
      </c>
      <c r="AX321" s="21">
        <v>140652</v>
      </c>
      <c r="AY321" s="21">
        <v>180061</v>
      </c>
      <c r="AZ321" s="21">
        <v>153643</v>
      </c>
      <c r="BA321" s="21">
        <v>128032</v>
      </c>
      <c r="BB321" s="21">
        <v>156106</v>
      </c>
      <c r="BC321" s="21">
        <v>54891</v>
      </c>
      <c r="BD321" s="21">
        <v>84750</v>
      </c>
      <c r="BE321" s="21">
        <v>94587</v>
      </c>
      <c r="BF321" s="21">
        <v>88734</v>
      </c>
      <c r="BG321" s="21">
        <v>161092</v>
      </c>
      <c r="BH321" s="21">
        <v>112597</v>
      </c>
      <c r="BI321" s="21">
        <v>173415</v>
      </c>
      <c r="BJ321" s="21">
        <v>224563</v>
      </c>
      <c r="BK321" s="21">
        <v>334557</v>
      </c>
      <c r="BL321" s="21">
        <v>354311</v>
      </c>
      <c r="BM321" s="21">
        <v>435916</v>
      </c>
    </row>
    <row r="322" spans="1:65" x14ac:dyDescent="0.2">
      <c r="A322" s="21" t="s">
        <v>1413</v>
      </c>
      <c r="B322" s="21" t="s">
        <v>1414</v>
      </c>
      <c r="C322" s="21" t="s">
        <v>1057</v>
      </c>
      <c r="D322" s="21">
        <v>0</v>
      </c>
      <c r="E322" s="21">
        <v>0</v>
      </c>
      <c r="F322" s="21">
        <v>0</v>
      </c>
      <c r="G322" s="21">
        <v>0</v>
      </c>
      <c r="H322" s="21">
        <v>0</v>
      </c>
      <c r="I322" s="21">
        <v>0</v>
      </c>
      <c r="J322" s="21">
        <v>0</v>
      </c>
      <c r="K322" s="21">
        <v>0</v>
      </c>
      <c r="L322" s="21">
        <v>0</v>
      </c>
      <c r="M322" s="21">
        <v>0</v>
      </c>
      <c r="N322" s="21">
        <v>0</v>
      </c>
      <c r="O322" s="21">
        <v>0</v>
      </c>
      <c r="P322" s="21">
        <v>0</v>
      </c>
      <c r="Q322" s="21">
        <v>0</v>
      </c>
      <c r="R322" s="21">
        <v>0</v>
      </c>
      <c r="S322" s="21">
        <v>0</v>
      </c>
      <c r="T322" s="21">
        <v>0</v>
      </c>
      <c r="U322" s="21">
        <v>0</v>
      </c>
      <c r="V322" s="21">
        <v>0</v>
      </c>
      <c r="W322" s="21">
        <v>0</v>
      </c>
      <c r="X322" s="21">
        <v>0</v>
      </c>
      <c r="Y322" s="21">
        <v>0</v>
      </c>
      <c r="Z322" s="21">
        <v>0</v>
      </c>
      <c r="AA322" s="21">
        <v>0</v>
      </c>
      <c r="AB322" s="21">
        <v>47260</v>
      </c>
      <c r="AC322" s="21">
        <v>44729</v>
      </c>
      <c r="AD322" s="21">
        <v>42390</v>
      </c>
      <c r="AE322" s="21">
        <v>50206</v>
      </c>
      <c r="AF322" s="21">
        <v>45239</v>
      </c>
      <c r="AG322" s="21">
        <v>44394</v>
      </c>
      <c r="AH322" s="21">
        <v>54181</v>
      </c>
      <c r="AI322" s="21">
        <v>63640</v>
      </c>
      <c r="AJ322" s="21">
        <v>69815</v>
      </c>
      <c r="AK322" s="21">
        <v>71923</v>
      </c>
      <c r="AL322" s="21">
        <v>73318</v>
      </c>
      <c r="AM322" s="21">
        <v>73144</v>
      </c>
      <c r="AN322" s="21">
        <v>76838</v>
      </c>
      <c r="AO322" s="21">
        <v>71194</v>
      </c>
      <c r="AP322" s="21">
        <v>63639</v>
      </c>
      <c r="AQ322" s="21">
        <v>78999</v>
      </c>
      <c r="AR322" s="21">
        <v>74277</v>
      </c>
      <c r="AS322" s="21">
        <v>56965</v>
      </c>
      <c r="AT322" s="21">
        <v>48451</v>
      </c>
      <c r="AU322" s="21">
        <v>47800</v>
      </c>
      <c r="AV322" s="21">
        <v>48148</v>
      </c>
      <c r="AW322" s="21">
        <v>42476</v>
      </c>
      <c r="AX322" s="21">
        <v>30326</v>
      </c>
      <c r="AY322" s="21">
        <v>38823</v>
      </c>
      <c r="AZ322" s="21">
        <v>33127</v>
      </c>
      <c r="BA322" s="21">
        <v>27605</v>
      </c>
      <c r="BB322" s="21">
        <v>33658</v>
      </c>
      <c r="BC322" s="21">
        <v>11835</v>
      </c>
      <c r="BD322" s="21">
        <v>18273</v>
      </c>
      <c r="BE322" s="21">
        <v>20394</v>
      </c>
      <c r="BF322" s="21">
        <v>19132</v>
      </c>
      <c r="BG322" s="21">
        <v>34733</v>
      </c>
      <c r="BH322" s="21">
        <v>24277</v>
      </c>
      <c r="BI322" s="21">
        <v>37390</v>
      </c>
      <c r="BJ322" s="21">
        <v>48418</v>
      </c>
      <c r="BK322" s="21">
        <v>72134</v>
      </c>
      <c r="BL322" s="21">
        <v>76393</v>
      </c>
      <c r="BM322" s="21">
        <v>93988</v>
      </c>
    </row>
    <row r="323" spans="1:65" x14ac:dyDescent="0.2">
      <c r="A323" s="21" t="s">
        <v>1413</v>
      </c>
      <c r="B323" s="21" t="s">
        <v>1414</v>
      </c>
      <c r="C323" s="21" t="s">
        <v>1058</v>
      </c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>
        <v>4574</v>
      </c>
      <c r="BC323" s="21">
        <v>4600</v>
      </c>
      <c r="BD323" s="21">
        <v>4520</v>
      </c>
      <c r="BE323" s="21">
        <v>6092</v>
      </c>
      <c r="BF323" s="21">
        <v>7621</v>
      </c>
      <c r="BG323" s="21">
        <v>9994</v>
      </c>
      <c r="BH323" s="21">
        <v>11819</v>
      </c>
      <c r="BI323" s="21">
        <v>12394</v>
      </c>
      <c r="BJ323" s="21">
        <v>12615</v>
      </c>
      <c r="BK323" s="21">
        <v>12491</v>
      </c>
      <c r="BL323" s="21">
        <v>8645</v>
      </c>
      <c r="BM323" s="21">
        <v>9762</v>
      </c>
    </row>
    <row r="324" spans="1:65" x14ac:dyDescent="0.2">
      <c r="A324" s="21" t="s">
        <v>1413</v>
      </c>
      <c r="B324" s="21" t="s">
        <v>1414</v>
      </c>
      <c r="C324" s="21" t="s">
        <v>1062</v>
      </c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>
        <v>1191</v>
      </c>
      <c r="BC324" s="21">
        <v>1198</v>
      </c>
      <c r="BD324" s="21">
        <v>1177</v>
      </c>
      <c r="BE324" s="21">
        <v>1586</v>
      </c>
      <c r="BF324" s="21">
        <v>1984</v>
      </c>
      <c r="BG324" s="21">
        <v>2602</v>
      </c>
      <c r="BH324" s="21">
        <v>3077</v>
      </c>
      <c r="BI324" s="21">
        <v>3227</v>
      </c>
      <c r="BJ324" s="21">
        <v>3284</v>
      </c>
      <c r="BK324" s="21">
        <v>3252</v>
      </c>
      <c r="BL324" s="21">
        <v>2251</v>
      </c>
      <c r="BM324" s="21">
        <v>2542</v>
      </c>
    </row>
    <row r="325" spans="1:65" x14ac:dyDescent="0.2">
      <c r="A325" s="21" t="s">
        <v>1413</v>
      </c>
      <c r="B325" s="21" t="s">
        <v>1414</v>
      </c>
      <c r="C325" s="21" t="s">
        <v>1065</v>
      </c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>
        <v>140011</v>
      </c>
      <c r="BC325" s="21">
        <v>142509</v>
      </c>
      <c r="BD325" s="21">
        <v>135525</v>
      </c>
      <c r="BE325" s="21">
        <v>151617</v>
      </c>
      <c r="BF325" s="21">
        <v>160473</v>
      </c>
      <c r="BG325" s="21">
        <v>148028</v>
      </c>
      <c r="BH325" s="21">
        <v>150012</v>
      </c>
      <c r="BI325" s="21">
        <v>155673</v>
      </c>
      <c r="BJ325" s="21">
        <v>175966</v>
      </c>
      <c r="BK325" s="21">
        <v>182028</v>
      </c>
      <c r="BL325" s="21">
        <v>201045</v>
      </c>
      <c r="BM325" s="21">
        <v>216971</v>
      </c>
    </row>
    <row r="326" spans="1:65" x14ac:dyDescent="0.2">
      <c r="A326" s="21" t="s">
        <v>1413</v>
      </c>
      <c r="B326" s="21" t="s">
        <v>1414</v>
      </c>
      <c r="C326" s="21" t="s">
        <v>1069</v>
      </c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>
        <v>36452</v>
      </c>
      <c r="BC326" s="21">
        <v>37102</v>
      </c>
      <c r="BD326" s="21">
        <v>35284</v>
      </c>
      <c r="BE326" s="21">
        <v>39473</v>
      </c>
      <c r="BF326" s="21">
        <v>41779</v>
      </c>
      <c r="BG326" s="21">
        <v>38539</v>
      </c>
      <c r="BH326" s="21">
        <v>39056</v>
      </c>
      <c r="BI326" s="21">
        <v>40529</v>
      </c>
      <c r="BJ326" s="21">
        <v>45812</v>
      </c>
      <c r="BK326" s="21">
        <v>47391</v>
      </c>
      <c r="BL326" s="21">
        <v>52342</v>
      </c>
      <c r="BM326" s="21">
        <v>56488</v>
      </c>
    </row>
    <row r="327" spans="1:65" x14ac:dyDescent="0.2">
      <c r="A327" s="21" t="s">
        <v>1413</v>
      </c>
      <c r="B327" s="21" t="s">
        <v>1414</v>
      </c>
      <c r="C327" s="21" t="s">
        <v>1072</v>
      </c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>
        <v>519524</v>
      </c>
      <c r="BC327" s="21">
        <v>553977</v>
      </c>
      <c r="BD327" s="21">
        <v>676734</v>
      </c>
      <c r="BE327" s="21">
        <v>736750</v>
      </c>
      <c r="BF327" s="21">
        <v>561598</v>
      </c>
      <c r="BG327" s="21">
        <v>608635</v>
      </c>
      <c r="BH327" s="21">
        <v>579378</v>
      </c>
      <c r="BI327" s="21">
        <v>526732</v>
      </c>
      <c r="BJ327" s="21">
        <v>549580</v>
      </c>
      <c r="BK327" s="21">
        <v>458966</v>
      </c>
      <c r="BL327" s="21">
        <v>453649</v>
      </c>
      <c r="BM327" s="21">
        <v>450992</v>
      </c>
    </row>
    <row r="328" spans="1:65" x14ac:dyDescent="0.2">
      <c r="A328" s="21" t="s">
        <v>1413</v>
      </c>
      <c r="B328" s="21" t="s">
        <v>1414</v>
      </c>
      <c r="C328" s="21" t="s">
        <v>1076</v>
      </c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>
        <v>135257</v>
      </c>
      <c r="BC328" s="21">
        <v>144227</v>
      </c>
      <c r="BD328" s="21">
        <v>176187</v>
      </c>
      <c r="BE328" s="21">
        <v>191812</v>
      </c>
      <c r="BF328" s="21">
        <v>146211</v>
      </c>
      <c r="BG328" s="21">
        <v>158457</v>
      </c>
      <c r="BH328" s="21">
        <v>150841</v>
      </c>
      <c r="BI328" s="21">
        <v>137134</v>
      </c>
      <c r="BJ328" s="21">
        <v>143082</v>
      </c>
      <c r="BK328" s="21">
        <v>119491</v>
      </c>
      <c r="BL328" s="21">
        <v>118107</v>
      </c>
      <c r="BM328" s="21">
        <v>117415</v>
      </c>
    </row>
    <row r="329" spans="1:65" x14ac:dyDescent="0.2">
      <c r="A329" s="21" t="s">
        <v>1413</v>
      </c>
      <c r="B329" s="21" t="s">
        <v>1414</v>
      </c>
      <c r="C329" s="21" t="s">
        <v>1081</v>
      </c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>
        <v>529835</v>
      </c>
      <c r="BC329" s="21">
        <v>492612</v>
      </c>
      <c r="BD329" s="21">
        <v>395556</v>
      </c>
      <c r="BE329" s="21">
        <v>463473</v>
      </c>
      <c r="BF329" s="21">
        <v>489523</v>
      </c>
      <c r="BG329" s="21">
        <v>445710</v>
      </c>
      <c r="BH329" s="21">
        <v>429888</v>
      </c>
      <c r="BI329" s="21">
        <v>430702</v>
      </c>
      <c r="BJ329" s="21">
        <v>506546</v>
      </c>
      <c r="BK329" s="21">
        <v>563405</v>
      </c>
      <c r="BL329" s="21">
        <v>494934</v>
      </c>
      <c r="BM329" s="21">
        <v>484131</v>
      </c>
    </row>
    <row r="330" spans="1:65" x14ac:dyDescent="0.2">
      <c r="A330" s="21" t="s">
        <v>1413</v>
      </c>
      <c r="B330" s="21" t="s">
        <v>1414</v>
      </c>
      <c r="C330" s="21" t="s">
        <v>1085</v>
      </c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>
        <v>137942</v>
      </c>
      <c r="BC330" s="21">
        <v>128251</v>
      </c>
      <c r="BD330" s="21">
        <v>102982</v>
      </c>
      <c r="BE330" s="21">
        <v>120665</v>
      </c>
      <c r="BF330" s="21">
        <v>127447</v>
      </c>
      <c r="BG330" s="21">
        <v>116040</v>
      </c>
      <c r="BH330" s="21">
        <v>111921</v>
      </c>
      <c r="BI330" s="21">
        <v>112133</v>
      </c>
      <c r="BJ330" s="21">
        <v>131879</v>
      </c>
      <c r="BK330" s="21">
        <v>146682</v>
      </c>
      <c r="BL330" s="21">
        <v>128855</v>
      </c>
      <c r="BM330" s="21">
        <v>126043</v>
      </c>
    </row>
    <row r="331" spans="1:65" x14ac:dyDescent="0.2">
      <c r="A331" s="21" t="s">
        <v>1413</v>
      </c>
      <c r="B331" s="21" t="s">
        <v>1414</v>
      </c>
      <c r="C331" s="21" t="s">
        <v>1092</v>
      </c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>
        <v>1193944</v>
      </c>
      <c r="BC331" s="21">
        <v>1193698</v>
      </c>
      <c r="BD331" s="21">
        <v>1212335</v>
      </c>
      <c r="BE331" s="21">
        <v>1357932</v>
      </c>
      <c r="BF331" s="21">
        <v>1219214</v>
      </c>
      <c r="BG331" s="21">
        <v>1212366</v>
      </c>
      <c r="BH331" s="21">
        <v>1171098</v>
      </c>
      <c r="BI331" s="21">
        <v>1125501</v>
      </c>
      <c r="BJ331" s="21">
        <v>1244707</v>
      </c>
      <c r="BK331" s="21">
        <v>1216890</v>
      </c>
      <c r="BL331" s="21">
        <v>1158273</v>
      </c>
      <c r="BM331" s="21">
        <v>1161856</v>
      </c>
    </row>
    <row r="332" spans="1:65" x14ac:dyDescent="0.2">
      <c r="A332" s="21" t="s">
        <v>1413</v>
      </c>
      <c r="B332" s="21" t="s">
        <v>1414</v>
      </c>
      <c r="C332" s="21" t="s">
        <v>1096</v>
      </c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>
        <v>310842</v>
      </c>
      <c r="BC332" s="21">
        <v>310778</v>
      </c>
      <c r="BD332" s="21">
        <v>315630</v>
      </c>
      <c r="BE332" s="21">
        <v>353536</v>
      </c>
      <c r="BF332" s="21">
        <v>317421</v>
      </c>
      <c r="BG332" s="21">
        <v>315638</v>
      </c>
      <c r="BH332" s="21">
        <v>304894</v>
      </c>
      <c r="BI332" s="21">
        <v>293023</v>
      </c>
      <c r="BJ332" s="21">
        <v>324058</v>
      </c>
      <c r="BK332" s="21">
        <v>316816</v>
      </c>
      <c r="BL332" s="21">
        <v>301555</v>
      </c>
      <c r="BM332" s="21">
        <v>302488</v>
      </c>
    </row>
    <row r="333" spans="1:65" x14ac:dyDescent="0.2">
      <c r="A333" s="21" t="s">
        <v>1413</v>
      </c>
      <c r="B333" s="21" t="s">
        <v>1414</v>
      </c>
      <c r="C333" s="21" t="s">
        <v>1099</v>
      </c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>
        <v>1193944</v>
      </c>
      <c r="BC333" s="21">
        <v>1193698</v>
      </c>
      <c r="BD333" s="21">
        <v>1212335</v>
      </c>
      <c r="BE333" s="21">
        <v>1357932</v>
      </c>
      <c r="BF333" s="21">
        <v>1219214</v>
      </c>
      <c r="BG333" s="21">
        <v>1212366</v>
      </c>
      <c r="BH333" s="21">
        <v>1171098</v>
      </c>
      <c r="BI333" s="21">
        <v>1125501</v>
      </c>
      <c r="BJ333" s="21">
        <v>1244707</v>
      </c>
      <c r="BK333" s="21">
        <v>1216890</v>
      </c>
      <c r="BL333" s="21">
        <v>1158273</v>
      </c>
      <c r="BM333" s="21">
        <v>1161856</v>
      </c>
    </row>
    <row r="334" spans="1:65" x14ac:dyDescent="0.2">
      <c r="A334" s="21" t="s">
        <v>1413</v>
      </c>
      <c r="B334" s="21" t="s">
        <v>1414</v>
      </c>
      <c r="C334" s="21" t="s">
        <v>1103</v>
      </c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>
        <v>310842</v>
      </c>
      <c r="BC334" s="21">
        <v>310778</v>
      </c>
      <c r="BD334" s="21">
        <v>315630</v>
      </c>
      <c r="BE334" s="21">
        <v>353536</v>
      </c>
      <c r="BF334" s="21">
        <v>317421</v>
      </c>
      <c r="BG334" s="21">
        <v>315638</v>
      </c>
      <c r="BH334" s="21">
        <v>304894</v>
      </c>
      <c r="BI334" s="21">
        <v>293023</v>
      </c>
      <c r="BJ334" s="21">
        <v>324058</v>
      </c>
      <c r="BK334" s="21">
        <v>316816</v>
      </c>
      <c r="BL334" s="21">
        <v>301555</v>
      </c>
      <c r="BM334" s="21">
        <v>302488</v>
      </c>
    </row>
    <row r="335" spans="1:65" x14ac:dyDescent="0.2">
      <c r="A335" s="21" t="s">
        <v>1413</v>
      </c>
      <c r="B335" s="21" t="s">
        <v>1414</v>
      </c>
      <c r="C335" s="21" t="s">
        <v>1106</v>
      </c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>
        <v>427537</v>
      </c>
      <c r="BC335" s="21">
        <v>433980</v>
      </c>
      <c r="BD335" s="21">
        <v>432450</v>
      </c>
      <c r="BE335" s="21">
        <v>428588</v>
      </c>
      <c r="BF335" s="21">
        <v>416519</v>
      </c>
      <c r="BG335" s="21">
        <v>413352</v>
      </c>
      <c r="BH335" s="21">
        <v>423100</v>
      </c>
      <c r="BI335" s="21">
        <v>431997</v>
      </c>
      <c r="BJ335" s="21">
        <v>435625</v>
      </c>
      <c r="BK335" s="21">
        <v>417796</v>
      </c>
      <c r="BL335" s="21">
        <v>389552</v>
      </c>
      <c r="BM335" s="21">
        <v>427441</v>
      </c>
    </row>
    <row r="336" spans="1:65" x14ac:dyDescent="0.2">
      <c r="A336" s="21" t="s">
        <v>1413</v>
      </c>
      <c r="B336" s="21" t="s">
        <v>1414</v>
      </c>
      <c r="C336" s="21" t="s">
        <v>1108</v>
      </c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>
        <v>111483</v>
      </c>
      <c r="BC336" s="21">
        <v>113163</v>
      </c>
      <c r="BD336" s="21">
        <v>112764</v>
      </c>
      <c r="BE336" s="21">
        <v>111757</v>
      </c>
      <c r="BF336" s="21">
        <v>108610</v>
      </c>
      <c r="BG336" s="21">
        <v>107784</v>
      </c>
      <c r="BH336" s="21">
        <v>110326</v>
      </c>
      <c r="BI336" s="21">
        <v>112646</v>
      </c>
      <c r="BJ336" s="21">
        <v>113592</v>
      </c>
      <c r="BK336" s="21">
        <v>108943</v>
      </c>
      <c r="BL336" s="21">
        <v>101578</v>
      </c>
      <c r="BM336" s="21">
        <v>111458</v>
      </c>
    </row>
    <row r="337" spans="1:65" x14ac:dyDescent="0.2">
      <c r="A337" s="21" t="s">
        <v>1413</v>
      </c>
      <c r="B337" s="21" t="s">
        <v>1414</v>
      </c>
      <c r="C337" s="21" t="s">
        <v>1109</v>
      </c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>
        <v>427537</v>
      </c>
      <c r="BC337" s="21">
        <v>433980</v>
      </c>
      <c r="BD337" s="21">
        <v>432450</v>
      </c>
      <c r="BE337" s="21">
        <v>428588</v>
      </c>
      <c r="BF337" s="21">
        <v>416519</v>
      </c>
      <c r="BG337" s="21">
        <v>413352</v>
      </c>
      <c r="BH337" s="21">
        <v>423100</v>
      </c>
      <c r="BI337" s="21">
        <v>431997</v>
      </c>
      <c r="BJ337" s="21">
        <v>435625</v>
      </c>
      <c r="BK337" s="21">
        <v>417796</v>
      </c>
      <c r="BL337" s="21">
        <v>389552</v>
      </c>
      <c r="BM337" s="21">
        <v>427441</v>
      </c>
    </row>
    <row r="338" spans="1:65" x14ac:dyDescent="0.2">
      <c r="A338" s="21" t="s">
        <v>1413</v>
      </c>
      <c r="B338" s="21" t="s">
        <v>1414</v>
      </c>
      <c r="C338" s="21" t="s">
        <v>1111</v>
      </c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>
        <v>111483</v>
      </c>
      <c r="BC338" s="21">
        <v>113163</v>
      </c>
      <c r="BD338" s="21">
        <v>112764</v>
      </c>
      <c r="BE338" s="21">
        <v>111757</v>
      </c>
      <c r="BF338" s="21">
        <v>108610</v>
      </c>
      <c r="BG338" s="21">
        <v>107784</v>
      </c>
      <c r="BH338" s="21">
        <v>110326</v>
      </c>
      <c r="BI338" s="21">
        <v>112646</v>
      </c>
      <c r="BJ338" s="21">
        <v>113592</v>
      </c>
      <c r="BK338" s="21">
        <v>108943</v>
      </c>
      <c r="BL338" s="21">
        <v>101578</v>
      </c>
      <c r="BM338" s="21">
        <v>111458</v>
      </c>
    </row>
    <row r="339" spans="1:65" x14ac:dyDescent="0.2">
      <c r="A339" s="21" t="s">
        <v>1413</v>
      </c>
      <c r="B339" s="21" t="s">
        <v>1414</v>
      </c>
      <c r="C339" s="21" t="s">
        <v>1469</v>
      </c>
      <c r="D339" s="21">
        <v>0</v>
      </c>
      <c r="E339" s="21">
        <v>0</v>
      </c>
      <c r="F339" s="21">
        <v>0</v>
      </c>
      <c r="G339" s="21">
        <v>0</v>
      </c>
      <c r="H339" s="21">
        <v>0</v>
      </c>
      <c r="I339" s="21">
        <v>0</v>
      </c>
      <c r="J339" s="21">
        <v>0</v>
      </c>
      <c r="K339" s="21">
        <v>0</v>
      </c>
      <c r="L339" s="21">
        <v>0</v>
      </c>
      <c r="M339" s="21">
        <v>0</v>
      </c>
      <c r="N339" s="21">
        <v>0</v>
      </c>
      <c r="O339" s="21">
        <v>0</v>
      </c>
      <c r="P339" s="21">
        <v>0</v>
      </c>
      <c r="Q339" s="21">
        <v>0</v>
      </c>
      <c r="R339" s="21">
        <v>0</v>
      </c>
      <c r="S339" s="21">
        <v>0</v>
      </c>
      <c r="T339" s="21">
        <v>0</v>
      </c>
      <c r="U339" s="21">
        <v>0</v>
      </c>
      <c r="V339" s="21">
        <v>0</v>
      </c>
      <c r="W339" s="21">
        <v>0</v>
      </c>
      <c r="X339" s="21">
        <v>0</v>
      </c>
      <c r="Y339" s="21">
        <v>6559</v>
      </c>
      <c r="Z339" s="21">
        <v>17999</v>
      </c>
      <c r="AA339" s="21">
        <v>33561</v>
      </c>
      <c r="AB339" s="21">
        <v>40953</v>
      </c>
      <c r="AC339" s="21">
        <v>49509</v>
      </c>
      <c r="AD339" s="21">
        <v>57178</v>
      </c>
      <c r="AE339" s="21">
        <v>65794</v>
      </c>
      <c r="AF339" s="21">
        <v>66825</v>
      </c>
      <c r="AG339" s="21">
        <v>67814</v>
      </c>
      <c r="AH339" s="21">
        <v>60254</v>
      </c>
      <c r="AI339" s="21">
        <v>69774</v>
      </c>
      <c r="AJ339" s="21">
        <v>79277</v>
      </c>
      <c r="AK339" s="21">
        <v>93188</v>
      </c>
      <c r="AL339" s="21">
        <v>104446</v>
      </c>
      <c r="AM339" s="21">
        <v>112145</v>
      </c>
      <c r="AN339" s="21">
        <v>80484</v>
      </c>
      <c r="AO339" s="21">
        <v>101196</v>
      </c>
      <c r="AP339" s="21">
        <v>112221</v>
      </c>
      <c r="AQ339" s="21">
        <v>117411</v>
      </c>
      <c r="AR339" s="21">
        <v>134597</v>
      </c>
      <c r="AS339" s="21">
        <v>141719</v>
      </c>
      <c r="AT339" s="21">
        <v>169139</v>
      </c>
      <c r="AU339" s="21">
        <v>229255</v>
      </c>
      <c r="AV339" s="21">
        <v>289653</v>
      </c>
      <c r="AW339" s="21">
        <v>339359</v>
      </c>
      <c r="AX339" s="21">
        <v>475696</v>
      </c>
      <c r="AY339" s="21">
        <v>602702</v>
      </c>
      <c r="AZ339" s="21">
        <v>824540</v>
      </c>
      <c r="BA339" s="21">
        <v>935021</v>
      </c>
      <c r="BB339" s="21">
        <v>1074667</v>
      </c>
      <c r="BC339" s="21">
        <v>1166189</v>
      </c>
      <c r="BD339" s="21">
        <v>1169081</v>
      </c>
      <c r="BE339" s="21">
        <v>1292591</v>
      </c>
      <c r="BF339" s="21">
        <v>1314223</v>
      </c>
      <c r="BG339" s="21">
        <v>1350855</v>
      </c>
      <c r="BH339" s="21">
        <v>1468597</v>
      </c>
      <c r="BI339" s="21">
        <v>1473629</v>
      </c>
      <c r="BJ339" s="21">
        <v>1455677</v>
      </c>
      <c r="BK339" s="21">
        <v>1496519</v>
      </c>
      <c r="BL339" s="21">
        <v>1355339</v>
      </c>
      <c r="BM339" s="21">
        <v>1495848</v>
      </c>
    </row>
    <row r="340" spans="1:65" x14ac:dyDescent="0.2">
      <c r="A340" s="21" t="s">
        <v>1413</v>
      </c>
      <c r="B340" s="21" t="s">
        <v>1414</v>
      </c>
      <c r="C340" s="21" t="s">
        <v>1470</v>
      </c>
      <c r="D340" s="21">
        <v>11868</v>
      </c>
      <c r="E340" s="21">
        <v>11146</v>
      </c>
      <c r="F340" s="21">
        <v>10630</v>
      </c>
      <c r="G340" s="21">
        <v>10165</v>
      </c>
      <c r="H340" s="21">
        <v>9460</v>
      </c>
      <c r="I340" s="21">
        <v>8858</v>
      </c>
      <c r="J340" s="21">
        <v>8617</v>
      </c>
      <c r="K340" s="21">
        <v>8325</v>
      </c>
      <c r="L340" s="21">
        <v>8136</v>
      </c>
      <c r="M340" s="21">
        <v>7860</v>
      </c>
      <c r="N340" s="21">
        <v>7534</v>
      </c>
      <c r="O340" s="21">
        <v>7190</v>
      </c>
      <c r="P340" s="21">
        <v>7190</v>
      </c>
      <c r="Q340" s="21">
        <v>6708</v>
      </c>
      <c r="R340" s="21">
        <v>7018</v>
      </c>
      <c r="S340" s="21">
        <v>8067</v>
      </c>
      <c r="T340" s="21">
        <v>9099</v>
      </c>
      <c r="U340" s="21">
        <v>10286</v>
      </c>
      <c r="V340" s="21">
        <v>11834</v>
      </c>
      <c r="W340" s="21">
        <v>13812</v>
      </c>
      <c r="X340" s="21">
        <v>21000</v>
      </c>
      <c r="Y340" s="21">
        <v>21060</v>
      </c>
      <c r="Z340" s="21">
        <v>22155</v>
      </c>
      <c r="AA340" s="21">
        <v>22279</v>
      </c>
      <c r="AB340" s="21">
        <v>22366</v>
      </c>
      <c r="AC340" s="21">
        <v>24361</v>
      </c>
      <c r="AD340" s="21">
        <v>27489</v>
      </c>
      <c r="AE340" s="21">
        <v>29567</v>
      </c>
      <c r="AF340" s="21">
        <v>32646</v>
      </c>
      <c r="AG340" s="21">
        <v>102381</v>
      </c>
      <c r="AH340" s="21">
        <v>98362</v>
      </c>
      <c r="AI340" s="21">
        <v>99934</v>
      </c>
      <c r="AJ340" s="21">
        <v>109615</v>
      </c>
      <c r="AK340" s="21">
        <v>113907</v>
      </c>
      <c r="AL340" s="21">
        <v>111897</v>
      </c>
      <c r="AM340" s="21">
        <v>118773</v>
      </c>
      <c r="AN340" s="21">
        <v>135853</v>
      </c>
      <c r="AO340" s="21">
        <v>138931</v>
      </c>
      <c r="AP340" s="21">
        <v>127550</v>
      </c>
      <c r="AQ340" s="21">
        <v>129923</v>
      </c>
      <c r="AR340" s="21">
        <v>128261</v>
      </c>
      <c r="AS340" s="21">
        <v>101377</v>
      </c>
      <c r="AT340" s="21">
        <v>104740</v>
      </c>
      <c r="AU340" s="21">
        <v>114187</v>
      </c>
      <c r="AV340" s="21">
        <v>119630</v>
      </c>
      <c r="AW340" s="21">
        <v>120954</v>
      </c>
      <c r="AX340" s="21">
        <v>119859</v>
      </c>
      <c r="AY340" s="21">
        <v>120656</v>
      </c>
      <c r="AZ340" s="21">
        <v>130033</v>
      </c>
      <c r="BA340" s="21">
        <v>136369</v>
      </c>
      <c r="BB340" s="21">
        <v>141349</v>
      </c>
      <c r="BC340" s="21">
        <v>153751</v>
      </c>
      <c r="BD340" s="21">
        <v>159498</v>
      </c>
      <c r="BE340" s="21">
        <v>182561</v>
      </c>
      <c r="BF340" s="21">
        <v>200490</v>
      </c>
      <c r="BG340" s="21">
        <v>230014</v>
      </c>
      <c r="BH340" s="21">
        <v>242267</v>
      </c>
      <c r="BI340" s="21">
        <v>255159</v>
      </c>
      <c r="BJ340" s="21">
        <v>273768</v>
      </c>
      <c r="BK340" s="21">
        <v>275393</v>
      </c>
      <c r="BL340" s="21">
        <v>287985</v>
      </c>
      <c r="BM340" s="21">
        <v>311213</v>
      </c>
    </row>
    <row r="341" spans="1:65" x14ac:dyDescent="0.2">
      <c r="A341" s="21" t="s">
        <v>1413</v>
      </c>
      <c r="B341" s="21" t="s">
        <v>1414</v>
      </c>
      <c r="C341" s="21" t="s">
        <v>1471</v>
      </c>
      <c r="D341" s="21">
        <v>1571034</v>
      </c>
      <c r="E341" s="21">
        <v>1622968</v>
      </c>
      <c r="F341" s="21">
        <v>1782561</v>
      </c>
      <c r="G341" s="21">
        <v>1740542</v>
      </c>
      <c r="H341" s="21">
        <v>1856224</v>
      </c>
      <c r="I341" s="21">
        <v>2031108</v>
      </c>
      <c r="J341" s="21">
        <v>2033817</v>
      </c>
      <c r="K341" s="21">
        <v>2317470</v>
      </c>
      <c r="L341" s="21">
        <v>2321889</v>
      </c>
      <c r="M341" s="21">
        <v>2623527</v>
      </c>
      <c r="N341" s="21">
        <v>2608760</v>
      </c>
      <c r="O341" s="21">
        <v>2799405</v>
      </c>
      <c r="P341" s="21">
        <v>2847955</v>
      </c>
      <c r="Q341" s="21">
        <v>2850507</v>
      </c>
      <c r="R341" s="21">
        <v>3171606</v>
      </c>
      <c r="S341" s="21">
        <v>3158054</v>
      </c>
      <c r="T341" s="21">
        <v>2983170</v>
      </c>
      <c r="U341" s="21">
        <v>2343051</v>
      </c>
      <c r="V341" s="21">
        <v>2939769</v>
      </c>
      <c r="W341" s="21">
        <v>2942010</v>
      </c>
      <c r="X341" s="21">
        <v>2924505</v>
      </c>
      <c r="Y341" s="21">
        <v>2788207</v>
      </c>
      <c r="Z341" s="21">
        <v>3286494</v>
      </c>
      <c r="AA341" s="21">
        <v>3561926</v>
      </c>
      <c r="AB341" s="21">
        <v>3442991</v>
      </c>
      <c r="AC341" s="21">
        <v>3049207</v>
      </c>
      <c r="AD341" s="21">
        <v>3158317</v>
      </c>
      <c r="AE341" s="21">
        <v>2729377</v>
      </c>
      <c r="AF341" s="21">
        <v>2425355</v>
      </c>
      <c r="AG341" s="21">
        <v>3216595</v>
      </c>
      <c r="AH341" s="21">
        <v>3523890</v>
      </c>
      <c r="AI341" s="21">
        <v>3541598</v>
      </c>
      <c r="AJ341" s="21">
        <v>3189010</v>
      </c>
      <c r="AK341" s="21">
        <v>3484445</v>
      </c>
      <c r="AL341" s="21">
        <v>3255045</v>
      </c>
      <c r="AM341" s="21">
        <v>3746764</v>
      </c>
      <c r="AN341" s="21">
        <v>4152843</v>
      </c>
      <c r="AO341" s="21">
        <v>4216335</v>
      </c>
      <c r="AP341" s="21">
        <v>3872409</v>
      </c>
      <c r="AQ341" s="21">
        <v>3873547</v>
      </c>
      <c r="AR341" s="21">
        <v>3426527</v>
      </c>
      <c r="AS341" s="21">
        <v>2763018</v>
      </c>
      <c r="AT341" s="21">
        <v>3288348</v>
      </c>
      <c r="AU341" s="21">
        <v>3405879</v>
      </c>
      <c r="AV341" s="21">
        <v>3333729</v>
      </c>
      <c r="AW341" s="21">
        <v>3402087</v>
      </c>
      <c r="AX341" s="21">
        <v>3660678</v>
      </c>
      <c r="AY341" s="21">
        <v>3340446</v>
      </c>
      <c r="AZ341" s="21">
        <v>3625616</v>
      </c>
      <c r="BA341" s="21">
        <v>3963876</v>
      </c>
      <c r="BB341" s="21">
        <v>4064369</v>
      </c>
      <c r="BC341" s="21">
        <v>4854541</v>
      </c>
      <c r="BD341" s="21">
        <v>4585773</v>
      </c>
      <c r="BE341" s="21">
        <v>4832704</v>
      </c>
      <c r="BF341" s="21">
        <v>5025268</v>
      </c>
      <c r="BG341" s="21">
        <v>4982145</v>
      </c>
      <c r="BH341" s="21">
        <v>5529156</v>
      </c>
      <c r="BI341" s="21">
        <v>6231717</v>
      </c>
      <c r="BJ341" s="21">
        <v>6343952</v>
      </c>
      <c r="BK341" s="21">
        <v>6401510</v>
      </c>
      <c r="BL341" s="21">
        <v>6793526</v>
      </c>
      <c r="BM341" s="21">
        <v>7137098</v>
      </c>
    </row>
    <row r="342" spans="1:65" x14ac:dyDescent="0.2">
      <c r="A342" s="21" t="s">
        <v>1413</v>
      </c>
      <c r="B342" s="21" t="s">
        <v>1414</v>
      </c>
      <c r="C342" s="21" t="s">
        <v>1112</v>
      </c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>
        <v>116396</v>
      </c>
      <c r="BA342" s="21">
        <v>127070</v>
      </c>
      <c r="BB342" s="21">
        <v>132636</v>
      </c>
      <c r="BC342" s="21">
        <v>139873</v>
      </c>
      <c r="BD342" s="21">
        <v>155893</v>
      </c>
      <c r="BE342" s="21">
        <v>161800</v>
      </c>
      <c r="BF342" s="21">
        <v>170286</v>
      </c>
      <c r="BG342" s="21">
        <v>182541</v>
      </c>
      <c r="BH342" s="21">
        <v>199692</v>
      </c>
      <c r="BI342" s="21">
        <v>210803</v>
      </c>
      <c r="BJ342" s="21">
        <v>222345</v>
      </c>
      <c r="BK342" s="21">
        <v>236481</v>
      </c>
      <c r="BL342" s="21">
        <v>261879</v>
      </c>
      <c r="BM342" s="21">
        <v>289202</v>
      </c>
    </row>
    <row r="343" spans="1:65" x14ac:dyDescent="0.2">
      <c r="A343" s="21" t="s">
        <v>1413</v>
      </c>
      <c r="B343" s="21" t="s">
        <v>1414</v>
      </c>
      <c r="C343" s="21" t="s">
        <v>1472</v>
      </c>
      <c r="D343" s="21">
        <v>718672</v>
      </c>
      <c r="E343" s="21">
        <v>731250</v>
      </c>
      <c r="F343" s="21">
        <v>764170</v>
      </c>
      <c r="G343" s="21">
        <v>808756</v>
      </c>
      <c r="H343" s="21">
        <v>860507</v>
      </c>
      <c r="I343" s="21">
        <v>887700</v>
      </c>
      <c r="J343" s="21">
        <v>935054</v>
      </c>
      <c r="K343" s="21">
        <v>930445</v>
      </c>
      <c r="L343" s="21">
        <v>1017120</v>
      </c>
      <c r="M343" s="21">
        <v>1048452</v>
      </c>
      <c r="N343" s="21">
        <v>1052951</v>
      </c>
      <c r="O343" s="21">
        <v>1073744</v>
      </c>
      <c r="P343" s="21">
        <v>1147088</v>
      </c>
      <c r="Q343" s="21">
        <v>1199626</v>
      </c>
      <c r="R343" s="21">
        <v>1192275</v>
      </c>
      <c r="S343" s="21">
        <v>1095591</v>
      </c>
      <c r="T343" s="21">
        <v>1253247</v>
      </c>
      <c r="U343" s="21">
        <v>1313846</v>
      </c>
      <c r="V343" s="21">
        <v>1431987</v>
      </c>
      <c r="W343" s="21">
        <v>1438956</v>
      </c>
      <c r="X343" s="21">
        <v>1632838</v>
      </c>
      <c r="Y343" s="21">
        <v>1727862</v>
      </c>
      <c r="Z343" s="21">
        <v>1682990</v>
      </c>
      <c r="AA343" s="21">
        <v>1907846</v>
      </c>
      <c r="AB343" s="21">
        <v>1951553</v>
      </c>
      <c r="AC343" s="21">
        <v>1950939</v>
      </c>
      <c r="AD343" s="21">
        <v>1948156</v>
      </c>
      <c r="AE343" s="21">
        <v>1947070</v>
      </c>
      <c r="AF343" s="21">
        <v>2021928</v>
      </c>
      <c r="AG343" s="21">
        <v>1871201</v>
      </c>
      <c r="AH343" s="21">
        <v>1717271</v>
      </c>
      <c r="AI343" s="21">
        <v>1684079</v>
      </c>
      <c r="AJ343" s="21">
        <v>1737789</v>
      </c>
      <c r="AK343" s="21">
        <v>1773110</v>
      </c>
      <c r="AL343" s="21">
        <v>1927751</v>
      </c>
      <c r="AM343" s="21">
        <v>1992311</v>
      </c>
      <c r="AN343" s="21">
        <v>2032895</v>
      </c>
      <c r="AO343" s="21">
        <v>2057624</v>
      </c>
      <c r="AP343" s="21">
        <v>1929637</v>
      </c>
      <c r="AQ343" s="21">
        <v>1934899</v>
      </c>
      <c r="AR343" s="21">
        <v>1928511</v>
      </c>
      <c r="AS343" s="21">
        <v>1719183</v>
      </c>
      <c r="AT343" s="21">
        <v>1720333</v>
      </c>
      <c r="AU343" s="21">
        <v>1729963</v>
      </c>
      <c r="AV343" s="21">
        <v>1856503</v>
      </c>
      <c r="AW343" s="21">
        <v>1874966</v>
      </c>
      <c r="AX343" s="21">
        <v>1929657</v>
      </c>
      <c r="AY343" s="21">
        <v>1962010</v>
      </c>
      <c r="AZ343" s="21">
        <v>2039037</v>
      </c>
      <c r="BA343" s="21">
        <v>1975601</v>
      </c>
      <c r="BB343" s="21">
        <v>2343158</v>
      </c>
      <c r="BC343" s="21">
        <v>2400508</v>
      </c>
      <c r="BD343" s="21">
        <v>2382010</v>
      </c>
      <c r="BE343" s="21">
        <v>2453735</v>
      </c>
      <c r="BF343" s="21">
        <v>2493547</v>
      </c>
      <c r="BG343" s="21">
        <v>2505939</v>
      </c>
      <c r="BH343" s="21">
        <v>2522929</v>
      </c>
      <c r="BI343" s="21">
        <v>2515347</v>
      </c>
      <c r="BJ343" s="21">
        <v>2511350</v>
      </c>
      <c r="BK343" s="21">
        <v>2458641</v>
      </c>
      <c r="BL343" s="21">
        <v>2315382</v>
      </c>
      <c r="BM343" s="21">
        <v>2384465</v>
      </c>
    </row>
    <row r="344" spans="1:65" x14ac:dyDescent="0.2">
      <c r="A344" s="21" t="s">
        <v>1413</v>
      </c>
      <c r="B344" s="21" t="s">
        <v>1414</v>
      </c>
      <c r="C344" s="21" t="s">
        <v>1473</v>
      </c>
      <c r="D344" s="21">
        <v>626630</v>
      </c>
      <c r="E344" s="21">
        <v>586864</v>
      </c>
      <c r="F344" s="21">
        <v>560084</v>
      </c>
      <c r="G344" s="21">
        <v>536967</v>
      </c>
      <c r="H344" s="21">
        <v>499058</v>
      </c>
      <c r="I344" s="21">
        <v>468150</v>
      </c>
      <c r="J344" s="21">
        <v>454974</v>
      </c>
      <c r="K344" s="21">
        <v>433973</v>
      </c>
      <c r="L344" s="21">
        <v>425511</v>
      </c>
      <c r="M344" s="21">
        <v>415053</v>
      </c>
      <c r="N344" s="21">
        <v>400777</v>
      </c>
      <c r="O344" s="21">
        <v>381874</v>
      </c>
      <c r="P344" s="21">
        <v>379776</v>
      </c>
      <c r="Q344" s="21">
        <v>354096</v>
      </c>
      <c r="R344" s="21">
        <v>370952</v>
      </c>
      <c r="S344" s="21">
        <v>425408</v>
      </c>
      <c r="T344" s="21">
        <v>481634</v>
      </c>
      <c r="U344" s="21">
        <v>541783</v>
      </c>
      <c r="V344" s="21">
        <v>621849</v>
      </c>
      <c r="W344" s="21">
        <v>728076</v>
      </c>
      <c r="X344" s="21">
        <v>846192</v>
      </c>
      <c r="Y344" s="21">
        <v>873464</v>
      </c>
      <c r="Z344" s="21">
        <v>971291</v>
      </c>
      <c r="AA344" s="21">
        <v>970000</v>
      </c>
      <c r="AB344" s="21">
        <v>980484</v>
      </c>
      <c r="AC344" s="21">
        <v>1010000</v>
      </c>
      <c r="AD344" s="21">
        <v>920000</v>
      </c>
      <c r="AE344" s="21">
        <v>852692</v>
      </c>
      <c r="AF344" s="21">
        <v>910000</v>
      </c>
      <c r="AG344" s="21">
        <v>976661</v>
      </c>
      <c r="AH344" s="21">
        <v>642104</v>
      </c>
      <c r="AI344" s="21">
        <v>672388</v>
      </c>
      <c r="AJ344" s="21">
        <v>704845</v>
      </c>
      <c r="AK344" s="21">
        <v>614699</v>
      </c>
      <c r="AL344" s="21">
        <v>587995</v>
      </c>
      <c r="AM344" s="21">
        <v>589352</v>
      </c>
      <c r="AN344" s="21">
        <v>610294</v>
      </c>
      <c r="AO344" s="21">
        <v>497528</v>
      </c>
      <c r="AP344" s="21">
        <v>449478</v>
      </c>
      <c r="AQ344" s="21">
        <v>458896</v>
      </c>
      <c r="AR344" s="21">
        <v>486333</v>
      </c>
      <c r="AS344" s="21">
        <v>438983</v>
      </c>
      <c r="AT344" s="21">
        <v>443497</v>
      </c>
      <c r="AU344" s="21">
        <v>464813</v>
      </c>
      <c r="AV344" s="21">
        <v>475130</v>
      </c>
      <c r="AW344" s="21">
        <v>494524</v>
      </c>
      <c r="AX344" s="21">
        <v>450801</v>
      </c>
      <c r="AY344" s="21">
        <v>497046</v>
      </c>
      <c r="AZ344" s="21">
        <v>554835</v>
      </c>
      <c r="BA344" s="21">
        <v>596602</v>
      </c>
      <c r="BB344" s="21">
        <v>642039</v>
      </c>
      <c r="BC344" s="21">
        <v>634657</v>
      </c>
      <c r="BD344" s="21">
        <v>556533</v>
      </c>
      <c r="BE344" s="21">
        <v>702677</v>
      </c>
      <c r="BF344" s="21">
        <v>727543</v>
      </c>
      <c r="BG344" s="21">
        <v>680517</v>
      </c>
      <c r="BH344" s="21">
        <v>645695</v>
      </c>
      <c r="BI344" s="21">
        <v>662506</v>
      </c>
      <c r="BJ344" s="21">
        <v>785154</v>
      </c>
      <c r="BK344" s="21">
        <v>836250</v>
      </c>
      <c r="BL344" s="21">
        <v>765845</v>
      </c>
      <c r="BM344" s="21">
        <v>811353</v>
      </c>
    </row>
    <row r="345" spans="1:65" x14ac:dyDescent="0.2">
      <c r="A345" s="21" t="s">
        <v>1413</v>
      </c>
      <c r="B345" s="21" t="s">
        <v>1414</v>
      </c>
      <c r="C345" s="21" t="s">
        <v>1116</v>
      </c>
      <c r="D345" s="21">
        <v>2928205</v>
      </c>
      <c r="E345" s="21">
        <v>2952227</v>
      </c>
      <c r="F345" s="21">
        <v>3117444</v>
      </c>
      <c r="G345" s="21">
        <v>3096431</v>
      </c>
      <c r="H345" s="21">
        <v>3225249</v>
      </c>
      <c r="I345" s="21">
        <v>3395816</v>
      </c>
      <c r="J345" s="21">
        <v>3432463</v>
      </c>
      <c r="K345" s="21">
        <v>3690213</v>
      </c>
      <c r="L345" s="21">
        <v>3772655</v>
      </c>
      <c r="M345" s="21">
        <v>4094893</v>
      </c>
      <c r="N345" s="21">
        <v>4070021</v>
      </c>
      <c r="O345" s="21">
        <v>4262212</v>
      </c>
      <c r="P345" s="21">
        <v>4382009</v>
      </c>
      <c r="Q345" s="21">
        <v>4410938</v>
      </c>
      <c r="R345" s="21">
        <v>4741851</v>
      </c>
      <c r="S345" s="21">
        <v>4687119</v>
      </c>
      <c r="T345" s="21">
        <v>4727151</v>
      </c>
      <c r="U345" s="21">
        <v>4208966</v>
      </c>
      <c r="V345" s="21">
        <v>5005439</v>
      </c>
      <c r="W345" s="21">
        <v>5122854</v>
      </c>
      <c r="X345" s="21">
        <v>5424534</v>
      </c>
      <c r="Y345" s="21">
        <v>5417152</v>
      </c>
      <c r="Z345" s="21">
        <v>5980929</v>
      </c>
      <c r="AA345" s="21">
        <v>6495612</v>
      </c>
      <c r="AB345" s="21">
        <v>6438347</v>
      </c>
      <c r="AC345" s="21">
        <v>6084017</v>
      </c>
      <c r="AD345" s="21">
        <v>6111140</v>
      </c>
      <c r="AE345" s="21">
        <v>5624499</v>
      </c>
      <c r="AF345" s="21">
        <v>5456754</v>
      </c>
      <c r="AG345" s="21">
        <v>6234646</v>
      </c>
      <c r="AH345" s="21">
        <v>6041875</v>
      </c>
      <c r="AI345" s="21">
        <v>6067765</v>
      </c>
      <c r="AJ345" s="21">
        <v>5820528</v>
      </c>
      <c r="AK345" s="21">
        <v>6079341</v>
      </c>
      <c r="AL345" s="21">
        <v>5987124</v>
      </c>
      <c r="AM345" s="21">
        <v>6559334</v>
      </c>
      <c r="AN345" s="21">
        <v>7012355</v>
      </c>
      <c r="AO345" s="21">
        <v>7011598</v>
      </c>
      <c r="AP345" s="21">
        <v>6491277</v>
      </c>
      <c r="AQ345" s="21">
        <v>6514657</v>
      </c>
      <c r="AR345" s="21">
        <v>6104207</v>
      </c>
      <c r="AS345" s="21">
        <v>5164253</v>
      </c>
      <c r="AT345" s="21">
        <v>5726026</v>
      </c>
      <c r="AU345" s="21">
        <v>5944059</v>
      </c>
      <c r="AV345" s="21">
        <v>6074599</v>
      </c>
      <c r="AW345" s="21">
        <v>6231821</v>
      </c>
      <c r="AX345" s="21">
        <v>6636591</v>
      </c>
      <c r="AY345" s="21">
        <v>6522719</v>
      </c>
      <c r="AZ345" s="21">
        <v>7174060</v>
      </c>
      <c r="BA345" s="21">
        <v>7607468</v>
      </c>
      <c r="BB345" s="21">
        <v>8265583</v>
      </c>
      <c r="BC345" s="21">
        <v>9209646</v>
      </c>
      <c r="BD345" s="21">
        <v>8852895</v>
      </c>
      <c r="BE345" s="21">
        <v>9464268</v>
      </c>
      <c r="BF345" s="21">
        <v>9761070</v>
      </c>
      <c r="BG345" s="21">
        <v>9749471</v>
      </c>
      <c r="BH345" s="21">
        <v>10408644</v>
      </c>
      <c r="BI345" s="21">
        <v>11138359</v>
      </c>
      <c r="BJ345" s="21">
        <v>11369899</v>
      </c>
      <c r="BK345" s="21">
        <v>11468314</v>
      </c>
      <c r="BL345" s="21">
        <v>11518077</v>
      </c>
      <c r="BM345" s="21">
        <v>12139977</v>
      </c>
    </row>
    <row r="346" spans="1:65" x14ac:dyDescent="0.2">
      <c r="A346" s="21" t="s">
        <v>1413</v>
      </c>
      <c r="B346" s="21" t="s">
        <v>1414</v>
      </c>
      <c r="C346" s="21" t="s">
        <v>1118</v>
      </c>
      <c r="D346" s="21">
        <v>843881</v>
      </c>
      <c r="E346" s="21">
        <v>828607</v>
      </c>
      <c r="F346" s="21">
        <v>789981</v>
      </c>
      <c r="G346" s="21">
        <v>748563</v>
      </c>
      <c r="H346" s="21">
        <v>777039</v>
      </c>
      <c r="I346" s="21">
        <v>770271</v>
      </c>
      <c r="J346" s="21">
        <v>779254</v>
      </c>
      <c r="K346" s="21">
        <v>824109</v>
      </c>
      <c r="L346" s="21">
        <v>805640</v>
      </c>
      <c r="M346" s="21">
        <v>762929</v>
      </c>
      <c r="N346" s="21">
        <v>760925</v>
      </c>
      <c r="O346" s="21">
        <v>700765</v>
      </c>
      <c r="P346" s="21">
        <v>645329</v>
      </c>
      <c r="Q346" s="21">
        <v>727316</v>
      </c>
      <c r="R346" s="21">
        <v>696711</v>
      </c>
      <c r="S346" s="21">
        <v>711075</v>
      </c>
      <c r="T346" s="21">
        <v>823795</v>
      </c>
      <c r="U346" s="21">
        <v>908481</v>
      </c>
      <c r="V346" s="21">
        <v>989762</v>
      </c>
      <c r="W346" s="21">
        <v>1228154</v>
      </c>
      <c r="X346" s="21">
        <v>1398477</v>
      </c>
      <c r="Y346" s="21">
        <v>1218952</v>
      </c>
      <c r="Z346" s="21">
        <v>1019836</v>
      </c>
      <c r="AA346" s="21">
        <v>821015</v>
      </c>
      <c r="AB346" s="21">
        <v>806875</v>
      </c>
      <c r="AC346" s="21">
        <v>785534</v>
      </c>
      <c r="AD346" s="21">
        <v>869775</v>
      </c>
      <c r="AE346" s="21">
        <v>900496</v>
      </c>
      <c r="AF346" s="21">
        <v>919092</v>
      </c>
      <c r="AG346" s="21">
        <v>971126</v>
      </c>
      <c r="AH346" s="21">
        <v>1016003</v>
      </c>
      <c r="AI346" s="21">
        <v>1025918</v>
      </c>
      <c r="AJ346" s="21">
        <v>1069971</v>
      </c>
      <c r="AK346" s="21">
        <v>901454</v>
      </c>
      <c r="AL346" s="21">
        <v>882585</v>
      </c>
      <c r="AM346" s="21">
        <v>910515</v>
      </c>
      <c r="AN346" s="21">
        <v>851305</v>
      </c>
      <c r="AO346" s="21">
        <v>711713</v>
      </c>
      <c r="AP346" s="21">
        <v>673713</v>
      </c>
      <c r="AQ346" s="21">
        <v>665450</v>
      </c>
      <c r="AR346" s="21">
        <v>887541</v>
      </c>
      <c r="AS346" s="21">
        <v>585537</v>
      </c>
      <c r="AT346" s="21">
        <v>676811</v>
      </c>
      <c r="AU346" s="21">
        <v>570929</v>
      </c>
      <c r="AV346" s="21">
        <v>739508</v>
      </c>
      <c r="AW346" s="21">
        <v>837442</v>
      </c>
      <c r="AX346" s="21">
        <v>905678</v>
      </c>
      <c r="AY346" s="21">
        <v>993643</v>
      </c>
      <c r="AZ346" s="21">
        <v>925922</v>
      </c>
      <c r="BA346" s="21">
        <v>790516</v>
      </c>
      <c r="BB346" s="21">
        <v>891980</v>
      </c>
      <c r="BC346" s="21">
        <v>776321</v>
      </c>
      <c r="BD346" s="21">
        <v>670521</v>
      </c>
      <c r="BE346" s="21">
        <v>581153</v>
      </c>
      <c r="BF346" s="21">
        <v>446537</v>
      </c>
      <c r="BG346" s="21">
        <v>463400</v>
      </c>
      <c r="BH346" s="21">
        <v>623124</v>
      </c>
      <c r="BI346" s="21">
        <v>664585</v>
      </c>
      <c r="BJ346" s="21">
        <v>604031</v>
      </c>
      <c r="BK346" s="21">
        <v>529103</v>
      </c>
      <c r="BL346" s="21">
        <v>391461</v>
      </c>
      <c r="BM346" s="21">
        <v>614857</v>
      </c>
    </row>
    <row r="347" spans="1:65" x14ac:dyDescent="0.2">
      <c r="A347" s="21" t="s">
        <v>1413</v>
      </c>
      <c r="B347" s="21" t="s">
        <v>1414</v>
      </c>
      <c r="C347" s="21" t="s">
        <v>1122</v>
      </c>
      <c r="D347" s="21">
        <v>134226</v>
      </c>
      <c r="E347" s="21">
        <v>131797</v>
      </c>
      <c r="F347" s="21">
        <v>125653</v>
      </c>
      <c r="G347" s="21">
        <v>119065</v>
      </c>
      <c r="H347" s="21">
        <v>123595</v>
      </c>
      <c r="I347" s="21">
        <v>122518</v>
      </c>
      <c r="J347" s="21">
        <v>123947</v>
      </c>
      <c r="K347" s="21">
        <v>131081</v>
      </c>
      <c r="L347" s="21">
        <v>128144</v>
      </c>
      <c r="M347" s="21">
        <v>121350</v>
      </c>
      <c r="N347" s="21">
        <v>121031</v>
      </c>
      <c r="O347" s="21">
        <v>111463</v>
      </c>
      <c r="P347" s="21">
        <v>102645</v>
      </c>
      <c r="Q347" s="21">
        <v>115686</v>
      </c>
      <c r="R347" s="21">
        <v>110818</v>
      </c>
      <c r="S347" s="21">
        <v>113102</v>
      </c>
      <c r="T347" s="21">
        <v>131032</v>
      </c>
      <c r="U347" s="21">
        <v>144502</v>
      </c>
      <c r="V347" s="21">
        <v>157430</v>
      </c>
      <c r="W347" s="21">
        <v>195348</v>
      </c>
      <c r="X347" s="21">
        <v>222439</v>
      </c>
      <c r="Y347" s="21">
        <v>193885</v>
      </c>
      <c r="Z347" s="21">
        <v>162213</v>
      </c>
      <c r="AA347" s="21">
        <v>130589</v>
      </c>
      <c r="AB347" s="21">
        <v>128340</v>
      </c>
      <c r="AC347" s="21">
        <v>124946</v>
      </c>
      <c r="AD347" s="21">
        <v>138345</v>
      </c>
      <c r="AE347" s="21">
        <v>143232</v>
      </c>
      <c r="AF347" s="21">
        <v>146189</v>
      </c>
      <c r="AG347" s="21">
        <v>154466</v>
      </c>
      <c r="AH347" s="21">
        <v>161604</v>
      </c>
      <c r="AI347" s="21">
        <v>163181</v>
      </c>
      <c r="AJ347" s="21">
        <v>170188</v>
      </c>
      <c r="AK347" s="21">
        <v>143384</v>
      </c>
      <c r="AL347" s="21">
        <v>140383</v>
      </c>
      <c r="AM347" s="21">
        <v>144825</v>
      </c>
      <c r="AN347" s="21">
        <v>135407</v>
      </c>
      <c r="AO347" s="21">
        <v>113204</v>
      </c>
      <c r="AP347" s="21">
        <v>107160</v>
      </c>
      <c r="AQ347" s="21">
        <v>105845</v>
      </c>
      <c r="AR347" s="21">
        <v>141171</v>
      </c>
      <c r="AS347" s="21">
        <v>93135</v>
      </c>
      <c r="AT347" s="21">
        <v>107652</v>
      </c>
      <c r="AU347" s="21">
        <v>90811</v>
      </c>
      <c r="AV347" s="21">
        <v>117625</v>
      </c>
      <c r="AW347" s="21">
        <v>133202</v>
      </c>
      <c r="AX347" s="21">
        <v>144056</v>
      </c>
      <c r="AY347" s="21">
        <v>158047</v>
      </c>
      <c r="AZ347" s="21">
        <v>147276</v>
      </c>
      <c r="BA347" s="21">
        <v>125738</v>
      </c>
      <c r="BB347" s="21">
        <v>141877</v>
      </c>
      <c r="BC347" s="21">
        <v>123480</v>
      </c>
      <c r="BD347" s="21">
        <v>106652</v>
      </c>
      <c r="BE347" s="21">
        <v>92437</v>
      </c>
      <c r="BF347" s="21">
        <v>71025</v>
      </c>
      <c r="BG347" s="21">
        <v>73708</v>
      </c>
      <c r="BH347" s="21">
        <v>99113</v>
      </c>
      <c r="BI347" s="21">
        <v>105708</v>
      </c>
      <c r="BJ347" s="21">
        <v>96076</v>
      </c>
      <c r="BK347" s="21">
        <v>84158</v>
      </c>
      <c r="BL347" s="21">
        <v>62265</v>
      </c>
      <c r="BM347" s="21">
        <v>97798</v>
      </c>
    </row>
    <row r="348" spans="1:65" x14ac:dyDescent="0.2">
      <c r="A348" s="21" t="s">
        <v>1413</v>
      </c>
      <c r="B348" s="21" t="s">
        <v>1414</v>
      </c>
      <c r="C348" s="21" t="s">
        <v>1125</v>
      </c>
      <c r="D348" s="21">
        <v>558519</v>
      </c>
      <c r="E348" s="21">
        <v>565035</v>
      </c>
      <c r="F348" s="21">
        <v>568865</v>
      </c>
      <c r="G348" s="21">
        <v>547975</v>
      </c>
      <c r="H348" s="21">
        <v>542279</v>
      </c>
      <c r="I348" s="21">
        <v>644937</v>
      </c>
      <c r="J348" s="21">
        <v>686759</v>
      </c>
      <c r="K348" s="21">
        <v>716701</v>
      </c>
      <c r="L348" s="21">
        <v>701968</v>
      </c>
      <c r="M348" s="21">
        <v>697653</v>
      </c>
      <c r="N348" s="21">
        <v>714041</v>
      </c>
      <c r="O348" s="21">
        <v>672466</v>
      </c>
      <c r="P348" s="21">
        <v>644898</v>
      </c>
      <c r="Q348" s="21">
        <v>665407</v>
      </c>
      <c r="R348" s="21">
        <v>593202</v>
      </c>
      <c r="S348" s="21">
        <v>491678</v>
      </c>
      <c r="T348" s="21">
        <v>567353</v>
      </c>
      <c r="U348" s="21">
        <v>587980</v>
      </c>
      <c r="V348" s="21">
        <v>531656</v>
      </c>
      <c r="W348" s="21">
        <v>505011</v>
      </c>
      <c r="X348" s="21">
        <v>564728</v>
      </c>
      <c r="Y348" s="21">
        <v>417288</v>
      </c>
      <c r="Z348" s="21">
        <v>398582</v>
      </c>
      <c r="AA348" s="21">
        <v>208397</v>
      </c>
      <c r="AB348" s="21">
        <v>265506</v>
      </c>
      <c r="AC348" s="21">
        <v>227694</v>
      </c>
      <c r="AD348" s="21">
        <v>289736</v>
      </c>
      <c r="AE348" s="21">
        <v>262508</v>
      </c>
      <c r="AF348" s="21">
        <v>263808</v>
      </c>
      <c r="AG348" s="21">
        <v>228108</v>
      </c>
      <c r="AH348" s="21">
        <v>229842</v>
      </c>
      <c r="AI348" s="21">
        <v>211928</v>
      </c>
      <c r="AJ348" s="21">
        <v>189081</v>
      </c>
      <c r="AK348" s="21">
        <v>172717</v>
      </c>
      <c r="AL348" s="21">
        <v>171945</v>
      </c>
      <c r="AM348" s="21">
        <v>141481</v>
      </c>
      <c r="AN348" s="21">
        <v>137191</v>
      </c>
      <c r="AO348" s="21">
        <v>111242</v>
      </c>
      <c r="AP348" s="21">
        <v>85209</v>
      </c>
      <c r="AQ348" s="21">
        <v>73302</v>
      </c>
      <c r="AR348" s="21">
        <v>91584</v>
      </c>
      <c r="AS348" s="21">
        <v>69857</v>
      </c>
      <c r="AT348" s="21">
        <v>79801</v>
      </c>
      <c r="AU348" s="21">
        <v>111119</v>
      </c>
      <c r="AV348" s="21">
        <v>122492</v>
      </c>
      <c r="AW348" s="21">
        <v>115829</v>
      </c>
      <c r="AX348" s="21">
        <v>75262</v>
      </c>
      <c r="AY348" s="21">
        <v>75388</v>
      </c>
      <c r="AZ348" s="21">
        <v>71016</v>
      </c>
      <c r="BA348" s="21">
        <v>71280</v>
      </c>
      <c r="BB348" s="21">
        <v>61690</v>
      </c>
      <c r="BC348" s="21">
        <v>53746</v>
      </c>
      <c r="BD348" s="21">
        <v>31396</v>
      </c>
      <c r="BE348" s="21">
        <v>24403</v>
      </c>
      <c r="BF348" s="21">
        <v>7939</v>
      </c>
      <c r="BG348" s="21">
        <v>3972</v>
      </c>
      <c r="BH348" s="21">
        <v>4439</v>
      </c>
      <c r="BI348" s="21">
        <v>3832</v>
      </c>
      <c r="BJ348" s="21">
        <v>3106</v>
      </c>
      <c r="BK348" s="21">
        <v>2337</v>
      </c>
      <c r="BL348" s="21">
        <v>2338</v>
      </c>
      <c r="BM348" s="21">
        <v>3163</v>
      </c>
    </row>
    <row r="349" spans="1:65" x14ac:dyDescent="0.2">
      <c r="A349" s="21" t="s">
        <v>1413</v>
      </c>
      <c r="B349" s="21" t="s">
        <v>1414</v>
      </c>
      <c r="C349" s="21" t="s">
        <v>1129</v>
      </c>
      <c r="D349" s="21">
        <v>88837</v>
      </c>
      <c r="E349" s="21">
        <v>89874</v>
      </c>
      <c r="F349" s="21">
        <v>90483</v>
      </c>
      <c r="G349" s="21">
        <v>87160</v>
      </c>
      <c r="H349" s="21">
        <v>86254</v>
      </c>
      <c r="I349" s="21">
        <v>102583</v>
      </c>
      <c r="J349" s="21">
        <v>109235</v>
      </c>
      <c r="K349" s="21">
        <v>113997</v>
      </c>
      <c r="L349" s="21">
        <v>111654</v>
      </c>
      <c r="M349" s="21">
        <v>110968</v>
      </c>
      <c r="N349" s="21">
        <v>113574</v>
      </c>
      <c r="O349" s="21">
        <v>106961</v>
      </c>
      <c r="P349" s="21">
        <v>102576</v>
      </c>
      <c r="Q349" s="21">
        <v>105839</v>
      </c>
      <c r="R349" s="21">
        <v>94354</v>
      </c>
      <c r="S349" s="21">
        <v>78206</v>
      </c>
      <c r="T349" s="21">
        <v>90242</v>
      </c>
      <c r="U349" s="21">
        <v>93523</v>
      </c>
      <c r="V349" s="21">
        <v>84564</v>
      </c>
      <c r="W349" s="21">
        <v>80326</v>
      </c>
      <c r="X349" s="21">
        <v>89825</v>
      </c>
      <c r="Y349" s="21">
        <v>66373</v>
      </c>
      <c r="Z349" s="21">
        <v>63398</v>
      </c>
      <c r="AA349" s="21">
        <v>33147</v>
      </c>
      <c r="AB349" s="21">
        <v>42231</v>
      </c>
      <c r="AC349" s="21">
        <v>36217</v>
      </c>
      <c r="AD349" s="21">
        <v>46085</v>
      </c>
      <c r="AE349" s="21">
        <v>41754</v>
      </c>
      <c r="AF349" s="21">
        <v>41961</v>
      </c>
      <c r="AG349" s="21">
        <v>36282</v>
      </c>
      <c r="AH349" s="21">
        <v>36558</v>
      </c>
      <c r="AI349" s="21">
        <v>33709</v>
      </c>
      <c r="AJ349" s="21">
        <v>30075</v>
      </c>
      <c r="AK349" s="21">
        <v>27472</v>
      </c>
      <c r="AL349" s="21">
        <v>27349</v>
      </c>
      <c r="AM349" s="21">
        <v>22504</v>
      </c>
      <c r="AN349" s="21">
        <v>21821</v>
      </c>
      <c r="AO349" s="21">
        <v>17694</v>
      </c>
      <c r="AP349" s="21">
        <v>13553</v>
      </c>
      <c r="AQ349" s="21">
        <v>11659</v>
      </c>
      <c r="AR349" s="21">
        <v>14567</v>
      </c>
      <c r="AS349" s="21">
        <v>11111</v>
      </c>
      <c r="AT349" s="21">
        <v>12693</v>
      </c>
      <c r="AU349" s="21">
        <v>17674</v>
      </c>
      <c r="AV349" s="21">
        <v>19483</v>
      </c>
      <c r="AW349" s="21">
        <v>18424</v>
      </c>
      <c r="AX349" s="21">
        <v>11971</v>
      </c>
      <c r="AY349" s="21">
        <v>11991</v>
      </c>
      <c r="AZ349" s="21">
        <v>11296</v>
      </c>
      <c r="BA349" s="21">
        <v>11338</v>
      </c>
      <c r="BB349" s="21">
        <v>9812</v>
      </c>
      <c r="BC349" s="21">
        <v>8549</v>
      </c>
      <c r="BD349" s="21">
        <v>4994</v>
      </c>
      <c r="BE349" s="21">
        <v>3881</v>
      </c>
      <c r="BF349" s="21">
        <v>1263</v>
      </c>
      <c r="BG349" s="21">
        <v>632</v>
      </c>
      <c r="BH349" s="21">
        <v>706</v>
      </c>
      <c r="BI349" s="21">
        <v>609</v>
      </c>
      <c r="BJ349" s="21">
        <v>494</v>
      </c>
      <c r="BK349" s="21">
        <v>372</v>
      </c>
      <c r="BL349" s="21">
        <v>372</v>
      </c>
      <c r="BM349" s="21">
        <v>503</v>
      </c>
    </row>
    <row r="350" spans="1:65" x14ac:dyDescent="0.2">
      <c r="A350" s="21" t="s">
        <v>1413</v>
      </c>
      <c r="B350" s="21" t="s">
        <v>1414</v>
      </c>
      <c r="C350" s="21" t="s">
        <v>1132</v>
      </c>
      <c r="D350" s="21">
        <v>530442</v>
      </c>
      <c r="E350" s="21">
        <v>535678</v>
      </c>
      <c r="F350" s="21">
        <v>536810</v>
      </c>
      <c r="G350" s="21">
        <v>560049</v>
      </c>
      <c r="H350" s="21">
        <v>608775</v>
      </c>
      <c r="I350" s="21">
        <v>693295</v>
      </c>
      <c r="J350" s="21">
        <v>846471</v>
      </c>
      <c r="K350" s="21">
        <v>967479</v>
      </c>
      <c r="L350" s="21">
        <v>1124189</v>
      </c>
      <c r="M350" s="21">
        <v>1484145</v>
      </c>
      <c r="N350" s="21">
        <v>1957650</v>
      </c>
      <c r="O350" s="21">
        <v>2277070</v>
      </c>
      <c r="P350" s="21">
        <v>2768130</v>
      </c>
      <c r="Q350" s="21">
        <v>3226424</v>
      </c>
      <c r="R350" s="21">
        <v>3037537</v>
      </c>
      <c r="S350" s="21">
        <v>2937421</v>
      </c>
      <c r="T350" s="21">
        <v>3232000</v>
      </c>
      <c r="U350" s="21">
        <v>3614199</v>
      </c>
      <c r="V350" s="21">
        <v>3698760</v>
      </c>
      <c r="W350" s="21">
        <v>3097013</v>
      </c>
      <c r="X350" s="21">
        <v>2459240</v>
      </c>
      <c r="Y350" s="21">
        <v>2073442</v>
      </c>
      <c r="Z350" s="21">
        <v>1473887</v>
      </c>
      <c r="AA350" s="21">
        <v>1439624</v>
      </c>
      <c r="AB350" s="21">
        <v>1190057</v>
      </c>
      <c r="AC350" s="21">
        <v>998244</v>
      </c>
      <c r="AD350" s="21">
        <v>1358976</v>
      </c>
      <c r="AE350" s="21">
        <v>1156878</v>
      </c>
      <c r="AF350" s="21">
        <v>1441777</v>
      </c>
      <c r="AG350" s="21">
        <v>1535151</v>
      </c>
      <c r="AH350" s="21">
        <v>1162562</v>
      </c>
      <c r="AI350" s="21">
        <v>1085292</v>
      </c>
      <c r="AJ350" s="21">
        <v>872170</v>
      </c>
      <c r="AK350" s="21">
        <v>958645</v>
      </c>
      <c r="AL350" s="21">
        <v>869000</v>
      </c>
      <c r="AM350" s="21">
        <v>565973</v>
      </c>
      <c r="AN350" s="21">
        <v>628391</v>
      </c>
      <c r="AO350" s="21">
        <v>714634</v>
      </c>
      <c r="AP350" s="21">
        <v>1046960</v>
      </c>
      <c r="AQ350" s="21">
        <v>958723</v>
      </c>
      <c r="AR350" s="21">
        <v>870834</v>
      </c>
      <c r="AS350" s="21">
        <v>1002803</v>
      </c>
      <c r="AT350" s="21">
        <v>658710</v>
      </c>
      <c r="AU350" s="21">
        <v>869363</v>
      </c>
      <c r="AV350" s="21">
        <v>879022</v>
      </c>
      <c r="AW350" s="21">
        <v>876462</v>
      </c>
      <c r="AX350" s="21">
        <v>360527</v>
      </c>
      <c r="AY350" s="21">
        <v>396624</v>
      </c>
      <c r="AZ350" s="21">
        <v>240421</v>
      </c>
      <c r="BA350" s="21">
        <v>180955</v>
      </c>
      <c r="BB350" s="21">
        <v>154052</v>
      </c>
      <c r="BC350" s="21">
        <v>93065</v>
      </c>
      <c r="BD350" s="21">
        <v>76720</v>
      </c>
      <c r="BE350" s="21">
        <v>77225</v>
      </c>
      <c r="BF350" s="21">
        <v>95138</v>
      </c>
      <c r="BG350" s="21">
        <v>93861</v>
      </c>
      <c r="BH350" s="21">
        <v>70680</v>
      </c>
      <c r="BI350" s="21">
        <v>65788</v>
      </c>
      <c r="BJ350" s="21">
        <v>78251</v>
      </c>
      <c r="BK350" s="21">
        <v>58794</v>
      </c>
      <c r="BL350" s="21">
        <v>52696</v>
      </c>
      <c r="BM350" s="21">
        <v>57304</v>
      </c>
    </row>
    <row r="351" spans="1:65" x14ac:dyDescent="0.2">
      <c r="A351" s="21" t="s">
        <v>1413</v>
      </c>
      <c r="B351" s="21" t="s">
        <v>1414</v>
      </c>
      <c r="C351" s="21" t="s">
        <v>1136</v>
      </c>
      <c r="D351" s="21">
        <v>84371</v>
      </c>
      <c r="E351" s="21">
        <v>85204</v>
      </c>
      <c r="F351" s="21">
        <v>85384</v>
      </c>
      <c r="G351" s="21">
        <v>89081</v>
      </c>
      <c r="H351" s="21">
        <v>96831</v>
      </c>
      <c r="I351" s="21">
        <v>110274</v>
      </c>
      <c r="J351" s="21">
        <v>134638</v>
      </c>
      <c r="K351" s="21">
        <v>153886</v>
      </c>
      <c r="L351" s="21">
        <v>178812</v>
      </c>
      <c r="M351" s="21">
        <v>236066</v>
      </c>
      <c r="N351" s="21">
        <v>311381</v>
      </c>
      <c r="O351" s="21">
        <v>362187</v>
      </c>
      <c r="P351" s="21">
        <v>440294</v>
      </c>
      <c r="Q351" s="21">
        <v>513190</v>
      </c>
      <c r="R351" s="21">
        <v>483146</v>
      </c>
      <c r="S351" s="21">
        <v>467221</v>
      </c>
      <c r="T351" s="21">
        <v>514077</v>
      </c>
      <c r="U351" s="21">
        <v>574869</v>
      </c>
      <c r="V351" s="21">
        <v>588319</v>
      </c>
      <c r="W351" s="21">
        <v>492606</v>
      </c>
      <c r="X351" s="21">
        <v>391163</v>
      </c>
      <c r="Y351" s="21">
        <v>329798</v>
      </c>
      <c r="Z351" s="21">
        <v>234434</v>
      </c>
      <c r="AA351" s="21">
        <v>228984</v>
      </c>
      <c r="AB351" s="21">
        <v>189289</v>
      </c>
      <c r="AC351" s="21">
        <v>158779</v>
      </c>
      <c r="AD351" s="21">
        <v>216156</v>
      </c>
      <c r="AE351" s="21">
        <v>184011</v>
      </c>
      <c r="AF351" s="21">
        <v>229327</v>
      </c>
      <c r="AG351" s="21">
        <v>244179</v>
      </c>
      <c r="AH351" s="21">
        <v>184915</v>
      </c>
      <c r="AI351" s="21">
        <v>172625</v>
      </c>
      <c r="AJ351" s="21">
        <v>138726</v>
      </c>
      <c r="AK351" s="21">
        <v>152481</v>
      </c>
      <c r="AL351" s="21">
        <v>138222</v>
      </c>
      <c r="AM351" s="21">
        <v>90023</v>
      </c>
      <c r="AN351" s="21">
        <v>99951</v>
      </c>
      <c r="AO351" s="21">
        <v>113669</v>
      </c>
      <c r="AP351" s="21">
        <v>166528</v>
      </c>
      <c r="AQ351" s="21">
        <v>152493</v>
      </c>
      <c r="AR351" s="21">
        <v>138513</v>
      </c>
      <c r="AS351" s="21">
        <v>159504</v>
      </c>
      <c r="AT351" s="21">
        <v>104773</v>
      </c>
      <c r="AU351" s="21">
        <v>138279</v>
      </c>
      <c r="AV351" s="21">
        <v>139816</v>
      </c>
      <c r="AW351" s="21">
        <v>139409</v>
      </c>
      <c r="AX351" s="21">
        <v>57345</v>
      </c>
      <c r="AY351" s="21">
        <v>63086</v>
      </c>
      <c r="AZ351" s="21">
        <v>38241</v>
      </c>
      <c r="BA351" s="21">
        <v>28782</v>
      </c>
      <c r="BB351" s="21">
        <v>24503</v>
      </c>
      <c r="BC351" s="21">
        <v>14803</v>
      </c>
      <c r="BD351" s="21">
        <v>12203</v>
      </c>
      <c r="BE351" s="21">
        <v>12283</v>
      </c>
      <c r="BF351" s="21">
        <v>15132</v>
      </c>
      <c r="BG351" s="21">
        <v>14929</v>
      </c>
      <c r="BH351" s="21">
        <v>11242</v>
      </c>
      <c r="BI351" s="21">
        <v>10464</v>
      </c>
      <c r="BJ351" s="21">
        <v>12446</v>
      </c>
      <c r="BK351" s="21">
        <v>9352</v>
      </c>
      <c r="BL351" s="21">
        <v>8382</v>
      </c>
      <c r="BM351" s="21">
        <v>9115</v>
      </c>
    </row>
    <row r="352" spans="1:65" x14ac:dyDescent="0.2">
      <c r="A352" s="21" t="s">
        <v>1413</v>
      </c>
      <c r="B352" s="21" t="s">
        <v>1414</v>
      </c>
      <c r="C352" s="21" t="s">
        <v>1139</v>
      </c>
      <c r="D352" s="21">
        <v>1584351</v>
      </c>
      <c r="E352" s="21">
        <v>1520218</v>
      </c>
      <c r="F352" s="21">
        <v>1535870</v>
      </c>
      <c r="G352" s="21">
        <v>1531628</v>
      </c>
      <c r="H352" s="21">
        <v>1558558</v>
      </c>
      <c r="I352" s="21">
        <v>1582035</v>
      </c>
      <c r="J352" s="21">
        <v>1625881</v>
      </c>
      <c r="K352" s="21">
        <v>1590112</v>
      </c>
      <c r="L352" s="21">
        <v>1569422</v>
      </c>
      <c r="M352" s="21">
        <v>1594009</v>
      </c>
      <c r="N352" s="21">
        <v>1623943</v>
      </c>
      <c r="O352" s="21">
        <v>1618487</v>
      </c>
      <c r="P352" s="21">
        <v>1761187</v>
      </c>
      <c r="Q352" s="21">
        <v>1857576</v>
      </c>
      <c r="R352" s="21">
        <v>1728288</v>
      </c>
      <c r="S352" s="21">
        <v>1509148</v>
      </c>
      <c r="T352" s="21">
        <v>1821956</v>
      </c>
      <c r="U352" s="21">
        <v>1936608</v>
      </c>
      <c r="V352" s="21">
        <v>1715848</v>
      </c>
      <c r="W352" s="21">
        <v>1655221</v>
      </c>
      <c r="X352" s="21">
        <v>1349185</v>
      </c>
      <c r="Y352" s="21">
        <v>1081201</v>
      </c>
      <c r="Z352" s="21">
        <v>1046563</v>
      </c>
      <c r="AA352" s="21">
        <v>791428</v>
      </c>
      <c r="AB352" s="21">
        <v>888601</v>
      </c>
      <c r="AC352" s="21">
        <v>747516</v>
      </c>
      <c r="AD352" s="21">
        <v>736399</v>
      </c>
      <c r="AE352" s="21">
        <v>581593</v>
      </c>
      <c r="AF352" s="21">
        <v>545699</v>
      </c>
      <c r="AG352" s="21">
        <v>409536</v>
      </c>
      <c r="AH352" s="21">
        <v>411445</v>
      </c>
      <c r="AI352" s="21">
        <v>333899</v>
      </c>
      <c r="AJ352" s="21">
        <v>386916</v>
      </c>
      <c r="AK352" s="21">
        <v>445909</v>
      </c>
      <c r="AL352" s="21">
        <v>418924</v>
      </c>
      <c r="AM352" s="21">
        <v>336729</v>
      </c>
      <c r="AN352" s="21">
        <v>335233</v>
      </c>
      <c r="AO352" s="21">
        <v>290639</v>
      </c>
      <c r="AP352" s="21">
        <v>229841</v>
      </c>
      <c r="AQ352" s="21">
        <v>207473</v>
      </c>
      <c r="AR352" s="21">
        <v>240638</v>
      </c>
      <c r="AS352" s="21">
        <v>203252</v>
      </c>
      <c r="AT352" s="21">
        <v>190107</v>
      </c>
      <c r="AU352" s="21">
        <v>220441</v>
      </c>
      <c r="AV352" s="21">
        <v>248707</v>
      </c>
      <c r="AW352" s="21">
        <v>281385</v>
      </c>
      <c r="AX352" s="21">
        <v>239267</v>
      </c>
      <c r="AY352" s="21">
        <v>193240</v>
      </c>
      <c r="AZ352" s="21">
        <v>194348</v>
      </c>
      <c r="BA352" s="21">
        <v>130139</v>
      </c>
      <c r="BB352" s="21">
        <v>120199</v>
      </c>
      <c r="BC352" s="21">
        <v>134927</v>
      </c>
      <c r="BD352" s="21">
        <v>69887</v>
      </c>
      <c r="BE352" s="21">
        <v>48227</v>
      </c>
      <c r="BF352" s="21">
        <v>40579</v>
      </c>
      <c r="BG352" s="21">
        <v>33857</v>
      </c>
      <c r="BH352" s="21">
        <v>52412</v>
      </c>
      <c r="BI352" s="21">
        <v>49935</v>
      </c>
      <c r="BJ352" s="21">
        <v>43338</v>
      </c>
      <c r="BK352" s="21">
        <v>40899</v>
      </c>
      <c r="BL352" s="21">
        <v>31971</v>
      </c>
      <c r="BM352" s="21">
        <v>45838</v>
      </c>
    </row>
    <row r="353" spans="1:65" x14ac:dyDescent="0.2">
      <c r="A353" s="21" t="s">
        <v>1413</v>
      </c>
      <c r="B353" s="21" t="s">
        <v>1414</v>
      </c>
      <c r="C353" s="21" t="s">
        <v>1143</v>
      </c>
      <c r="D353" s="21">
        <v>252004</v>
      </c>
      <c r="E353" s="21">
        <v>241803</v>
      </c>
      <c r="F353" s="21">
        <v>244293</v>
      </c>
      <c r="G353" s="21">
        <v>243618</v>
      </c>
      <c r="H353" s="21">
        <v>247902</v>
      </c>
      <c r="I353" s="21">
        <v>251636</v>
      </c>
      <c r="J353" s="21">
        <v>258610</v>
      </c>
      <c r="K353" s="21">
        <v>252921</v>
      </c>
      <c r="L353" s="21">
        <v>249630</v>
      </c>
      <c r="M353" s="21">
        <v>253540</v>
      </c>
      <c r="N353" s="21">
        <v>258302</v>
      </c>
      <c r="O353" s="21">
        <v>257434</v>
      </c>
      <c r="P353" s="21">
        <v>280131</v>
      </c>
      <c r="Q353" s="21">
        <v>295463</v>
      </c>
      <c r="R353" s="21">
        <v>274899</v>
      </c>
      <c r="S353" s="21">
        <v>240043</v>
      </c>
      <c r="T353" s="21">
        <v>289797</v>
      </c>
      <c r="U353" s="21">
        <v>308034</v>
      </c>
      <c r="V353" s="21">
        <v>272920</v>
      </c>
      <c r="W353" s="21">
        <v>263277</v>
      </c>
      <c r="X353" s="21">
        <v>214599</v>
      </c>
      <c r="Y353" s="21">
        <v>171974</v>
      </c>
      <c r="Z353" s="21">
        <v>166465</v>
      </c>
      <c r="AA353" s="21">
        <v>125883</v>
      </c>
      <c r="AB353" s="21">
        <v>141339</v>
      </c>
      <c r="AC353" s="21">
        <v>118899</v>
      </c>
      <c r="AD353" s="21">
        <v>117131</v>
      </c>
      <c r="AE353" s="21">
        <v>92507</v>
      </c>
      <c r="AF353" s="21">
        <v>86798</v>
      </c>
      <c r="AG353" s="21">
        <v>65140</v>
      </c>
      <c r="AH353" s="21">
        <v>65444</v>
      </c>
      <c r="AI353" s="21">
        <v>53109</v>
      </c>
      <c r="AJ353" s="21">
        <v>61542</v>
      </c>
      <c r="AK353" s="21">
        <v>70926</v>
      </c>
      <c r="AL353" s="21">
        <v>66633</v>
      </c>
      <c r="AM353" s="21">
        <v>53560</v>
      </c>
      <c r="AN353" s="21">
        <v>53322</v>
      </c>
      <c r="AO353" s="21">
        <v>46229</v>
      </c>
      <c r="AP353" s="21">
        <v>36558</v>
      </c>
      <c r="AQ353" s="21">
        <v>33000</v>
      </c>
      <c r="AR353" s="21">
        <v>38275</v>
      </c>
      <c r="AS353" s="21">
        <v>32329</v>
      </c>
      <c r="AT353" s="21">
        <v>30238</v>
      </c>
      <c r="AU353" s="21">
        <v>35063</v>
      </c>
      <c r="AV353" s="21">
        <v>39559</v>
      </c>
      <c r="AW353" s="21">
        <v>44757</v>
      </c>
      <c r="AX353" s="21">
        <v>38057</v>
      </c>
      <c r="AY353" s="21">
        <v>30736</v>
      </c>
      <c r="AZ353" s="21">
        <v>30913</v>
      </c>
      <c r="BA353" s="21">
        <v>20700</v>
      </c>
      <c r="BB353" s="21">
        <v>19119</v>
      </c>
      <c r="BC353" s="21">
        <v>21461</v>
      </c>
      <c r="BD353" s="21">
        <v>11116</v>
      </c>
      <c r="BE353" s="21">
        <v>7671</v>
      </c>
      <c r="BF353" s="21">
        <v>6454</v>
      </c>
      <c r="BG353" s="21">
        <v>5385</v>
      </c>
      <c r="BH353" s="21">
        <v>8337</v>
      </c>
      <c r="BI353" s="21">
        <v>7943</v>
      </c>
      <c r="BJ353" s="21">
        <v>6893</v>
      </c>
      <c r="BK353" s="21">
        <v>6505</v>
      </c>
      <c r="BL353" s="21">
        <v>5085</v>
      </c>
      <c r="BM353" s="21">
        <v>7291</v>
      </c>
    </row>
    <row r="354" spans="1:65" x14ac:dyDescent="0.2">
      <c r="A354" s="21" t="s">
        <v>1413</v>
      </c>
      <c r="B354" s="21" t="s">
        <v>1414</v>
      </c>
      <c r="C354" s="21" t="s">
        <v>1152</v>
      </c>
      <c r="D354" s="21">
        <v>3517193</v>
      </c>
      <c r="E354" s="21">
        <v>3449539</v>
      </c>
      <c r="F354" s="21">
        <v>3431526</v>
      </c>
      <c r="G354" s="21">
        <v>3388215</v>
      </c>
      <c r="H354" s="21">
        <v>3486651</v>
      </c>
      <c r="I354" s="21">
        <v>3690538</v>
      </c>
      <c r="J354" s="21">
        <v>3938365</v>
      </c>
      <c r="K354" s="21">
        <v>4098401</v>
      </c>
      <c r="L354" s="21">
        <v>4201219</v>
      </c>
      <c r="M354" s="21">
        <v>4538736</v>
      </c>
      <c r="N354" s="21">
        <v>5056559</v>
      </c>
      <c r="O354" s="21">
        <v>5268789</v>
      </c>
      <c r="P354" s="21">
        <v>5819543</v>
      </c>
      <c r="Q354" s="21">
        <v>6476723</v>
      </c>
      <c r="R354" s="21">
        <v>6055739</v>
      </c>
      <c r="S354" s="21">
        <v>5649322</v>
      </c>
      <c r="T354" s="21">
        <v>6445105</v>
      </c>
      <c r="U354" s="21">
        <v>7047268</v>
      </c>
      <c r="V354" s="21">
        <v>6936026</v>
      </c>
      <c r="W354" s="21">
        <v>6485399</v>
      </c>
      <c r="X354" s="21">
        <v>5771629</v>
      </c>
      <c r="Y354" s="21">
        <v>4790883</v>
      </c>
      <c r="Z354" s="21">
        <v>3938868</v>
      </c>
      <c r="AA354" s="21">
        <v>3260463</v>
      </c>
      <c r="AB354" s="21">
        <v>3151038</v>
      </c>
      <c r="AC354" s="21">
        <v>2758987</v>
      </c>
      <c r="AD354" s="21">
        <v>3254887</v>
      </c>
      <c r="AE354" s="21">
        <v>2901476</v>
      </c>
      <c r="AF354" s="21">
        <v>3170377</v>
      </c>
      <c r="AG354" s="21">
        <v>3143921</v>
      </c>
      <c r="AH354" s="21">
        <v>2819852</v>
      </c>
      <c r="AI354" s="21">
        <v>2657037</v>
      </c>
      <c r="AJ354" s="21">
        <v>2518138</v>
      </c>
      <c r="AK354" s="21">
        <v>2478725</v>
      </c>
      <c r="AL354" s="21">
        <v>2342454</v>
      </c>
      <c r="AM354" s="21">
        <v>1954697</v>
      </c>
      <c r="AN354" s="21">
        <v>1952120</v>
      </c>
      <c r="AO354" s="21">
        <v>1828228</v>
      </c>
      <c r="AP354" s="21">
        <v>2035724</v>
      </c>
      <c r="AQ354" s="21">
        <v>1904948</v>
      </c>
      <c r="AR354" s="21">
        <v>2090597</v>
      </c>
      <c r="AS354" s="21">
        <v>1861449</v>
      </c>
      <c r="AT354" s="21">
        <v>1605429</v>
      </c>
      <c r="AU354" s="21">
        <v>1771853</v>
      </c>
      <c r="AV354" s="21">
        <v>1989729</v>
      </c>
      <c r="AW354" s="21">
        <v>2111118</v>
      </c>
      <c r="AX354" s="21">
        <v>1580734</v>
      </c>
      <c r="AY354" s="21">
        <v>1658894</v>
      </c>
      <c r="AZ354" s="21">
        <v>1431707</v>
      </c>
      <c r="BA354" s="21">
        <v>1172890</v>
      </c>
      <c r="BB354" s="21">
        <v>1227920</v>
      </c>
      <c r="BC354" s="21">
        <v>1058058</v>
      </c>
      <c r="BD354" s="21">
        <v>848525</v>
      </c>
      <c r="BE354" s="21">
        <v>731008</v>
      </c>
      <c r="BF354" s="21">
        <v>590192</v>
      </c>
      <c r="BG354" s="21">
        <v>595090</v>
      </c>
      <c r="BH354" s="21">
        <v>750655</v>
      </c>
      <c r="BI354" s="21">
        <v>784140</v>
      </c>
      <c r="BJ354" s="21">
        <v>728726</v>
      </c>
      <c r="BK354" s="21">
        <v>631133</v>
      </c>
      <c r="BL354" s="21">
        <v>478466</v>
      </c>
      <c r="BM354" s="21">
        <v>721163</v>
      </c>
    </row>
    <row r="355" spans="1:65" x14ac:dyDescent="0.2">
      <c r="A355" s="21" t="s">
        <v>1413</v>
      </c>
      <c r="B355" s="21" t="s">
        <v>1414</v>
      </c>
      <c r="C355" s="21" t="s">
        <v>1156</v>
      </c>
      <c r="D355" s="21">
        <v>559439</v>
      </c>
      <c r="E355" s="21">
        <v>548678</v>
      </c>
      <c r="F355" s="21">
        <v>545813</v>
      </c>
      <c r="G355" s="21">
        <v>538924</v>
      </c>
      <c r="H355" s="21">
        <v>554581</v>
      </c>
      <c r="I355" s="21">
        <v>587011</v>
      </c>
      <c r="J355" s="21">
        <v>626430</v>
      </c>
      <c r="K355" s="21">
        <v>651885</v>
      </c>
      <c r="L355" s="21">
        <v>668239</v>
      </c>
      <c r="M355" s="21">
        <v>721924</v>
      </c>
      <c r="N355" s="21">
        <v>804288</v>
      </c>
      <c r="O355" s="21">
        <v>838045</v>
      </c>
      <c r="P355" s="21">
        <v>925647</v>
      </c>
      <c r="Q355" s="21">
        <v>1030177</v>
      </c>
      <c r="R355" s="21">
        <v>963216</v>
      </c>
      <c r="S355" s="21">
        <v>898572</v>
      </c>
      <c r="T355" s="21">
        <v>1025148</v>
      </c>
      <c r="U355" s="21">
        <v>1120927</v>
      </c>
      <c r="V355" s="21">
        <v>1103233</v>
      </c>
      <c r="W355" s="21">
        <v>1031557</v>
      </c>
      <c r="X355" s="21">
        <v>918026</v>
      </c>
      <c r="Y355" s="21">
        <v>762030</v>
      </c>
      <c r="Z355" s="21">
        <v>626510</v>
      </c>
      <c r="AA355" s="21">
        <v>518604</v>
      </c>
      <c r="AB355" s="21">
        <v>501199</v>
      </c>
      <c r="AC355" s="21">
        <v>438840</v>
      </c>
      <c r="AD355" s="21">
        <v>517717</v>
      </c>
      <c r="AE355" s="21">
        <v>461504</v>
      </c>
      <c r="AF355" s="21">
        <v>504275</v>
      </c>
      <c r="AG355" s="21">
        <v>500067</v>
      </c>
      <c r="AH355" s="21">
        <v>448521</v>
      </c>
      <c r="AI355" s="21">
        <v>422624</v>
      </c>
      <c r="AJ355" s="21">
        <v>400531</v>
      </c>
      <c r="AK355" s="21">
        <v>394262</v>
      </c>
      <c r="AL355" s="21">
        <v>372587</v>
      </c>
      <c r="AM355" s="21">
        <v>310911</v>
      </c>
      <c r="AN355" s="21">
        <v>310501</v>
      </c>
      <c r="AO355" s="21">
        <v>290795</v>
      </c>
      <c r="AP355" s="21">
        <v>323799</v>
      </c>
      <c r="AQ355" s="21">
        <v>302998</v>
      </c>
      <c r="AR355" s="21">
        <v>332527</v>
      </c>
      <c r="AS355" s="21">
        <v>296079</v>
      </c>
      <c r="AT355" s="21">
        <v>255357</v>
      </c>
      <c r="AU355" s="21">
        <v>281828</v>
      </c>
      <c r="AV355" s="21">
        <v>316483</v>
      </c>
      <c r="AW355" s="21">
        <v>335791</v>
      </c>
      <c r="AX355" s="21">
        <v>251429</v>
      </c>
      <c r="AY355" s="21">
        <v>263861</v>
      </c>
      <c r="AZ355" s="21">
        <v>227725</v>
      </c>
      <c r="BA355" s="21">
        <v>186558</v>
      </c>
      <c r="BB355" s="21">
        <v>195311</v>
      </c>
      <c r="BC355" s="21">
        <v>168293</v>
      </c>
      <c r="BD355" s="21">
        <v>134965</v>
      </c>
      <c r="BE355" s="21">
        <v>116273</v>
      </c>
      <c r="BF355" s="21">
        <v>93875</v>
      </c>
      <c r="BG355" s="21">
        <v>94654</v>
      </c>
      <c r="BH355" s="21">
        <v>119398</v>
      </c>
      <c r="BI355" s="21">
        <v>124724</v>
      </c>
      <c r="BJ355" s="21">
        <v>115910</v>
      </c>
      <c r="BK355" s="21">
        <v>100387</v>
      </c>
      <c r="BL355" s="21">
        <v>76104</v>
      </c>
      <c r="BM355" s="21">
        <v>114707</v>
      </c>
    </row>
    <row r="356" spans="1:65" x14ac:dyDescent="0.2">
      <c r="A356" s="21" t="s">
        <v>1413</v>
      </c>
      <c r="B356" s="21" t="s">
        <v>1414</v>
      </c>
      <c r="C356" s="21" t="s">
        <v>1159</v>
      </c>
      <c r="D356" s="21">
        <v>2986751</v>
      </c>
      <c r="E356" s="21">
        <v>2913860</v>
      </c>
      <c r="F356" s="21">
        <v>2894716</v>
      </c>
      <c r="G356" s="21">
        <v>2828166</v>
      </c>
      <c r="H356" s="21">
        <v>2877876</v>
      </c>
      <c r="I356" s="21">
        <v>2997243</v>
      </c>
      <c r="J356" s="21">
        <v>3091894</v>
      </c>
      <c r="K356" s="21">
        <v>3130922</v>
      </c>
      <c r="L356" s="21">
        <v>3077029</v>
      </c>
      <c r="M356" s="21">
        <v>3054591</v>
      </c>
      <c r="N356" s="21">
        <v>3098909</v>
      </c>
      <c r="O356" s="21">
        <v>2991719</v>
      </c>
      <c r="P356" s="21">
        <v>3051413</v>
      </c>
      <c r="Q356" s="21">
        <v>3250299</v>
      </c>
      <c r="R356" s="21">
        <v>3018202</v>
      </c>
      <c r="S356" s="21">
        <v>2711901</v>
      </c>
      <c r="T356" s="21">
        <v>3213105</v>
      </c>
      <c r="U356" s="21">
        <v>3433069</v>
      </c>
      <c r="V356" s="21">
        <v>3237266</v>
      </c>
      <c r="W356" s="21">
        <v>3388386</v>
      </c>
      <c r="X356" s="21">
        <v>3312389</v>
      </c>
      <c r="Y356" s="21">
        <v>2717441</v>
      </c>
      <c r="Z356" s="21">
        <v>2464981</v>
      </c>
      <c r="AA356" s="21">
        <v>1820840</v>
      </c>
      <c r="AB356" s="21">
        <v>1960981</v>
      </c>
      <c r="AC356" s="21">
        <v>1760743</v>
      </c>
      <c r="AD356" s="21">
        <v>1895911</v>
      </c>
      <c r="AE356" s="21">
        <v>1744598</v>
      </c>
      <c r="AF356" s="21">
        <v>1728600</v>
      </c>
      <c r="AG356" s="21">
        <v>1608770</v>
      </c>
      <c r="AH356" s="21">
        <v>1657290</v>
      </c>
      <c r="AI356" s="21">
        <v>1571745</v>
      </c>
      <c r="AJ356" s="21">
        <v>1645968</v>
      </c>
      <c r="AK356" s="21">
        <v>1520080</v>
      </c>
      <c r="AL356" s="21">
        <v>1473454</v>
      </c>
      <c r="AM356" s="21">
        <v>1388725</v>
      </c>
      <c r="AN356" s="21">
        <v>1323729</v>
      </c>
      <c r="AO356" s="21">
        <v>1113594</v>
      </c>
      <c r="AP356" s="21">
        <v>988764</v>
      </c>
      <c r="AQ356" s="21">
        <v>946225</v>
      </c>
      <c r="AR356" s="21">
        <v>1219763</v>
      </c>
      <c r="AS356" s="21">
        <v>858646</v>
      </c>
      <c r="AT356" s="21">
        <v>946719</v>
      </c>
      <c r="AU356" s="21">
        <v>902489</v>
      </c>
      <c r="AV356" s="21">
        <v>1110706</v>
      </c>
      <c r="AW356" s="21">
        <v>1234656</v>
      </c>
      <c r="AX356" s="21">
        <v>1220207</v>
      </c>
      <c r="AY356" s="21">
        <v>1262270</v>
      </c>
      <c r="AZ356" s="21">
        <v>1191286</v>
      </c>
      <c r="BA356" s="21">
        <v>991935</v>
      </c>
      <c r="BB356" s="21">
        <v>1073868</v>
      </c>
      <c r="BC356" s="21">
        <v>964993</v>
      </c>
      <c r="BD356" s="21">
        <v>771805</v>
      </c>
      <c r="BE356" s="21">
        <v>653783</v>
      </c>
      <c r="BF356" s="21">
        <v>495054</v>
      </c>
      <c r="BG356" s="21">
        <v>501229</v>
      </c>
      <c r="BH356" s="21">
        <v>679975</v>
      </c>
      <c r="BI356" s="21">
        <v>718352</v>
      </c>
      <c r="BJ356" s="21">
        <v>650475</v>
      </c>
      <c r="BK356" s="21">
        <v>572339</v>
      </c>
      <c r="BL356" s="21">
        <v>425770</v>
      </c>
      <c r="BM356" s="21">
        <v>663859</v>
      </c>
    </row>
    <row r="357" spans="1:65" x14ac:dyDescent="0.2">
      <c r="A357" s="21" t="s">
        <v>1413</v>
      </c>
      <c r="B357" s="21" t="s">
        <v>1414</v>
      </c>
      <c r="C357" s="21" t="s">
        <v>1163</v>
      </c>
      <c r="D357" s="21">
        <v>475068</v>
      </c>
      <c r="E357" s="21">
        <v>463474</v>
      </c>
      <c r="F357" s="21">
        <v>460429</v>
      </c>
      <c r="G357" s="21">
        <v>449843</v>
      </c>
      <c r="H357" s="21">
        <v>457750</v>
      </c>
      <c r="I357" s="21">
        <v>476737</v>
      </c>
      <c r="J357" s="21">
        <v>491792</v>
      </c>
      <c r="K357" s="21">
        <v>497999</v>
      </c>
      <c r="L357" s="21">
        <v>489427</v>
      </c>
      <c r="M357" s="21">
        <v>485858</v>
      </c>
      <c r="N357" s="21">
        <v>492907</v>
      </c>
      <c r="O357" s="21">
        <v>475858</v>
      </c>
      <c r="P357" s="21">
        <v>485353</v>
      </c>
      <c r="Q357" s="21">
        <v>516987</v>
      </c>
      <c r="R357" s="21">
        <v>480070</v>
      </c>
      <c r="S357" s="21">
        <v>431351</v>
      </c>
      <c r="T357" s="21">
        <v>511071</v>
      </c>
      <c r="U357" s="21">
        <v>546058</v>
      </c>
      <c r="V357" s="21">
        <v>514914</v>
      </c>
      <c r="W357" s="21">
        <v>538951</v>
      </c>
      <c r="X357" s="21">
        <v>526863</v>
      </c>
      <c r="Y357" s="21">
        <v>432232</v>
      </c>
      <c r="Z357" s="21">
        <v>392076</v>
      </c>
      <c r="AA357" s="21">
        <v>289620</v>
      </c>
      <c r="AB357" s="21">
        <v>311910</v>
      </c>
      <c r="AC357" s="21">
        <v>280061</v>
      </c>
      <c r="AD357" s="21">
        <v>301561</v>
      </c>
      <c r="AE357" s="21">
        <v>277493</v>
      </c>
      <c r="AF357" s="21">
        <v>274948</v>
      </c>
      <c r="AG357" s="21">
        <v>255888</v>
      </c>
      <c r="AH357" s="21">
        <v>263606</v>
      </c>
      <c r="AI357" s="21">
        <v>249999</v>
      </c>
      <c r="AJ357" s="21">
        <v>261805</v>
      </c>
      <c r="AK357" s="21">
        <v>241781</v>
      </c>
      <c r="AL357" s="21">
        <v>234365</v>
      </c>
      <c r="AM357" s="21">
        <v>220888</v>
      </c>
      <c r="AN357" s="21">
        <v>210550</v>
      </c>
      <c r="AO357" s="21">
        <v>177126</v>
      </c>
      <c r="AP357" s="21">
        <v>157271</v>
      </c>
      <c r="AQ357" s="21">
        <v>150505</v>
      </c>
      <c r="AR357" s="21">
        <v>194014</v>
      </c>
      <c r="AS357" s="21">
        <v>136575</v>
      </c>
      <c r="AT357" s="21">
        <v>150584</v>
      </c>
      <c r="AU357" s="21">
        <v>143549</v>
      </c>
      <c r="AV357" s="21">
        <v>176667</v>
      </c>
      <c r="AW357" s="21">
        <v>196382</v>
      </c>
      <c r="AX357" s="21">
        <v>194084</v>
      </c>
      <c r="AY357" s="21">
        <v>200775</v>
      </c>
      <c r="AZ357" s="21">
        <v>189484</v>
      </c>
      <c r="BA357" s="21">
        <v>157776</v>
      </c>
      <c r="BB357" s="21">
        <v>170808</v>
      </c>
      <c r="BC357" s="21">
        <v>153490</v>
      </c>
      <c r="BD357" s="21">
        <v>122762</v>
      </c>
      <c r="BE357" s="21">
        <v>103990</v>
      </c>
      <c r="BF357" s="21">
        <v>78743</v>
      </c>
      <c r="BG357" s="21">
        <v>79725</v>
      </c>
      <c r="BH357" s="21">
        <v>108156</v>
      </c>
      <c r="BI357" s="21">
        <v>114260</v>
      </c>
      <c r="BJ357" s="21">
        <v>103464</v>
      </c>
      <c r="BK357" s="21">
        <v>91035</v>
      </c>
      <c r="BL357" s="21">
        <v>67722</v>
      </c>
      <c r="BM357" s="21">
        <v>105592</v>
      </c>
    </row>
    <row r="358" spans="1:65" x14ac:dyDescent="0.2">
      <c r="A358" s="21" t="s">
        <v>1413</v>
      </c>
      <c r="B358" s="21" t="s">
        <v>1414</v>
      </c>
      <c r="C358" s="21" t="s">
        <v>1166</v>
      </c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>
        <v>34226</v>
      </c>
      <c r="Y358" s="21">
        <v>38971</v>
      </c>
      <c r="Z358" s="21">
        <v>34824</v>
      </c>
      <c r="AA358" s="21">
        <v>29860</v>
      </c>
      <c r="AB358" s="21">
        <v>27583</v>
      </c>
      <c r="AC358" s="21">
        <v>31795</v>
      </c>
      <c r="AD358" s="21">
        <v>29388</v>
      </c>
      <c r="AE358" s="21">
        <v>25420</v>
      </c>
      <c r="AF358" s="21">
        <v>25961</v>
      </c>
      <c r="AG358" s="21">
        <v>27662</v>
      </c>
      <c r="AH358" s="21">
        <v>30144</v>
      </c>
      <c r="AI358" s="21">
        <v>26901</v>
      </c>
      <c r="AJ358" s="21">
        <v>27475</v>
      </c>
      <c r="AK358" s="21">
        <v>27945</v>
      </c>
      <c r="AL358" s="21">
        <v>26012</v>
      </c>
      <c r="AM358" s="21">
        <v>25928</v>
      </c>
      <c r="AN358" s="21">
        <v>26190</v>
      </c>
      <c r="AO358" s="21">
        <v>23513</v>
      </c>
      <c r="AP358" s="21">
        <v>22086</v>
      </c>
      <c r="AQ358" s="21">
        <v>21365</v>
      </c>
      <c r="AR358" s="21">
        <v>20631</v>
      </c>
      <c r="AS358" s="21">
        <v>19351</v>
      </c>
      <c r="AT358" s="21">
        <v>15552</v>
      </c>
      <c r="AU358" s="21">
        <v>15997</v>
      </c>
      <c r="AV358" s="21">
        <v>14092</v>
      </c>
      <c r="AW358" s="21">
        <v>14321</v>
      </c>
      <c r="AX358" s="21">
        <v>14630</v>
      </c>
      <c r="AY358" s="21">
        <v>12932</v>
      </c>
      <c r="AZ358" s="21">
        <v>13177</v>
      </c>
      <c r="BA358" s="21">
        <v>14574</v>
      </c>
      <c r="BB358" s="21">
        <v>13111</v>
      </c>
      <c r="BC358" s="21">
        <v>12555</v>
      </c>
      <c r="BD358" s="21">
        <v>11816</v>
      </c>
      <c r="BE358" s="21">
        <v>11854</v>
      </c>
      <c r="BF358" s="21">
        <v>13227</v>
      </c>
      <c r="BG358" s="21">
        <v>11960</v>
      </c>
      <c r="BH358" s="21">
        <v>11687</v>
      </c>
      <c r="BI358" s="21">
        <v>12597</v>
      </c>
      <c r="BJ358" s="21">
        <v>13274</v>
      </c>
      <c r="BK358" s="21">
        <v>11877</v>
      </c>
      <c r="BL358" s="21">
        <v>10803</v>
      </c>
      <c r="BM358" s="21">
        <v>11851</v>
      </c>
    </row>
    <row r="359" spans="1:65" x14ac:dyDescent="0.2">
      <c r="A359" s="21" t="s">
        <v>1413</v>
      </c>
      <c r="B359" s="21" t="s">
        <v>1414</v>
      </c>
      <c r="C359" s="21" t="s">
        <v>1168</v>
      </c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>
        <v>5720</v>
      </c>
      <c r="Y359" s="21">
        <v>5645</v>
      </c>
      <c r="Z359" s="21">
        <v>4427</v>
      </c>
      <c r="AA359" s="21">
        <v>4944</v>
      </c>
      <c r="AB359" s="21">
        <v>3982</v>
      </c>
      <c r="AC359" s="21">
        <v>4323</v>
      </c>
      <c r="AD359" s="21">
        <v>2443</v>
      </c>
      <c r="AE359" s="21">
        <v>4236</v>
      </c>
      <c r="AF359" s="21">
        <v>3805</v>
      </c>
      <c r="AG359" s="21">
        <v>4141</v>
      </c>
      <c r="AH359" s="21">
        <v>7227</v>
      </c>
      <c r="AI359" s="21">
        <v>8051</v>
      </c>
      <c r="AJ359" s="21">
        <v>6626</v>
      </c>
      <c r="AK359" s="21">
        <v>7381</v>
      </c>
      <c r="AL359" s="21">
        <v>6810</v>
      </c>
      <c r="AM359" s="21">
        <v>6842</v>
      </c>
      <c r="AN359" s="21">
        <v>6168</v>
      </c>
      <c r="AO359" s="21">
        <v>6262</v>
      </c>
      <c r="AP359" s="21">
        <v>7812</v>
      </c>
      <c r="AQ359" s="21">
        <v>7033</v>
      </c>
      <c r="AR359" s="21">
        <v>6654</v>
      </c>
      <c r="AS359" s="21">
        <v>7522</v>
      </c>
      <c r="AT359" s="21">
        <v>4329</v>
      </c>
      <c r="AU359" s="21">
        <v>2988</v>
      </c>
      <c r="AV359" s="21">
        <v>3369</v>
      </c>
      <c r="AW359" s="21">
        <v>5708</v>
      </c>
      <c r="AX359" s="21">
        <v>5622</v>
      </c>
      <c r="AY359" s="21">
        <v>6271</v>
      </c>
      <c r="AZ359" s="21">
        <v>4248</v>
      </c>
      <c r="BA359" s="21">
        <v>4248</v>
      </c>
      <c r="BB359" s="21">
        <v>4201</v>
      </c>
      <c r="BC359" s="21">
        <v>3748</v>
      </c>
      <c r="BD359" s="21">
        <v>5525</v>
      </c>
      <c r="BE359" s="21">
        <v>3725</v>
      </c>
      <c r="BF359" s="21">
        <v>4168</v>
      </c>
      <c r="BG359" s="21">
        <v>5952</v>
      </c>
      <c r="BH359" s="21">
        <v>7174</v>
      </c>
      <c r="BI359" s="21">
        <v>7875</v>
      </c>
      <c r="BJ359" s="21">
        <v>10241</v>
      </c>
      <c r="BK359" s="21">
        <v>9813</v>
      </c>
      <c r="BL359" s="21">
        <v>11597</v>
      </c>
      <c r="BM359" s="21">
        <v>11635</v>
      </c>
    </row>
    <row r="360" spans="1:65" x14ac:dyDescent="0.2">
      <c r="A360" s="21" t="s">
        <v>1413</v>
      </c>
      <c r="B360" s="21" t="s">
        <v>1414</v>
      </c>
      <c r="C360" s="21" t="s">
        <v>1170</v>
      </c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>
        <v>47554</v>
      </c>
      <c r="Y360" s="21">
        <v>56238</v>
      </c>
      <c r="Z360" s="21">
        <v>41474</v>
      </c>
      <c r="AA360" s="21">
        <v>41008</v>
      </c>
      <c r="AB360" s="21">
        <v>31970</v>
      </c>
      <c r="AC360" s="21">
        <v>39393</v>
      </c>
      <c r="AD360" s="21">
        <v>34843</v>
      </c>
      <c r="AE360" s="21">
        <v>33935</v>
      </c>
      <c r="AF360" s="21">
        <v>33230</v>
      </c>
      <c r="AG360" s="21">
        <v>34302</v>
      </c>
      <c r="AH360" s="21">
        <v>42194</v>
      </c>
      <c r="AI360" s="21">
        <v>38867</v>
      </c>
      <c r="AJ360" s="21">
        <v>43742</v>
      </c>
      <c r="AK360" s="21">
        <v>42121</v>
      </c>
      <c r="AL360" s="21">
        <v>40156</v>
      </c>
      <c r="AM360" s="21">
        <v>39538</v>
      </c>
      <c r="AN360" s="21">
        <v>38436</v>
      </c>
      <c r="AO360" s="21">
        <v>38056</v>
      </c>
      <c r="AP360" s="21">
        <v>40420</v>
      </c>
      <c r="AQ360" s="21">
        <v>37261</v>
      </c>
      <c r="AR360" s="21">
        <v>32036</v>
      </c>
      <c r="AS360" s="21">
        <v>31029</v>
      </c>
      <c r="AT360" s="21">
        <v>25475</v>
      </c>
      <c r="AU360" s="21">
        <v>25491</v>
      </c>
      <c r="AV360" s="21">
        <v>23098</v>
      </c>
      <c r="AW360" s="21">
        <v>23738</v>
      </c>
      <c r="AX360" s="21">
        <v>26420</v>
      </c>
      <c r="AY360" s="21">
        <v>26424</v>
      </c>
      <c r="AZ360" s="21">
        <v>26183</v>
      </c>
      <c r="BA360" s="21">
        <v>27950</v>
      </c>
      <c r="BB360" s="21">
        <v>29960</v>
      </c>
      <c r="BC360" s="21">
        <v>28183</v>
      </c>
      <c r="BD360" s="21">
        <v>30065</v>
      </c>
      <c r="BE360" s="21">
        <v>25093</v>
      </c>
      <c r="BF360" s="21">
        <v>26746</v>
      </c>
      <c r="BG360" s="21">
        <v>28036</v>
      </c>
      <c r="BH360" s="21">
        <v>27078</v>
      </c>
      <c r="BI360" s="21">
        <v>33467</v>
      </c>
      <c r="BJ360" s="21">
        <v>33085</v>
      </c>
      <c r="BK360" s="21">
        <v>28250</v>
      </c>
      <c r="BL360" s="21">
        <v>30064</v>
      </c>
      <c r="BM360" s="21">
        <v>31314</v>
      </c>
    </row>
    <row r="361" spans="1:65" x14ac:dyDescent="0.2">
      <c r="A361" s="21" t="s">
        <v>1413</v>
      </c>
      <c r="B361" s="21" t="s">
        <v>1414</v>
      </c>
      <c r="C361" s="21" t="s">
        <v>1172</v>
      </c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>
        <v>69521</v>
      </c>
      <c r="Y361" s="21">
        <v>77957</v>
      </c>
      <c r="Z361" s="21">
        <v>67464</v>
      </c>
      <c r="AA361" s="21">
        <v>59918</v>
      </c>
      <c r="AB361" s="21">
        <v>49733</v>
      </c>
      <c r="AC361" s="21">
        <v>54001</v>
      </c>
      <c r="AD361" s="21">
        <v>48522</v>
      </c>
      <c r="AE361" s="21">
        <v>39301</v>
      </c>
      <c r="AF361" s="21">
        <v>39609</v>
      </c>
      <c r="AG361" s="21">
        <v>42508</v>
      </c>
      <c r="AH361" s="21">
        <v>45118</v>
      </c>
      <c r="AI361" s="21">
        <v>40902</v>
      </c>
      <c r="AJ361" s="21">
        <v>41959</v>
      </c>
      <c r="AK361" s="21">
        <v>43602</v>
      </c>
      <c r="AL361" s="21">
        <v>39810</v>
      </c>
      <c r="AM361" s="21">
        <v>39663</v>
      </c>
      <c r="AN361" s="21">
        <v>40306</v>
      </c>
      <c r="AO361" s="21">
        <v>36992</v>
      </c>
      <c r="AP361" s="21">
        <v>33761</v>
      </c>
      <c r="AQ361" s="21">
        <v>34779</v>
      </c>
      <c r="AR361" s="21">
        <v>32622</v>
      </c>
      <c r="AS361" s="21">
        <v>30004</v>
      </c>
      <c r="AT361" s="21">
        <v>23299</v>
      </c>
      <c r="AU361" s="21">
        <v>24352</v>
      </c>
      <c r="AV361" s="21">
        <v>20473</v>
      </c>
      <c r="AW361" s="21">
        <v>20900</v>
      </c>
      <c r="AX361" s="21">
        <v>20666</v>
      </c>
      <c r="AY361" s="21">
        <v>18677</v>
      </c>
      <c r="AZ361" s="21">
        <v>18294</v>
      </c>
      <c r="BA361" s="21">
        <v>19522</v>
      </c>
      <c r="BB361" s="21">
        <v>18196</v>
      </c>
      <c r="BC361" s="21">
        <v>16726</v>
      </c>
      <c r="BD361" s="21">
        <v>15253</v>
      </c>
      <c r="BE361" s="21">
        <v>15545</v>
      </c>
      <c r="BF361" s="21">
        <v>17676</v>
      </c>
      <c r="BG361" s="21">
        <v>15420</v>
      </c>
      <c r="BH361" s="21">
        <v>14033</v>
      </c>
      <c r="BI361" s="21">
        <v>14977</v>
      </c>
      <c r="BJ361" s="21">
        <v>16379</v>
      </c>
      <c r="BK361" s="21">
        <v>14337</v>
      </c>
      <c r="BL361" s="21">
        <v>14248</v>
      </c>
      <c r="BM361" s="21">
        <v>14784</v>
      </c>
    </row>
    <row r="362" spans="1:65" x14ac:dyDescent="0.2">
      <c r="A362" s="21" t="s">
        <v>1413</v>
      </c>
      <c r="B362" s="21" t="s">
        <v>1414</v>
      </c>
      <c r="C362" s="21" t="s">
        <v>1174</v>
      </c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>
        <v>157020</v>
      </c>
      <c r="Y362" s="21">
        <v>178812</v>
      </c>
      <c r="Z362" s="21">
        <v>148189</v>
      </c>
      <c r="AA362" s="21">
        <v>135730</v>
      </c>
      <c r="AB362" s="21">
        <v>113267</v>
      </c>
      <c r="AC362" s="21">
        <v>129512</v>
      </c>
      <c r="AD362" s="21">
        <v>115195</v>
      </c>
      <c r="AE362" s="21">
        <v>102892</v>
      </c>
      <c r="AF362" s="21">
        <v>102605</v>
      </c>
      <c r="AG362" s="21">
        <v>108613</v>
      </c>
      <c r="AH362" s="21">
        <v>124684</v>
      </c>
      <c r="AI362" s="21">
        <v>114721</v>
      </c>
      <c r="AJ362" s="21">
        <v>119801</v>
      </c>
      <c r="AK362" s="21">
        <v>121049</v>
      </c>
      <c r="AL362" s="21">
        <v>112788</v>
      </c>
      <c r="AM362" s="21">
        <v>111972</v>
      </c>
      <c r="AN362" s="21">
        <v>111099</v>
      </c>
      <c r="AO362" s="21">
        <v>104824</v>
      </c>
      <c r="AP362" s="21">
        <v>104079</v>
      </c>
      <c r="AQ362" s="21">
        <v>100437</v>
      </c>
      <c r="AR362" s="21">
        <v>91943</v>
      </c>
      <c r="AS362" s="21">
        <v>87906</v>
      </c>
      <c r="AT362" s="21">
        <v>68655</v>
      </c>
      <c r="AU362" s="21">
        <v>68829</v>
      </c>
      <c r="AV362" s="21">
        <v>61032</v>
      </c>
      <c r="AW362" s="21">
        <v>64667</v>
      </c>
      <c r="AX362" s="21">
        <v>67339</v>
      </c>
      <c r="AY362" s="21">
        <v>64304</v>
      </c>
      <c r="AZ362" s="21">
        <v>61902</v>
      </c>
      <c r="BA362" s="21">
        <v>66294</v>
      </c>
      <c r="BB362" s="21">
        <v>65468</v>
      </c>
      <c r="BC362" s="21">
        <v>61212</v>
      </c>
      <c r="BD362" s="21">
        <v>62660</v>
      </c>
      <c r="BE362" s="21">
        <v>56218</v>
      </c>
      <c r="BF362" s="21">
        <v>61817</v>
      </c>
      <c r="BG362" s="21">
        <v>61369</v>
      </c>
      <c r="BH362" s="21">
        <v>59972</v>
      </c>
      <c r="BI362" s="21">
        <v>68916</v>
      </c>
      <c r="BJ362" s="21">
        <v>72980</v>
      </c>
      <c r="BK362" s="21">
        <v>64276</v>
      </c>
      <c r="BL362" s="21">
        <v>66712</v>
      </c>
      <c r="BM362" s="21">
        <v>69583</v>
      </c>
    </row>
    <row r="363" spans="1:65" x14ac:dyDescent="0.2">
      <c r="A363" s="21" t="s">
        <v>1413</v>
      </c>
      <c r="B363" s="21" t="s">
        <v>1414</v>
      </c>
      <c r="C363" s="21" t="s">
        <v>1176</v>
      </c>
      <c r="D363" s="21">
        <v>776880</v>
      </c>
      <c r="E363" s="21">
        <v>765222</v>
      </c>
      <c r="F363" s="21">
        <v>784974</v>
      </c>
      <c r="G363" s="21">
        <v>777588</v>
      </c>
      <c r="H363" s="21">
        <v>787542</v>
      </c>
      <c r="I363" s="21">
        <v>811770</v>
      </c>
      <c r="J363" s="21">
        <v>812754</v>
      </c>
      <c r="K363" s="21">
        <v>840204</v>
      </c>
      <c r="L363" s="21">
        <v>898776</v>
      </c>
      <c r="M363" s="21">
        <v>962178</v>
      </c>
      <c r="N363" s="21">
        <v>983430</v>
      </c>
      <c r="O363" s="21">
        <v>941802</v>
      </c>
      <c r="P363" s="21">
        <v>1025958</v>
      </c>
      <c r="Q363" s="21">
        <v>1060548</v>
      </c>
      <c r="R363" s="21">
        <v>1054344</v>
      </c>
      <c r="S363" s="21">
        <v>1052106</v>
      </c>
      <c r="T363" s="21">
        <v>1083996</v>
      </c>
      <c r="U363" s="21">
        <v>1147542</v>
      </c>
      <c r="V363" s="21">
        <v>1200168</v>
      </c>
      <c r="W363" s="21">
        <v>1230414</v>
      </c>
      <c r="X363" s="21">
        <v>1184532</v>
      </c>
      <c r="Y363" s="21">
        <v>1195638</v>
      </c>
      <c r="Z363" s="21">
        <v>1168278</v>
      </c>
      <c r="AA363" s="21">
        <v>1149312</v>
      </c>
      <c r="AB363" s="21">
        <v>1158882</v>
      </c>
      <c r="AC363" s="21">
        <v>1203396</v>
      </c>
      <c r="AD363" s="21">
        <v>1403796</v>
      </c>
      <c r="AE363" s="21">
        <v>1407174</v>
      </c>
      <c r="AF363" s="21">
        <v>1472106</v>
      </c>
      <c r="AG363" s="21">
        <v>1491948</v>
      </c>
      <c r="AH363" s="21">
        <v>1473210</v>
      </c>
      <c r="AI363" s="21">
        <v>1426554</v>
      </c>
      <c r="AJ363" s="21">
        <v>1446960</v>
      </c>
      <c r="AK363" s="21">
        <v>1430190</v>
      </c>
      <c r="AL363" s="21">
        <v>1439406</v>
      </c>
      <c r="AM363" s="21">
        <v>1417452</v>
      </c>
      <c r="AN363" s="21">
        <v>1437090</v>
      </c>
      <c r="AO363" s="21">
        <v>1447104</v>
      </c>
      <c r="AP363" s="21">
        <v>1437234</v>
      </c>
      <c r="AQ363" s="21">
        <v>1437120</v>
      </c>
      <c r="AR363" s="21">
        <v>1448190</v>
      </c>
      <c r="AS363" s="21">
        <v>1466592</v>
      </c>
      <c r="AT363" s="21">
        <v>1461102</v>
      </c>
      <c r="AU363" s="21">
        <v>1536306</v>
      </c>
      <c r="AV363" s="21">
        <v>1546134</v>
      </c>
      <c r="AW363" s="21">
        <v>1497084</v>
      </c>
      <c r="AX363" s="21">
        <v>1553358</v>
      </c>
      <c r="AY363" s="21">
        <v>1526856</v>
      </c>
      <c r="AZ363" s="21">
        <v>1470300</v>
      </c>
      <c r="BA363" s="21">
        <v>1455018</v>
      </c>
      <c r="BB363" s="21">
        <v>1471812</v>
      </c>
      <c r="BC363" s="21">
        <v>1486974</v>
      </c>
      <c r="BD363" s="21">
        <v>1480818</v>
      </c>
      <c r="BE363" s="21">
        <v>1537296</v>
      </c>
      <c r="BF363" s="21">
        <v>1516944</v>
      </c>
      <c r="BG363" s="21">
        <v>1495026</v>
      </c>
      <c r="BH363" s="21">
        <v>1604700</v>
      </c>
      <c r="BI363" s="21">
        <v>1582821</v>
      </c>
      <c r="BJ363" s="21">
        <v>1612157</v>
      </c>
      <c r="BK363" s="21">
        <v>1533475</v>
      </c>
      <c r="BL363" s="21">
        <v>1404786</v>
      </c>
      <c r="BM363" s="21">
        <v>1476232</v>
      </c>
    </row>
    <row r="364" spans="1:65" x14ac:dyDescent="0.2">
      <c r="A364" s="21" t="s">
        <v>1413</v>
      </c>
      <c r="B364" s="21" t="s">
        <v>1414</v>
      </c>
      <c r="C364" s="21" t="s">
        <v>1178</v>
      </c>
      <c r="D364" s="21">
        <v>129480</v>
      </c>
      <c r="E364" s="21">
        <v>127537</v>
      </c>
      <c r="F364" s="21">
        <v>130829</v>
      </c>
      <c r="G364" s="21">
        <v>129598</v>
      </c>
      <c r="H364" s="21">
        <v>131257</v>
      </c>
      <c r="I364" s="21">
        <v>135295</v>
      </c>
      <c r="J364" s="21">
        <v>135459</v>
      </c>
      <c r="K364" s="21">
        <v>140034</v>
      </c>
      <c r="L364" s="21">
        <v>149796</v>
      </c>
      <c r="M364" s="21">
        <v>160363</v>
      </c>
      <c r="N364" s="21">
        <v>163905</v>
      </c>
      <c r="O364" s="21">
        <v>156967</v>
      </c>
      <c r="P364" s="21">
        <v>170993</v>
      </c>
      <c r="Q364" s="21">
        <v>176758</v>
      </c>
      <c r="R364" s="21">
        <v>175724</v>
      </c>
      <c r="S364" s="21">
        <v>175351</v>
      </c>
      <c r="T364" s="21">
        <v>180666</v>
      </c>
      <c r="U364" s="21">
        <v>191257</v>
      </c>
      <c r="V364" s="21">
        <v>200028</v>
      </c>
      <c r="W364" s="21">
        <v>205069</v>
      </c>
      <c r="X364" s="21">
        <v>197422</v>
      </c>
      <c r="Y364" s="21">
        <v>199273</v>
      </c>
      <c r="Z364" s="21">
        <v>194713</v>
      </c>
      <c r="AA364" s="21">
        <v>191552</v>
      </c>
      <c r="AB364" s="21">
        <v>193147</v>
      </c>
      <c r="AC364" s="21">
        <v>200566</v>
      </c>
      <c r="AD364" s="21">
        <v>233966</v>
      </c>
      <c r="AE364" s="21">
        <v>234529</v>
      </c>
      <c r="AF364" s="21">
        <v>245351</v>
      </c>
      <c r="AG364" s="21">
        <v>248658</v>
      </c>
      <c r="AH364" s="21">
        <v>245535</v>
      </c>
      <c r="AI364" s="21">
        <v>237759</v>
      </c>
      <c r="AJ364" s="21">
        <v>241160</v>
      </c>
      <c r="AK364" s="21">
        <v>238365</v>
      </c>
      <c r="AL364" s="21">
        <v>239901</v>
      </c>
      <c r="AM364" s="21">
        <v>236242</v>
      </c>
      <c r="AN364" s="21">
        <v>239515</v>
      </c>
      <c r="AO364" s="21">
        <v>241184</v>
      </c>
      <c r="AP364" s="21">
        <v>239539</v>
      </c>
      <c r="AQ364" s="21">
        <v>239520</v>
      </c>
      <c r="AR364" s="21">
        <v>241365</v>
      </c>
      <c r="AS364" s="21">
        <v>244432</v>
      </c>
      <c r="AT364" s="21">
        <v>243517</v>
      </c>
      <c r="AU364" s="21">
        <v>256051</v>
      </c>
      <c r="AV364" s="21">
        <v>257689</v>
      </c>
      <c r="AW364" s="21">
        <v>249514</v>
      </c>
      <c r="AX364" s="21">
        <v>258893</v>
      </c>
      <c r="AY364" s="21">
        <v>254476</v>
      </c>
      <c r="AZ364" s="21">
        <v>245050</v>
      </c>
      <c r="BA364" s="21">
        <v>242503</v>
      </c>
      <c r="BB364" s="21">
        <v>245302</v>
      </c>
      <c r="BC364" s="21">
        <v>247829</v>
      </c>
      <c r="BD364" s="21">
        <v>246803</v>
      </c>
      <c r="BE364" s="21">
        <v>256216</v>
      </c>
      <c r="BF364" s="21">
        <v>252824</v>
      </c>
      <c r="BG364" s="21">
        <v>249171</v>
      </c>
      <c r="BH364" s="21">
        <v>255241</v>
      </c>
      <c r="BI364" s="21">
        <v>251761</v>
      </c>
      <c r="BJ364" s="21">
        <v>256427</v>
      </c>
      <c r="BK364" s="21">
        <v>243912</v>
      </c>
      <c r="BL364" s="21">
        <v>223443</v>
      </c>
      <c r="BM364" s="21">
        <v>234807</v>
      </c>
    </row>
    <row r="365" spans="1:65" x14ac:dyDescent="0.2">
      <c r="A365" s="21" t="s">
        <v>1413</v>
      </c>
      <c r="B365" s="21" t="s">
        <v>1414</v>
      </c>
      <c r="C365" s="21" t="s">
        <v>1179</v>
      </c>
      <c r="D365" s="21">
        <v>0</v>
      </c>
      <c r="E365" s="21">
        <v>0</v>
      </c>
      <c r="F365" s="21">
        <v>0</v>
      </c>
      <c r="G365" s="21">
        <v>0</v>
      </c>
      <c r="H365" s="21">
        <v>144588</v>
      </c>
      <c r="I365" s="21">
        <v>156532</v>
      </c>
      <c r="J365" s="21">
        <v>158810</v>
      </c>
      <c r="K365" s="21">
        <v>132265</v>
      </c>
      <c r="L365" s="21">
        <v>141733</v>
      </c>
      <c r="M365" s="21">
        <v>155330</v>
      </c>
      <c r="N365" s="21">
        <v>164735</v>
      </c>
      <c r="O365" s="21">
        <v>156191</v>
      </c>
      <c r="P365" s="21">
        <v>167233</v>
      </c>
      <c r="Q365" s="21">
        <v>169143</v>
      </c>
      <c r="R365" s="21">
        <v>167810</v>
      </c>
      <c r="S365" s="21">
        <v>144268</v>
      </c>
      <c r="T365" s="21">
        <v>158012</v>
      </c>
      <c r="U365" s="21">
        <v>164756</v>
      </c>
      <c r="V365" s="21">
        <v>198122</v>
      </c>
      <c r="W365" s="21">
        <v>200626</v>
      </c>
      <c r="X365" s="21">
        <v>192906</v>
      </c>
      <c r="Y365" s="21">
        <v>141790</v>
      </c>
      <c r="Z365" s="21">
        <v>132024</v>
      </c>
      <c r="AA365" s="21">
        <v>155126</v>
      </c>
      <c r="AB365" s="21">
        <v>207364</v>
      </c>
      <c r="AC365" s="21">
        <v>159445</v>
      </c>
      <c r="AD365" s="21">
        <v>129878</v>
      </c>
      <c r="AE365" s="21">
        <v>144792</v>
      </c>
      <c r="AF365" s="21">
        <v>114050</v>
      </c>
      <c r="AG365" s="21">
        <v>107311</v>
      </c>
      <c r="AH365" s="21">
        <v>107091</v>
      </c>
      <c r="AI365" s="21">
        <v>87988</v>
      </c>
      <c r="AJ365" s="21">
        <v>104566</v>
      </c>
      <c r="AK365" s="21">
        <v>104582</v>
      </c>
      <c r="AL365" s="21">
        <v>81050</v>
      </c>
      <c r="AM365" s="21">
        <v>70822</v>
      </c>
      <c r="AN365" s="21">
        <v>74543</v>
      </c>
      <c r="AO365" s="21">
        <v>72265</v>
      </c>
      <c r="AP365" s="21">
        <v>107274</v>
      </c>
      <c r="AQ365" s="21">
        <v>145396</v>
      </c>
      <c r="AR365" s="21">
        <v>97377</v>
      </c>
      <c r="AS365" s="21">
        <v>78489</v>
      </c>
      <c r="AT365" s="21">
        <v>102394</v>
      </c>
      <c r="AU365" s="21">
        <v>80483</v>
      </c>
      <c r="AV365" s="21">
        <v>51037</v>
      </c>
      <c r="AW365" s="21">
        <v>62514</v>
      </c>
      <c r="AX365" s="21">
        <v>70050</v>
      </c>
      <c r="AY365" s="21">
        <v>78038</v>
      </c>
      <c r="AZ365" s="21">
        <v>84886</v>
      </c>
      <c r="BA365" s="21">
        <v>46172</v>
      </c>
      <c r="BB365" s="21">
        <v>26104</v>
      </c>
      <c r="BC365" s="21">
        <v>22614</v>
      </c>
      <c r="BD365" s="21">
        <v>14715</v>
      </c>
      <c r="BE365" s="21">
        <v>100016</v>
      </c>
      <c r="BF365" s="21">
        <v>106120</v>
      </c>
      <c r="BG365" s="21">
        <v>99266</v>
      </c>
      <c r="BH365" s="21">
        <v>93577</v>
      </c>
      <c r="BI365" s="21">
        <v>100337</v>
      </c>
      <c r="BJ365" s="21">
        <v>92050</v>
      </c>
      <c r="BK365" s="21">
        <v>95619</v>
      </c>
      <c r="BL365" s="21">
        <v>86550</v>
      </c>
      <c r="BM365" s="21">
        <v>81229</v>
      </c>
    </row>
    <row r="366" spans="1:65" x14ac:dyDescent="0.2">
      <c r="A366" s="21" t="s">
        <v>1413</v>
      </c>
      <c r="B366" s="21" t="s">
        <v>1414</v>
      </c>
      <c r="C366" s="21" t="s">
        <v>1183</v>
      </c>
      <c r="D366" s="21">
        <v>0</v>
      </c>
      <c r="E366" s="21">
        <v>0</v>
      </c>
      <c r="F366" s="21">
        <v>0</v>
      </c>
      <c r="G366" s="21">
        <v>0</v>
      </c>
      <c r="H366" s="21">
        <v>27551</v>
      </c>
      <c r="I366" s="21">
        <v>29827</v>
      </c>
      <c r="J366" s="21">
        <v>30261</v>
      </c>
      <c r="K366" s="21">
        <v>25203</v>
      </c>
      <c r="L366" s="21">
        <v>27007</v>
      </c>
      <c r="M366" s="21">
        <v>29598</v>
      </c>
      <c r="N366" s="21">
        <v>31390</v>
      </c>
      <c r="O366" s="21">
        <v>29762</v>
      </c>
      <c r="P366" s="21">
        <v>31866</v>
      </c>
      <c r="Q366" s="21">
        <v>32230</v>
      </c>
      <c r="R366" s="21">
        <v>31976</v>
      </c>
      <c r="S366" s="21">
        <v>27490</v>
      </c>
      <c r="T366" s="21">
        <v>30109</v>
      </c>
      <c r="U366" s="21">
        <v>31394</v>
      </c>
      <c r="V366" s="21">
        <v>37752</v>
      </c>
      <c r="W366" s="21">
        <v>38229</v>
      </c>
      <c r="X366" s="21">
        <v>36758</v>
      </c>
      <c r="Y366" s="21">
        <v>27018</v>
      </c>
      <c r="Z366" s="21">
        <v>25157</v>
      </c>
      <c r="AA366" s="21">
        <v>29559</v>
      </c>
      <c r="AB366" s="21">
        <v>39513</v>
      </c>
      <c r="AC366" s="21">
        <v>30382</v>
      </c>
      <c r="AD366" s="21">
        <v>24748</v>
      </c>
      <c r="AE366" s="21">
        <v>27590</v>
      </c>
      <c r="AF366" s="21">
        <v>21732</v>
      </c>
      <c r="AG366" s="21">
        <v>20448</v>
      </c>
      <c r="AH366" s="21">
        <v>20406</v>
      </c>
      <c r="AI366" s="21">
        <v>16766</v>
      </c>
      <c r="AJ366" s="21">
        <v>19925</v>
      </c>
      <c r="AK366" s="21">
        <v>19928</v>
      </c>
      <c r="AL366" s="21">
        <v>15444</v>
      </c>
      <c r="AM366" s="21">
        <v>13495</v>
      </c>
      <c r="AN366" s="21">
        <v>14204</v>
      </c>
      <c r="AO366" s="21">
        <v>13770</v>
      </c>
      <c r="AP366" s="21">
        <v>20441</v>
      </c>
      <c r="AQ366" s="21">
        <v>27705</v>
      </c>
      <c r="AR366" s="21">
        <v>18555</v>
      </c>
      <c r="AS366" s="21">
        <v>14956</v>
      </c>
      <c r="AT366" s="21">
        <v>19511</v>
      </c>
      <c r="AU366" s="21">
        <v>15336</v>
      </c>
      <c r="AV366" s="21">
        <v>9725</v>
      </c>
      <c r="AW366" s="21">
        <v>11912</v>
      </c>
      <c r="AX366" s="21">
        <v>13348</v>
      </c>
      <c r="AY366" s="21">
        <v>14870</v>
      </c>
      <c r="AZ366" s="21">
        <v>16175</v>
      </c>
      <c r="BA366" s="21">
        <v>8798</v>
      </c>
      <c r="BB366" s="21">
        <v>4974</v>
      </c>
      <c r="BC366" s="21">
        <v>4309</v>
      </c>
      <c r="BD366" s="21">
        <v>2804</v>
      </c>
      <c r="BE366" s="21">
        <v>19058</v>
      </c>
      <c r="BF366" s="21">
        <v>20221</v>
      </c>
      <c r="BG366" s="21">
        <v>18915</v>
      </c>
      <c r="BH366" s="21">
        <v>17831</v>
      </c>
      <c r="BI366" s="21">
        <v>19119</v>
      </c>
      <c r="BJ366" s="21">
        <v>17540</v>
      </c>
      <c r="BK366" s="21">
        <v>18220</v>
      </c>
      <c r="BL366" s="21">
        <v>16492</v>
      </c>
      <c r="BM366" s="21">
        <v>15478</v>
      </c>
    </row>
    <row r="367" spans="1:65" x14ac:dyDescent="0.2">
      <c r="A367" s="21" t="s">
        <v>1413</v>
      </c>
      <c r="B367" s="21" t="s">
        <v>1414</v>
      </c>
      <c r="C367" s="21" t="s">
        <v>1186</v>
      </c>
      <c r="D367" s="21">
        <v>0</v>
      </c>
      <c r="E367" s="21">
        <v>0</v>
      </c>
      <c r="F367" s="21">
        <v>0</v>
      </c>
      <c r="G367" s="21">
        <v>0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  <c r="W367" s="21">
        <v>0</v>
      </c>
      <c r="X367" s="21">
        <v>0</v>
      </c>
      <c r="Y367" s="21">
        <v>0</v>
      </c>
      <c r="Z367" s="21">
        <v>0</v>
      </c>
      <c r="AA367" s="21">
        <v>0</v>
      </c>
      <c r="AB367" s="21">
        <v>0</v>
      </c>
      <c r="AC367" s="21">
        <v>0</v>
      </c>
      <c r="AD367" s="21">
        <v>0</v>
      </c>
      <c r="AE367" s="21">
        <v>0</v>
      </c>
      <c r="AF367" s="21">
        <v>0</v>
      </c>
      <c r="AG367" s="21">
        <v>148</v>
      </c>
      <c r="AH367" s="21">
        <v>168</v>
      </c>
      <c r="AI367" s="21">
        <v>188</v>
      </c>
      <c r="AJ367" s="21">
        <v>205</v>
      </c>
      <c r="AK367" s="21">
        <v>224</v>
      </c>
      <c r="AL367" s="21">
        <v>251</v>
      </c>
      <c r="AM367" s="21">
        <v>287</v>
      </c>
      <c r="AN367" s="21">
        <v>331</v>
      </c>
      <c r="AO367" s="21">
        <v>366</v>
      </c>
      <c r="AP367" s="21">
        <v>413</v>
      </c>
      <c r="AQ367" s="21">
        <v>482</v>
      </c>
      <c r="AR367" s="21">
        <v>546</v>
      </c>
      <c r="AS367" s="21">
        <v>668</v>
      </c>
      <c r="AT367" s="21">
        <v>780</v>
      </c>
      <c r="AU367" s="21">
        <v>906</v>
      </c>
      <c r="AV367" s="21">
        <v>1111</v>
      </c>
      <c r="AW367" s="21">
        <v>1664</v>
      </c>
      <c r="AX367" s="21">
        <v>2407</v>
      </c>
      <c r="AY367" s="21">
        <v>3386</v>
      </c>
      <c r="AZ367" s="21">
        <v>5426</v>
      </c>
      <c r="BA367" s="21">
        <v>7223</v>
      </c>
      <c r="BB367" s="21">
        <v>11073</v>
      </c>
      <c r="BC367" s="21">
        <v>18743</v>
      </c>
      <c r="BD367" s="21">
        <v>30541</v>
      </c>
      <c r="BE367" s="21">
        <v>41983</v>
      </c>
      <c r="BF367" s="21">
        <v>52454</v>
      </c>
      <c r="BG367" s="21">
        <v>56868</v>
      </c>
      <c r="BH367" s="21">
        <v>61708</v>
      </c>
      <c r="BI367" s="21">
        <v>75559</v>
      </c>
      <c r="BJ367" s="21">
        <v>93924</v>
      </c>
      <c r="BK367" s="21">
        <v>103126</v>
      </c>
      <c r="BL367" s="21">
        <v>117875</v>
      </c>
      <c r="BM367" s="21">
        <v>139049</v>
      </c>
    </row>
    <row r="368" spans="1:65" x14ac:dyDescent="0.2">
      <c r="A368" s="21" t="s">
        <v>1413</v>
      </c>
      <c r="B368" s="21" t="s">
        <v>1414</v>
      </c>
      <c r="C368" s="21" t="s">
        <v>1188</v>
      </c>
      <c r="D368" s="21">
        <v>0</v>
      </c>
      <c r="E368" s="21">
        <v>0</v>
      </c>
      <c r="F368" s="21">
        <v>0</v>
      </c>
      <c r="G368" s="21">
        <v>0</v>
      </c>
      <c r="H368" s="21">
        <v>0</v>
      </c>
      <c r="I368" s="21">
        <v>0</v>
      </c>
      <c r="J368" s="21">
        <v>0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0</v>
      </c>
      <c r="T368" s="21">
        <v>0</v>
      </c>
      <c r="U368" s="21">
        <v>0</v>
      </c>
      <c r="V368" s="21">
        <v>0</v>
      </c>
      <c r="W368" s="21">
        <v>0</v>
      </c>
      <c r="X368" s="21">
        <v>0</v>
      </c>
      <c r="Y368" s="21">
        <v>0</v>
      </c>
      <c r="Z368" s="21">
        <v>0</v>
      </c>
      <c r="AA368" s="21">
        <v>0</v>
      </c>
      <c r="AB368" s="21">
        <v>0</v>
      </c>
      <c r="AC368" s="21">
        <v>0</v>
      </c>
      <c r="AD368" s="21">
        <v>0</v>
      </c>
      <c r="AE368" s="21">
        <v>0</v>
      </c>
      <c r="AF368" s="21">
        <v>0</v>
      </c>
      <c r="AG368" s="21">
        <v>14</v>
      </c>
      <c r="AH368" s="21">
        <v>16</v>
      </c>
      <c r="AI368" s="21">
        <v>18</v>
      </c>
      <c r="AJ368" s="21">
        <v>20</v>
      </c>
      <c r="AK368" s="21">
        <v>22</v>
      </c>
      <c r="AL368" s="21">
        <v>24</v>
      </c>
      <c r="AM368" s="21">
        <v>28</v>
      </c>
      <c r="AN368" s="21">
        <v>32</v>
      </c>
      <c r="AO368" s="21">
        <v>36</v>
      </c>
      <c r="AP368" s="21">
        <v>41</v>
      </c>
      <c r="AQ368" s="21">
        <v>47</v>
      </c>
      <c r="AR368" s="21">
        <v>53</v>
      </c>
      <c r="AS368" s="21">
        <v>65</v>
      </c>
      <c r="AT368" s="21">
        <v>77</v>
      </c>
      <c r="AU368" s="21">
        <v>90</v>
      </c>
      <c r="AV368" s="21">
        <v>111</v>
      </c>
      <c r="AW368" s="21">
        <v>166</v>
      </c>
      <c r="AX368" s="21">
        <v>243</v>
      </c>
      <c r="AY368" s="21">
        <v>343</v>
      </c>
      <c r="AZ368" s="21">
        <v>551</v>
      </c>
      <c r="BA368" s="21">
        <v>740</v>
      </c>
      <c r="BB368" s="21">
        <v>1135</v>
      </c>
      <c r="BC368" s="21">
        <v>1929</v>
      </c>
      <c r="BD368" s="21">
        <v>3209</v>
      </c>
      <c r="BE368" s="21">
        <v>4400</v>
      </c>
      <c r="BF368" s="21">
        <v>5516</v>
      </c>
      <c r="BG368" s="21">
        <v>6106</v>
      </c>
      <c r="BH368" s="21">
        <v>6687</v>
      </c>
      <c r="BI368" s="21">
        <v>8206</v>
      </c>
      <c r="BJ368" s="21">
        <v>10324</v>
      </c>
      <c r="BK368" s="21">
        <v>11588</v>
      </c>
      <c r="BL368" s="21">
        <v>13445</v>
      </c>
      <c r="BM368" s="21">
        <v>15722</v>
      </c>
    </row>
    <row r="369" spans="1:65" x14ac:dyDescent="0.2">
      <c r="A369" s="21" t="s">
        <v>1413</v>
      </c>
      <c r="B369" s="21" t="s">
        <v>1414</v>
      </c>
      <c r="C369" s="21" t="s">
        <v>1190</v>
      </c>
      <c r="D369" s="21">
        <v>0</v>
      </c>
      <c r="E369" s="21">
        <v>0</v>
      </c>
      <c r="F369" s="21">
        <v>0</v>
      </c>
      <c r="G369" s="21">
        <v>0</v>
      </c>
      <c r="H369" s="21">
        <v>0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0</v>
      </c>
      <c r="T369" s="21">
        <v>0</v>
      </c>
      <c r="U369" s="21">
        <v>0</v>
      </c>
      <c r="V369" s="21">
        <v>0</v>
      </c>
      <c r="W369" s="21">
        <v>0</v>
      </c>
      <c r="X369" s="21">
        <v>0</v>
      </c>
      <c r="Y369" s="21">
        <v>0</v>
      </c>
      <c r="Z369" s="21">
        <v>0</v>
      </c>
      <c r="AA369" s="21">
        <v>0</v>
      </c>
      <c r="AB369" s="21">
        <v>55</v>
      </c>
      <c r="AC369" s="21">
        <v>111</v>
      </c>
      <c r="AD369" s="21">
        <v>147</v>
      </c>
      <c r="AE369" s="21">
        <v>109</v>
      </c>
      <c r="AF369" s="21">
        <v>94</v>
      </c>
      <c r="AG369" s="21">
        <v>2614</v>
      </c>
      <c r="AH369" s="21">
        <v>3818</v>
      </c>
      <c r="AI369" s="21">
        <v>4923</v>
      </c>
      <c r="AJ369" s="21">
        <v>4133</v>
      </c>
      <c r="AK369" s="21">
        <v>4767</v>
      </c>
      <c r="AL369" s="21">
        <v>5020</v>
      </c>
      <c r="AM369" s="21">
        <v>5123</v>
      </c>
      <c r="AN369" s="21">
        <v>5389</v>
      </c>
      <c r="AO369" s="21">
        <v>5221</v>
      </c>
      <c r="AP369" s="21">
        <v>5124</v>
      </c>
      <c r="AQ369" s="21">
        <v>5063</v>
      </c>
      <c r="AR369" s="21">
        <v>5033</v>
      </c>
      <c r="AS369" s="21">
        <v>5608</v>
      </c>
      <c r="AT369" s="21">
        <v>5644</v>
      </c>
      <c r="AU369" s="21">
        <v>5407</v>
      </c>
      <c r="AV369" s="21">
        <v>5761</v>
      </c>
      <c r="AW369" s="21">
        <v>5502</v>
      </c>
      <c r="AX369" s="21">
        <v>5036</v>
      </c>
      <c r="AY369" s="21">
        <v>6047</v>
      </c>
      <c r="AZ369" s="21">
        <v>8516</v>
      </c>
      <c r="BA369" s="21">
        <v>8697</v>
      </c>
      <c r="BB369" s="21">
        <v>11762</v>
      </c>
      <c r="BC369" s="21">
        <v>16782</v>
      </c>
      <c r="BD369" s="21">
        <v>39625</v>
      </c>
      <c r="BE369" s="21">
        <v>83240</v>
      </c>
      <c r="BF369" s="21">
        <v>164545</v>
      </c>
      <c r="BG369" s="21">
        <v>227779</v>
      </c>
      <c r="BH369" s="21">
        <v>327570</v>
      </c>
      <c r="BI369" s="21">
        <v>485478</v>
      </c>
      <c r="BJ369" s="21">
        <v>575474</v>
      </c>
      <c r="BK369" s="21">
        <v>634185</v>
      </c>
      <c r="BL369" s="21">
        <v>775980</v>
      </c>
      <c r="BM369" s="21">
        <v>1012844</v>
      </c>
    </row>
    <row r="370" spans="1:65" x14ac:dyDescent="0.2">
      <c r="A370" s="21" t="s">
        <v>1413</v>
      </c>
      <c r="B370" s="21" t="s">
        <v>1414</v>
      </c>
      <c r="C370" s="21" t="s">
        <v>1192</v>
      </c>
      <c r="D370" s="21">
        <v>0</v>
      </c>
      <c r="E370" s="21">
        <v>0</v>
      </c>
      <c r="F370" s="21">
        <v>0</v>
      </c>
      <c r="G370" s="21">
        <v>0</v>
      </c>
      <c r="H370" s="21">
        <v>0</v>
      </c>
      <c r="I370" s="21">
        <v>0</v>
      </c>
      <c r="J370" s="21">
        <v>0</v>
      </c>
      <c r="K370" s="21">
        <v>0</v>
      </c>
      <c r="L370" s="21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0</v>
      </c>
      <c r="T370" s="21">
        <v>0</v>
      </c>
      <c r="U370" s="21">
        <v>0</v>
      </c>
      <c r="V370" s="21">
        <v>0</v>
      </c>
      <c r="W370" s="21">
        <v>0</v>
      </c>
      <c r="X370" s="21">
        <v>0</v>
      </c>
      <c r="Y370" s="21">
        <v>0</v>
      </c>
      <c r="Z370" s="21">
        <v>0</v>
      </c>
      <c r="AA370" s="21">
        <v>0</v>
      </c>
      <c r="AB370" s="21">
        <v>5</v>
      </c>
      <c r="AC370" s="21">
        <v>11</v>
      </c>
      <c r="AD370" s="21">
        <v>14</v>
      </c>
      <c r="AE370" s="21">
        <v>10</v>
      </c>
      <c r="AF370" s="21">
        <v>9</v>
      </c>
      <c r="AG370" s="21">
        <v>251</v>
      </c>
      <c r="AH370" s="21">
        <v>367</v>
      </c>
      <c r="AI370" s="21">
        <v>472</v>
      </c>
      <c r="AJ370" s="21">
        <v>400</v>
      </c>
      <c r="AK370" s="21">
        <v>462</v>
      </c>
      <c r="AL370" s="21">
        <v>487</v>
      </c>
      <c r="AM370" s="21">
        <v>497</v>
      </c>
      <c r="AN370" s="21">
        <v>521</v>
      </c>
      <c r="AO370" s="21">
        <v>511</v>
      </c>
      <c r="AP370" s="21">
        <v>502</v>
      </c>
      <c r="AQ370" s="21">
        <v>495</v>
      </c>
      <c r="AR370" s="21">
        <v>493</v>
      </c>
      <c r="AS370" s="21">
        <v>543</v>
      </c>
      <c r="AT370" s="21">
        <v>555</v>
      </c>
      <c r="AU370" s="21">
        <v>534</v>
      </c>
      <c r="AV370" s="21">
        <v>575</v>
      </c>
      <c r="AW370" s="21">
        <v>550</v>
      </c>
      <c r="AX370" s="21">
        <v>508</v>
      </c>
      <c r="AY370" s="21">
        <v>612</v>
      </c>
      <c r="AZ370" s="21">
        <v>864</v>
      </c>
      <c r="BA370" s="21">
        <v>891</v>
      </c>
      <c r="BB370" s="21">
        <v>1206</v>
      </c>
      <c r="BC370" s="21">
        <v>1727</v>
      </c>
      <c r="BD370" s="21">
        <v>4164</v>
      </c>
      <c r="BE370" s="21">
        <v>8724</v>
      </c>
      <c r="BF370" s="21">
        <v>17304</v>
      </c>
      <c r="BG370" s="21">
        <v>24456</v>
      </c>
      <c r="BH370" s="21">
        <v>35497</v>
      </c>
      <c r="BI370" s="21">
        <v>52724</v>
      </c>
      <c r="BJ370" s="21">
        <v>63253</v>
      </c>
      <c r="BK370" s="21">
        <v>71265</v>
      </c>
      <c r="BL370" s="21">
        <v>88511</v>
      </c>
      <c r="BM370" s="21">
        <v>114523</v>
      </c>
    </row>
    <row r="371" spans="1:65" x14ac:dyDescent="0.2">
      <c r="A371" s="21" t="s">
        <v>1413</v>
      </c>
      <c r="B371" s="21" t="s">
        <v>1414</v>
      </c>
      <c r="C371" s="21" t="s">
        <v>1194</v>
      </c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>
        <v>536</v>
      </c>
      <c r="BA371" s="21">
        <v>619</v>
      </c>
      <c r="BB371" s="21">
        <v>866</v>
      </c>
      <c r="BC371" s="21">
        <v>1524</v>
      </c>
      <c r="BD371" s="21">
        <v>3170</v>
      </c>
      <c r="BE371" s="21">
        <v>6623</v>
      </c>
      <c r="BF371" s="21">
        <v>10323</v>
      </c>
      <c r="BG371" s="21">
        <v>13663</v>
      </c>
      <c r="BH371" s="21">
        <v>21951</v>
      </c>
      <c r="BI371" s="21">
        <v>26967</v>
      </c>
      <c r="BJ371" s="21">
        <v>31878</v>
      </c>
      <c r="BK371" s="21">
        <v>37468</v>
      </c>
      <c r="BL371" s="21">
        <v>48054</v>
      </c>
      <c r="BM371" s="21">
        <v>61550</v>
      </c>
    </row>
    <row r="372" spans="1:65" x14ac:dyDescent="0.2">
      <c r="A372" s="21" t="s">
        <v>1413</v>
      </c>
      <c r="B372" s="21" t="s">
        <v>1414</v>
      </c>
      <c r="C372" s="21" t="s">
        <v>1196</v>
      </c>
      <c r="D372" s="21">
        <v>0</v>
      </c>
      <c r="E372" s="21">
        <v>0</v>
      </c>
      <c r="F372" s="21">
        <v>0</v>
      </c>
      <c r="G372" s="21">
        <v>0</v>
      </c>
      <c r="H372" s="21">
        <v>0</v>
      </c>
      <c r="I372" s="21">
        <v>0</v>
      </c>
      <c r="J372" s="21">
        <v>0</v>
      </c>
      <c r="K372" s="21">
        <v>0</v>
      </c>
      <c r="L372" s="21">
        <v>0</v>
      </c>
      <c r="M372" s="21">
        <v>0</v>
      </c>
      <c r="N372" s="21">
        <v>0</v>
      </c>
      <c r="O372" s="21">
        <v>0</v>
      </c>
      <c r="P372" s="21">
        <v>0</v>
      </c>
      <c r="Q372" s="21">
        <v>0</v>
      </c>
      <c r="R372" s="21">
        <v>0</v>
      </c>
      <c r="S372" s="21">
        <v>0</v>
      </c>
      <c r="T372" s="21">
        <v>0</v>
      </c>
      <c r="U372" s="21">
        <v>0</v>
      </c>
      <c r="V372" s="21">
        <v>0</v>
      </c>
      <c r="W372" s="21">
        <v>0</v>
      </c>
      <c r="X372" s="21">
        <v>0</v>
      </c>
      <c r="Y372" s="21">
        <v>0</v>
      </c>
      <c r="Z372" s="21">
        <v>0</v>
      </c>
      <c r="AA372" s="21">
        <v>0</v>
      </c>
      <c r="AB372" s="21">
        <v>0</v>
      </c>
      <c r="AC372" s="21">
        <v>0</v>
      </c>
      <c r="AD372" s="21">
        <v>0</v>
      </c>
      <c r="AE372" s="21">
        <v>0</v>
      </c>
      <c r="AF372" s="21">
        <v>0</v>
      </c>
      <c r="AG372" s="21">
        <v>33</v>
      </c>
      <c r="AH372" s="21">
        <v>37</v>
      </c>
      <c r="AI372" s="21">
        <v>42</v>
      </c>
      <c r="AJ372" s="21">
        <v>45</v>
      </c>
      <c r="AK372" s="21">
        <v>50</v>
      </c>
      <c r="AL372" s="21">
        <v>56</v>
      </c>
      <c r="AM372" s="21">
        <v>64</v>
      </c>
      <c r="AN372" s="21">
        <v>73</v>
      </c>
      <c r="AO372" s="21">
        <v>81</v>
      </c>
      <c r="AP372" s="21">
        <v>92</v>
      </c>
      <c r="AQ372" s="21">
        <v>107</v>
      </c>
      <c r="AR372" s="21">
        <v>121</v>
      </c>
      <c r="AS372" s="21">
        <v>148</v>
      </c>
      <c r="AT372" s="21">
        <v>173</v>
      </c>
      <c r="AU372" s="21">
        <v>201</v>
      </c>
      <c r="AV372" s="21">
        <v>246</v>
      </c>
      <c r="AW372" s="21">
        <v>368</v>
      </c>
      <c r="AX372" s="21">
        <v>533</v>
      </c>
      <c r="AY372" s="21">
        <v>750</v>
      </c>
      <c r="AZ372" s="21">
        <v>1201</v>
      </c>
      <c r="BA372" s="21">
        <v>1599</v>
      </c>
      <c r="BB372" s="21">
        <v>2459</v>
      </c>
      <c r="BC372" s="21">
        <v>4035</v>
      </c>
      <c r="BD372" s="21">
        <v>6585</v>
      </c>
      <c r="BE372" s="21">
        <v>8840</v>
      </c>
      <c r="BF372" s="21">
        <v>10991</v>
      </c>
      <c r="BG372" s="21">
        <v>13714</v>
      </c>
      <c r="BH372" s="21">
        <v>19260</v>
      </c>
      <c r="BI372" s="21">
        <v>22156</v>
      </c>
      <c r="BJ372" s="21">
        <v>24413</v>
      </c>
      <c r="BK372" s="21">
        <v>27824</v>
      </c>
      <c r="BL372" s="21">
        <v>31435</v>
      </c>
      <c r="BM372" s="21">
        <v>35327</v>
      </c>
    </row>
    <row r="373" spans="1:65" x14ac:dyDescent="0.2">
      <c r="A373" s="21" t="s">
        <v>1413</v>
      </c>
      <c r="B373" s="21" t="s">
        <v>1414</v>
      </c>
      <c r="C373" s="21" t="s">
        <v>1198</v>
      </c>
      <c r="D373" s="21">
        <v>0</v>
      </c>
      <c r="E373" s="21">
        <v>0</v>
      </c>
      <c r="F373" s="21">
        <v>0</v>
      </c>
      <c r="G373" s="21">
        <v>0</v>
      </c>
      <c r="H373" s="21">
        <v>0</v>
      </c>
      <c r="I373" s="21">
        <v>0</v>
      </c>
      <c r="J373" s="21">
        <v>0</v>
      </c>
      <c r="K373" s="21">
        <v>0</v>
      </c>
      <c r="L373" s="21">
        <v>0</v>
      </c>
      <c r="M373" s="21">
        <v>0</v>
      </c>
      <c r="N373" s="21">
        <v>0</v>
      </c>
      <c r="O373" s="21">
        <v>0</v>
      </c>
      <c r="P373" s="21">
        <v>0</v>
      </c>
      <c r="Q373" s="21">
        <v>0</v>
      </c>
      <c r="R373" s="21">
        <v>0</v>
      </c>
      <c r="S373" s="21">
        <v>0</v>
      </c>
      <c r="T373" s="21">
        <v>0</v>
      </c>
      <c r="U373" s="21">
        <v>0</v>
      </c>
      <c r="V373" s="21">
        <v>0</v>
      </c>
      <c r="W373" s="21">
        <v>0</v>
      </c>
      <c r="X373" s="21">
        <v>0</v>
      </c>
      <c r="Y373" s="21">
        <v>0</v>
      </c>
      <c r="Z373" s="21">
        <v>0</v>
      </c>
      <c r="AA373" s="21">
        <v>0</v>
      </c>
      <c r="AB373" s="21">
        <v>0</v>
      </c>
      <c r="AC373" s="21">
        <v>0</v>
      </c>
      <c r="AD373" s="21">
        <v>0</v>
      </c>
      <c r="AE373" s="21">
        <v>0</v>
      </c>
      <c r="AF373" s="21">
        <v>0</v>
      </c>
      <c r="AG373" s="21">
        <v>3</v>
      </c>
      <c r="AH373" s="21">
        <v>4</v>
      </c>
      <c r="AI373" s="21">
        <v>4</v>
      </c>
      <c r="AJ373" s="21">
        <v>4</v>
      </c>
      <c r="AK373" s="21">
        <v>5</v>
      </c>
      <c r="AL373" s="21">
        <v>5</v>
      </c>
      <c r="AM373" s="21">
        <v>6</v>
      </c>
      <c r="AN373" s="21">
        <v>7</v>
      </c>
      <c r="AO373" s="21">
        <v>8</v>
      </c>
      <c r="AP373" s="21">
        <v>9</v>
      </c>
      <c r="AQ373" s="21">
        <v>10</v>
      </c>
      <c r="AR373" s="21">
        <v>12</v>
      </c>
      <c r="AS373" s="21">
        <v>14</v>
      </c>
      <c r="AT373" s="21">
        <v>17</v>
      </c>
      <c r="AU373" s="21">
        <v>20</v>
      </c>
      <c r="AV373" s="21">
        <v>25</v>
      </c>
      <c r="AW373" s="21">
        <v>37</v>
      </c>
      <c r="AX373" s="21">
        <v>54</v>
      </c>
      <c r="AY373" s="21">
        <v>76</v>
      </c>
      <c r="AZ373" s="21">
        <v>122</v>
      </c>
      <c r="BA373" s="21">
        <v>164</v>
      </c>
      <c r="BB373" s="21">
        <v>252</v>
      </c>
      <c r="BC373" s="21">
        <v>415</v>
      </c>
      <c r="BD373" s="21">
        <v>692</v>
      </c>
      <c r="BE373" s="21">
        <v>927</v>
      </c>
      <c r="BF373" s="21">
        <v>1156</v>
      </c>
      <c r="BG373" s="21">
        <v>1472</v>
      </c>
      <c r="BH373" s="21">
        <v>2087</v>
      </c>
      <c r="BI373" s="21">
        <v>2406</v>
      </c>
      <c r="BJ373" s="21">
        <v>2683</v>
      </c>
      <c r="BK373" s="21">
        <v>3127</v>
      </c>
      <c r="BL373" s="21">
        <v>3586</v>
      </c>
      <c r="BM373" s="21">
        <v>3994</v>
      </c>
    </row>
    <row r="374" spans="1:65" x14ac:dyDescent="0.2">
      <c r="A374" s="21" t="s">
        <v>1413</v>
      </c>
      <c r="B374" s="21" t="s">
        <v>1414</v>
      </c>
      <c r="C374" s="21" t="s">
        <v>1200</v>
      </c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>
        <v>10</v>
      </c>
      <c r="AH374" s="21">
        <v>12</v>
      </c>
      <c r="AI374" s="21">
        <v>13</v>
      </c>
      <c r="AJ374" s="21">
        <v>14</v>
      </c>
      <c r="AK374" s="21">
        <v>16</v>
      </c>
      <c r="AL374" s="21">
        <v>18</v>
      </c>
      <c r="AM374" s="21">
        <v>20</v>
      </c>
      <c r="AN374" s="21">
        <v>23</v>
      </c>
      <c r="AO374" s="21">
        <v>26</v>
      </c>
      <c r="AP374" s="21">
        <v>30</v>
      </c>
      <c r="AQ374" s="21">
        <v>34</v>
      </c>
      <c r="AR374" s="21">
        <v>39</v>
      </c>
      <c r="AS374" s="21">
        <v>47</v>
      </c>
      <c r="AT374" s="21">
        <v>56</v>
      </c>
      <c r="AU374" s="21">
        <v>65</v>
      </c>
      <c r="AV374" s="21">
        <v>81</v>
      </c>
      <c r="AW374" s="21">
        <v>121</v>
      </c>
      <c r="AX374" s="21">
        <v>177</v>
      </c>
      <c r="AY374" s="21">
        <v>250</v>
      </c>
      <c r="AZ374" s="21">
        <v>401</v>
      </c>
      <c r="BA374" s="21">
        <v>539</v>
      </c>
      <c r="BB374" s="21">
        <v>899</v>
      </c>
      <c r="BC374" s="21">
        <v>1358</v>
      </c>
      <c r="BD374" s="21">
        <v>2058</v>
      </c>
      <c r="BE374" s="21">
        <v>3217</v>
      </c>
      <c r="BF374" s="21">
        <v>4947</v>
      </c>
      <c r="BG374" s="21">
        <v>6999</v>
      </c>
      <c r="BH374" s="21">
        <v>10595</v>
      </c>
      <c r="BI374" s="21">
        <v>13942</v>
      </c>
      <c r="BJ374" s="21">
        <v>17105</v>
      </c>
      <c r="BK374" s="21">
        <v>20914</v>
      </c>
      <c r="BL374" s="21">
        <v>25179</v>
      </c>
      <c r="BM374" s="21">
        <v>30182</v>
      </c>
    </row>
    <row r="375" spans="1:65" x14ac:dyDescent="0.2">
      <c r="A375" s="21" t="s">
        <v>1413</v>
      </c>
      <c r="B375" s="21" t="s">
        <v>1414</v>
      </c>
      <c r="C375" s="21" t="s">
        <v>1202</v>
      </c>
      <c r="D375" s="21">
        <v>0</v>
      </c>
      <c r="E375" s="21">
        <v>0</v>
      </c>
      <c r="F375" s="21">
        <v>0</v>
      </c>
      <c r="G375" s="21">
        <v>0</v>
      </c>
      <c r="H375" s="21">
        <v>0</v>
      </c>
      <c r="I375" s="21">
        <v>0</v>
      </c>
      <c r="J375" s="21">
        <v>0</v>
      </c>
      <c r="K375" s="21">
        <v>0</v>
      </c>
      <c r="L375" s="21">
        <v>0</v>
      </c>
      <c r="M375" s="21">
        <v>0</v>
      </c>
      <c r="N375" s="21">
        <v>0</v>
      </c>
      <c r="O375" s="21">
        <v>0</v>
      </c>
      <c r="P375" s="21">
        <v>0</v>
      </c>
      <c r="Q375" s="21">
        <v>0</v>
      </c>
      <c r="R375" s="21">
        <v>0</v>
      </c>
      <c r="S375" s="21">
        <v>0</v>
      </c>
      <c r="T375" s="21">
        <v>0</v>
      </c>
      <c r="U375" s="21">
        <v>0</v>
      </c>
      <c r="V375" s="21">
        <v>0</v>
      </c>
      <c r="W375" s="21">
        <v>0</v>
      </c>
      <c r="X375" s="21">
        <v>0</v>
      </c>
      <c r="Y375" s="21">
        <v>0</v>
      </c>
      <c r="Z375" s="21">
        <v>0</v>
      </c>
      <c r="AA375" s="21">
        <v>0</v>
      </c>
      <c r="AB375" s="21">
        <v>0</v>
      </c>
      <c r="AC375" s="21">
        <v>0</v>
      </c>
      <c r="AD375" s="21">
        <v>0</v>
      </c>
      <c r="AE375" s="21">
        <v>0</v>
      </c>
      <c r="AF375" s="21">
        <v>0</v>
      </c>
      <c r="AG375" s="21">
        <v>51654</v>
      </c>
      <c r="AH375" s="21">
        <v>54724</v>
      </c>
      <c r="AI375" s="21">
        <v>56448</v>
      </c>
      <c r="AJ375" s="21">
        <v>58473</v>
      </c>
      <c r="AK375" s="21">
        <v>60122</v>
      </c>
      <c r="AL375" s="21">
        <v>61770</v>
      </c>
      <c r="AM375" s="21">
        <v>62725</v>
      </c>
      <c r="AN375" s="21">
        <v>63302</v>
      </c>
      <c r="AO375" s="21">
        <v>62456</v>
      </c>
      <c r="AP375" s="21">
        <v>61772</v>
      </c>
      <c r="AQ375" s="21">
        <v>60358</v>
      </c>
      <c r="AR375" s="21">
        <v>57707</v>
      </c>
      <c r="AS375" s="21">
        <v>55172</v>
      </c>
      <c r="AT375" s="21">
        <v>53293</v>
      </c>
      <c r="AU375" s="21">
        <v>51813</v>
      </c>
      <c r="AV375" s="21">
        <v>51130</v>
      </c>
      <c r="AW375" s="21">
        <v>50167</v>
      </c>
      <c r="AX375" s="21">
        <v>52501</v>
      </c>
      <c r="AY375" s="21">
        <v>55046</v>
      </c>
      <c r="AZ375" s="21">
        <v>58435</v>
      </c>
      <c r="BA375" s="21">
        <v>59822</v>
      </c>
      <c r="BB375" s="21">
        <v>64713</v>
      </c>
      <c r="BC375" s="21">
        <v>70793</v>
      </c>
      <c r="BD375" s="21">
        <v>78839</v>
      </c>
      <c r="BE375" s="21">
        <v>91422</v>
      </c>
      <c r="BF375" s="21">
        <v>109408</v>
      </c>
      <c r="BG375" s="21">
        <v>128181</v>
      </c>
      <c r="BH375" s="21">
        <v>161454</v>
      </c>
      <c r="BI375" s="21">
        <v>193328</v>
      </c>
      <c r="BJ375" s="21">
        <v>220695</v>
      </c>
      <c r="BK375" s="21">
        <v>251141</v>
      </c>
      <c r="BL375" s="21">
        <v>286037</v>
      </c>
      <c r="BM375" s="21">
        <v>332785</v>
      </c>
    </row>
    <row r="376" spans="1:65" x14ac:dyDescent="0.2">
      <c r="A376" s="21" t="s">
        <v>1413</v>
      </c>
      <c r="B376" s="21" t="s">
        <v>1414</v>
      </c>
      <c r="C376" s="21" t="s">
        <v>1204</v>
      </c>
      <c r="D376" s="21">
        <v>0</v>
      </c>
      <c r="E376" s="21">
        <v>0</v>
      </c>
      <c r="F376" s="21">
        <v>0</v>
      </c>
      <c r="G376" s="21">
        <v>0</v>
      </c>
      <c r="H376" s="21">
        <v>0</v>
      </c>
      <c r="I376" s="21">
        <v>0</v>
      </c>
      <c r="J376" s="21">
        <v>0</v>
      </c>
      <c r="K376" s="21">
        <v>0</v>
      </c>
      <c r="L376" s="21">
        <v>0</v>
      </c>
      <c r="M376" s="21">
        <v>0</v>
      </c>
      <c r="N376" s="21">
        <v>0</v>
      </c>
      <c r="O376" s="21">
        <v>0</v>
      </c>
      <c r="P376" s="21">
        <v>0</v>
      </c>
      <c r="Q376" s="21">
        <v>0</v>
      </c>
      <c r="R376" s="21">
        <v>0</v>
      </c>
      <c r="S376" s="21">
        <v>0</v>
      </c>
      <c r="T376" s="21">
        <v>0</v>
      </c>
      <c r="U376" s="21">
        <v>0</v>
      </c>
      <c r="V376" s="21">
        <v>0</v>
      </c>
      <c r="W376" s="21">
        <v>0</v>
      </c>
      <c r="X376" s="21">
        <v>0</v>
      </c>
      <c r="Y376" s="21">
        <v>0</v>
      </c>
      <c r="Z376" s="21">
        <v>0</v>
      </c>
      <c r="AA376" s="21">
        <v>0</v>
      </c>
      <c r="AB376" s="21">
        <v>55</v>
      </c>
      <c r="AC376" s="21">
        <v>111</v>
      </c>
      <c r="AD376" s="21">
        <v>147</v>
      </c>
      <c r="AE376" s="21">
        <v>109</v>
      </c>
      <c r="AF376" s="21">
        <v>94</v>
      </c>
      <c r="AG376" s="21">
        <v>54449</v>
      </c>
      <c r="AH376" s="21">
        <v>58748</v>
      </c>
      <c r="AI376" s="21">
        <v>61601</v>
      </c>
      <c r="AJ376" s="21">
        <v>62856</v>
      </c>
      <c r="AK376" s="21">
        <v>65164</v>
      </c>
      <c r="AL376" s="21">
        <v>67097</v>
      </c>
      <c r="AM376" s="21">
        <v>68199</v>
      </c>
      <c r="AN376" s="21">
        <v>69095</v>
      </c>
      <c r="AO376" s="21">
        <v>68124</v>
      </c>
      <c r="AP376" s="21">
        <v>67401</v>
      </c>
      <c r="AQ376" s="21">
        <v>66010</v>
      </c>
      <c r="AR376" s="21">
        <v>63406</v>
      </c>
      <c r="AS376" s="21">
        <v>61597</v>
      </c>
      <c r="AT376" s="21">
        <v>59890</v>
      </c>
      <c r="AU376" s="21">
        <v>58327</v>
      </c>
      <c r="AV376" s="21">
        <v>58247</v>
      </c>
      <c r="AW376" s="21">
        <v>57701</v>
      </c>
      <c r="AX376" s="21">
        <v>60477</v>
      </c>
      <c r="AY376" s="21">
        <v>65229</v>
      </c>
      <c r="AZ376" s="21">
        <v>73579</v>
      </c>
      <c r="BA376" s="21">
        <v>77341</v>
      </c>
      <c r="BB376" s="21">
        <v>90007</v>
      </c>
      <c r="BC376" s="21">
        <v>110354</v>
      </c>
      <c r="BD376" s="21">
        <v>155590</v>
      </c>
      <c r="BE376" s="21">
        <v>225486</v>
      </c>
      <c r="BF376" s="21">
        <v>337397</v>
      </c>
      <c r="BG376" s="21">
        <v>426543</v>
      </c>
      <c r="BH376" s="21">
        <v>569992</v>
      </c>
      <c r="BI376" s="21">
        <v>776521</v>
      </c>
      <c r="BJ376" s="21">
        <v>914505</v>
      </c>
      <c r="BK376" s="21">
        <v>1016276</v>
      </c>
      <c r="BL376" s="21">
        <v>1211326</v>
      </c>
      <c r="BM376" s="21">
        <v>1520005</v>
      </c>
    </row>
    <row r="377" spans="1:65" x14ac:dyDescent="0.2">
      <c r="A377" s="21" t="s">
        <v>1413</v>
      </c>
      <c r="B377" s="21" t="s">
        <v>1414</v>
      </c>
      <c r="C377" s="21" t="s">
        <v>1206</v>
      </c>
      <c r="D377" s="21">
        <v>0</v>
      </c>
      <c r="E377" s="21">
        <v>0</v>
      </c>
      <c r="F377" s="21">
        <v>0</v>
      </c>
      <c r="G377" s="21">
        <v>0</v>
      </c>
      <c r="H377" s="21">
        <v>0</v>
      </c>
      <c r="I377" s="21">
        <v>0</v>
      </c>
      <c r="J377" s="21">
        <v>0</v>
      </c>
      <c r="K377" s="21">
        <v>0</v>
      </c>
      <c r="L377" s="21">
        <v>0</v>
      </c>
      <c r="M377" s="21">
        <v>0</v>
      </c>
      <c r="N377" s="21">
        <v>0</v>
      </c>
      <c r="O377" s="21">
        <v>0</v>
      </c>
      <c r="P377" s="21">
        <v>0</v>
      </c>
      <c r="Q377" s="21">
        <v>0</v>
      </c>
      <c r="R377" s="21">
        <v>0</v>
      </c>
      <c r="S377" s="21">
        <v>0</v>
      </c>
      <c r="T377" s="21">
        <v>0</v>
      </c>
      <c r="U377" s="21">
        <v>0</v>
      </c>
      <c r="V377" s="21">
        <v>0</v>
      </c>
      <c r="W377" s="21">
        <v>0</v>
      </c>
      <c r="X377" s="21">
        <v>0</v>
      </c>
      <c r="Y377" s="21">
        <v>0</v>
      </c>
      <c r="Z377" s="21">
        <v>0</v>
      </c>
      <c r="AA377" s="21">
        <v>0</v>
      </c>
      <c r="AB377" s="21">
        <v>5</v>
      </c>
      <c r="AC377" s="21">
        <v>11</v>
      </c>
      <c r="AD377" s="21">
        <v>14</v>
      </c>
      <c r="AE377" s="21">
        <v>10</v>
      </c>
      <c r="AF377" s="21">
        <v>9</v>
      </c>
      <c r="AG377" s="21">
        <v>278</v>
      </c>
      <c r="AH377" s="21">
        <v>399</v>
      </c>
      <c r="AI377" s="21">
        <v>507</v>
      </c>
      <c r="AJ377" s="21">
        <v>438</v>
      </c>
      <c r="AK377" s="21">
        <v>505</v>
      </c>
      <c r="AL377" s="21">
        <v>534</v>
      </c>
      <c r="AM377" s="21">
        <v>551</v>
      </c>
      <c r="AN377" s="21">
        <v>584</v>
      </c>
      <c r="AO377" s="21">
        <v>581</v>
      </c>
      <c r="AP377" s="21">
        <v>582</v>
      </c>
      <c r="AQ377" s="21">
        <v>587</v>
      </c>
      <c r="AR377" s="21">
        <v>598</v>
      </c>
      <c r="AS377" s="21">
        <v>669</v>
      </c>
      <c r="AT377" s="21">
        <v>704</v>
      </c>
      <c r="AU377" s="21">
        <v>709</v>
      </c>
      <c r="AV377" s="21">
        <v>791</v>
      </c>
      <c r="AW377" s="21">
        <v>875</v>
      </c>
      <c r="AX377" s="21">
        <v>981</v>
      </c>
      <c r="AY377" s="21">
        <v>1280</v>
      </c>
      <c r="AZ377" s="21">
        <v>1938</v>
      </c>
      <c r="BA377" s="21">
        <v>2334</v>
      </c>
      <c r="BB377" s="21">
        <v>3492</v>
      </c>
      <c r="BC377" s="21">
        <v>5429</v>
      </c>
      <c r="BD377" s="21">
        <v>10123</v>
      </c>
      <c r="BE377" s="21">
        <v>17268</v>
      </c>
      <c r="BF377" s="21">
        <v>28924</v>
      </c>
      <c r="BG377" s="21">
        <v>39032</v>
      </c>
      <c r="BH377" s="21">
        <v>54866</v>
      </c>
      <c r="BI377" s="21">
        <v>77277</v>
      </c>
      <c r="BJ377" s="21">
        <v>93365</v>
      </c>
      <c r="BK377" s="21">
        <v>106894</v>
      </c>
      <c r="BL377" s="21">
        <v>130721</v>
      </c>
      <c r="BM377" s="21">
        <v>164422</v>
      </c>
    </row>
    <row r="378" spans="1:65" x14ac:dyDescent="0.2">
      <c r="A378" s="21" t="s">
        <v>1413</v>
      </c>
      <c r="B378" s="21" t="s">
        <v>1414</v>
      </c>
      <c r="C378" s="21" t="s">
        <v>1208</v>
      </c>
      <c r="D378" s="21">
        <v>0</v>
      </c>
      <c r="E378" s="21">
        <v>0</v>
      </c>
      <c r="F378" s="21">
        <v>0</v>
      </c>
      <c r="G378" s="21">
        <v>0</v>
      </c>
      <c r="H378" s="21">
        <v>0</v>
      </c>
      <c r="I378" s="21">
        <v>0</v>
      </c>
      <c r="J378" s="21">
        <v>0</v>
      </c>
      <c r="K378" s="21">
        <v>0</v>
      </c>
      <c r="L378" s="21">
        <v>0</v>
      </c>
      <c r="M378" s="21">
        <v>0</v>
      </c>
      <c r="N378" s="21">
        <v>0</v>
      </c>
      <c r="O378" s="21">
        <v>0</v>
      </c>
      <c r="P378" s="21">
        <v>0</v>
      </c>
      <c r="Q378" s="21">
        <v>0</v>
      </c>
      <c r="R378" s="21">
        <v>0</v>
      </c>
      <c r="S378" s="21">
        <v>0</v>
      </c>
      <c r="T378" s="21">
        <v>0</v>
      </c>
      <c r="U378" s="21">
        <v>0</v>
      </c>
      <c r="V378" s="21">
        <v>0</v>
      </c>
      <c r="W378" s="21">
        <v>0</v>
      </c>
      <c r="X378" s="21">
        <v>0</v>
      </c>
      <c r="Y378" s="21">
        <v>0</v>
      </c>
      <c r="Z378" s="21">
        <v>0</v>
      </c>
      <c r="AA378" s="21">
        <v>0</v>
      </c>
      <c r="AB378" s="21">
        <v>0</v>
      </c>
      <c r="AC378" s="21">
        <v>0</v>
      </c>
      <c r="AD378" s="21">
        <v>0</v>
      </c>
      <c r="AE378" s="21">
        <v>0</v>
      </c>
      <c r="AF378" s="21">
        <v>0</v>
      </c>
      <c r="AG378" s="21">
        <v>51835</v>
      </c>
      <c r="AH378" s="21">
        <v>54930</v>
      </c>
      <c r="AI378" s="21">
        <v>56678</v>
      </c>
      <c r="AJ378" s="21">
        <v>58723</v>
      </c>
      <c r="AK378" s="21">
        <v>60396</v>
      </c>
      <c r="AL378" s="21">
        <v>62077</v>
      </c>
      <c r="AM378" s="21">
        <v>63076</v>
      </c>
      <c r="AN378" s="21">
        <v>63706</v>
      </c>
      <c r="AO378" s="21">
        <v>62903</v>
      </c>
      <c r="AP378" s="21">
        <v>62277</v>
      </c>
      <c r="AQ378" s="21">
        <v>60947</v>
      </c>
      <c r="AR378" s="21">
        <v>58373</v>
      </c>
      <c r="AS378" s="21">
        <v>55988</v>
      </c>
      <c r="AT378" s="21">
        <v>54245</v>
      </c>
      <c r="AU378" s="21">
        <v>52920</v>
      </c>
      <c r="AV378" s="21">
        <v>52486</v>
      </c>
      <c r="AW378" s="21">
        <v>52199</v>
      </c>
      <c r="AX378" s="21">
        <v>55441</v>
      </c>
      <c r="AY378" s="21">
        <v>59182</v>
      </c>
      <c r="AZ378" s="21">
        <v>65063</v>
      </c>
      <c r="BA378" s="21">
        <v>68644</v>
      </c>
      <c r="BB378" s="21">
        <v>78245</v>
      </c>
      <c r="BC378" s="21">
        <v>93572</v>
      </c>
      <c r="BD378" s="21">
        <v>115965</v>
      </c>
      <c r="BE378" s="21">
        <v>142245</v>
      </c>
      <c r="BF378" s="21">
        <v>172852</v>
      </c>
      <c r="BG378" s="21">
        <v>198764</v>
      </c>
      <c r="BH378" s="21">
        <v>242422</v>
      </c>
      <c r="BI378" s="21">
        <v>291043</v>
      </c>
      <c r="BJ378" s="21">
        <v>339031</v>
      </c>
      <c r="BK378" s="21">
        <v>382091</v>
      </c>
      <c r="BL378" s="21">
        <v>435346</v>
      </c>
      <c r="BM378" s="21">
        <v>507161</v>
      </c>
    </row>
    <row r="379" spans="1:65" x14ac:dyDescent="0.2">
      <c r="A379" s="21" t="s">
        <v>1413</v>
      </c>
      <c r="B379" s="21" t="s">
        <v>1414</v>
      </c>
      <c r="C379" s="21" t="s">
        <v>1210</v>
      </c>
      <c r="D379" s="21">
        <v>10596612</v>
      </c>
      <c r="E379" s="21">
        <v>10769305</v>
      </c>
      <c r="F379" s="21">
        <v>11219665</v>
      </c>
      <c r="G379" s="21">
        <v>11655060</v>
      </c>
      <c r="H379" s="21">
        <v>11998948</v>
      </c>
      <c r="I379" s="21">
        <v>12434010</v>
      </c>
      <c r="J379" s="21">
        <v>13100740</v>
      </c>
      <c r="K379" s="21">
        <v>13751510</v>
      </c>
      <c r="L379" s="21">
        <v>14864713</v>
      </c>
      <c r="M379" s="21">
        <v>15504735</v>
      </c>
      <c r="N379" s="21">
        <v>16094212</v>
      </c>
      <c r="O379" s="21">
        <v>16725986</v>
      </c>
      <c r="P379" s="21">
        <v>17716191</v>
      </c>
      <c r="Q379" s="21">
        <v>18615342</v>
      </c>
      <c r="R379" s="21">
        <v>18119371</v>
      </c>
      <c r="S379" s="21">
        <v>18245049</v>
      </c>
      <c r="T379" s="21">
        <v>19101169</v>
      </c>
      <c r="U379" s="21">
        <v>19822842</v>
      </c>
      <c r="V379" s="21">
        <v>20619378</v>
      </c>
      <c r="W379" s="21">
        <v>20472501</v>
      </c>
      <c r="X379" s="21">
        <v>19696846</v>
      </c>
      <c r="Y379" s="21">
        <v>19515225</v>
      </c>
      <c r="Z379" s="21">
        <v>19090937</v>
      </c>
      <c r="AA379" s="21">
        <v>19176442</v>
      </c>
      <c r="AB379" s="21">
        <v>19655350</v>
      </c>
      <c r="AC379" s="21">
        <v>20089174</v>
      </c>
      <c r="AD379" s="21">
        <v>20790496</v>
      </c>
      <c r="AE379" s="21">
        <v>21471276</v>
      </c>
      <c r="AF379" s="21">
        <v>22319319</v>
      </c>
      <c r="AG379" s="21">
        <v>22478541</v>
      </c>
      <c r="AH379" s="21">
        <v>22423888</v>
      </c>
      <c r="AI379" s="21">
        <v>22120398</v>
      </c>
      <c r="AJ379" s="21">
        <v>22418616</v>
      </c>
      <c r="AK379" s="21">
        <v>22676130</v>
      </c>
      <c r="AL379" s="21">
        <v>23322784</v>
      </c>
      <c r="AM379" s="21">
        <v>23818771</v>
      </c>
      <c r="AN379" s="21">
        <v>24425354</v>
      </c>
      <c r="AO379" s="21">
        <v>24735893</v>
      </c>
      <c r="AP379" s="21">
        <v>25229069</v>
      </c>
      <c r="AQ379" s="21">
        <v>25920574</v>
      </c>
      <c r="AR379" s="21">
        <v>26521400</v>
      </c>
      <c r="AS379" s="21">
        <v>26241290</v>
      </c>
      <c r="AT379" s="21">
        <v>26812641</v>
      </c>
      <c r="AU379" s="21">
        <v>26889268</v>
      </c>
      <c r="AV379" s="21">
        <v>27836540</v>
      </c>
      <c r="AW379" s="21">
        <v>28271919</v>
      </c>
      <c r="AX379" s="21">
        <v>28711295</v>
      </c>
      <c r="AY379" s="21">
        <v>28831005</v>
      </c>
      <c r="AZ379" s="21">
        <v>27443620</v>
      </c>
      <c r="BA379" s="21">
        <v>26616078</v>
      </c>
      <c r="BB379" s="21">
        <v>26988882</v>
      </c>
      <c r="BC379" s="21">
        <v>26597377</v>
      </c>
      <c r="BD379" s="21">
        <v>26125426</v>
      </c>
      <c r="BE379" s="21">
        <v>26614409</v>
      </c>
      <c r="BF379" s="21">
        <v>26874942</v>
      </c>
      <c r="BG379" s="21">
        <v>27247308</v>
      </c>
      <c r="BH379" s="21">
        <v>27795284</v>
      </c>
      <c r="BI379" s="21">
        <v>28025473</v>
      </c>
      <c r="BJ379" s="21">
        <v>28474487</v>
      </c>
      <c r="BK379" s="21">
        <v>28593571</v>
      </c>
      <c r="BL379" s="21">
        <v>24364302</v>
      </c>
      <c r="BM379" s="21">
        <v>27071527</v>
      </c>
    </row>
    <row r="380" spans="1:65" x14ac:dyDescent="0.2">
      <c r="A380" s="21" t="s">
        <v>1413</v>
      </c>
      <c r="B380" s="21" t="s">
        <v>1414</v>
      </c>
      <c r="C380" s="21" t="s">
        <v>1216</v>
      </c>
      <c r="D380" s="21">
        <v>58.7</v>
      </c>
      <c r="E380" s="21">
        <v>58.6</v>
      </c>
      <c r="F380" s="21">
        <v>60.1</v>
      </c>
      <c r="G380" s="21">
        <v>61.6</v>
      </c>
      <c r="H380" s="21">
        <v>62.5</v>
      </c>
      <c r="I380" s="21">
        <v>64</v>
      </c>
      <c r="J380" s="21">
        <v>66.599999999999994</v>
      </c>
      <c r="K380" s="21">
        <v>69.2</v>
      </c>
      <c r="L380" s="21">
        <v>74.099999999999994</v>
      </c>
      <c r="M380" s="21">
        <v>76.5</v>
      </c>
      <c r="N380" s="21">
        <v>78.5</v>
      </c>
      <c r="O380" s="21">
        <v>80.5</v>
      </c>
      <c r="P380" s="21">
        <v>84.4</v>
      </c>
      <c r="Q380" s="21">
        <v>87.8</v>
      </c>
      <c r="R380" s="21">
        <v>84.7</v>
      </c>
      <c r="S380" s="21">
        <v>84.5</v>
      </c>
      <c r="T380" s="21">
        <v>87.6</v>
      </c>
      <c r="U380" s="21">
        <v>90</v>
      </c>
      <c r="V380" s="21">
        <v>92.6</v>
      </c>
      <c r="W380" s="21">
        <v>91</v>
      </c>
      <c r="X380" s="21">
        <v>86.7</v>
      </c>
      <c r="Y380" s="21">
        <v>85</v>
      </c>
      <c r="Z380" s="21">
        <v>82.4</v>
      </c>
      <c r="AA380" s="21">
        <v>82</v>
      </c>
      <c r="AB380" s="21">
        <v>83.3</v>
      </c>
      <c r="AC380" s="21">
        <v>84.4</v>
      </c>
      <c r="AD380" s="21">
        <v>86.6</v>
      </c>
      <c r="AE380" s="21">
        <v>88.6</v>
      </c>
      <c r="AF380" s="21">
        <v>91.3</v>
      </c>
      <c r="AG380" s="21">
        <v>91.1</v>
      </c>
      <c r="AH380" s="21">
        <v>89.8</v>
      </c>
      <c r="AI380" s="21">
        <v>87.4</v>
      </c>
      <c r="AJ380" s="21">
        <v>87.4</v>
      </c>
      <c r="AK380" s="21">
        <v>87.2</v>
      </c>
      <c r="AL380" s="21">
        <v>88.6</v>
      </c>
      <c r="AM380" s="21">
        <v>89.5</v>
      </c>
      <c r="AN380" s="21">
        <v>90.7</v>
      </c>
      <c r="AO380" s="21">
        <v>90.7</v>
      </c>
      <c r="AP380" s="21">
        <v>91.5</v>
      </c>
      <c r="AQ380" s="21">
        <v>92.9</v>
      </c>
      <c r="AR380" s="21">
        <v>94</v>
      </c>
      <c r="AS380" s="21">
        <v>92.1</v>
      </c>
      <c r="AT380" s="21">
        <v>93.2</v>
      </c>
      <c r="AU380" s="21">
        <v>92.7</v>
      </c>
      <c r="AV380" s="21">
        <v>95.1</v>
      </c>
      <c r="AW380" s="21">
        <v>95.7</v>
      </c>
      <c r="AX380" s="21">
        <v>96.2</v>
      </c>
      <c r="AY380" s="21">
        <v>95.7</v>
      </c>
      <c r="AZ380" s="21">
        <v>90.2</v>
      </c>
      <c r="BA380" s="21">
        <v>86.8</v>
      </c>
      <c r="BB380" s="21">
        <v>87.3</v>
      </c>
      <c r="BC380" s="21">
        <v>85.4</v>
      </c>
      <c r="BD380" s="21">
        <v>83.2</v>
      </c>
      <c r="BE380" s="21">
        <v>84.2</v>
      </c>
      <c r="BF380" s="21">
        <v>84.4</v>
      </c>
      <c r="BG380" s="21">
        <v>85</v>
      </c>
      <c r="BH380" s="21">
        <v>86</v>
      </c>
      <c r="BI380" s="21">
        <v>86.2</v>
      </c>
      <c r="BJ380" s="21">
        <v>87.1</v>
      </c>
      <c r="BK380" s="21">
        <v>87.1</v>
      </c>
      <c r="BL380" s="21">
        <v>73.5</v>
      </c>
      <c r="BM380" s="21">
        <v>81.5</v>
      </c>
    </row>
    <row r="381" spans="1:65" x14ac:dyDescent="0.2">
      <c r="A381" s="21" t="s">
        <v>1413</v>
      </c>
      <c r="B381" s="21" t="s">
        <v>1414</v>
      </c>
      <c r="C381" s="21" t="s">
        <v>1218</v>
      </c>
      <c r="D381" s="21">
        <v>4604662</v>
      </c>
      <c r="E381" s="21">
        <v>4723224</v>
      </c>
      <c r="F381" s="21">
        <v>5032369</v>
      </c>
      <c r="G381" s="21">
        <v>5244424</v>
      </c>
      <c r="H381" s="21">
        <v>5460190</v>
      </c>
      <c r="I381" s="21">
        <v>5840164</v>
      </c>
      <c r="J381" s="21">
        <v>6318543</v>
      </c>
      <c r="K381" s="21">
        <v>6895401</v>
      </c>
      <c r="L381" s="21">
        <v>7326545</v>
      </c>
      <c r="M381" s="21">
        <v>7828079</v>
      </c>
      <c r="N381" s="21">
        <v>8326390</v>
      </c>
      <c r="O381" s="21">
        <v>8701185</v>
      </c>
      <c r="P381" s="21">
        <v>9188250</v>
      </c>
      <c r="Q381" s="21">
        <v>9553316</v>
      </c>
      <c r="R381" s="21">
        <v>9391102</v>
      </c>
      <c r="S381" s="21">
        <v>9488789</v>
      </c>
      <c r="T381" s="21">
        <v>10065628</v>
      </c>
      <c r="U381" s="21">
        <v>10205708</v>
      </c>
      <c r="V381" s="21">
        <v>10515327</v>
      </c>
      <c r="W381" s="21">
        <v>10650170</v>
      </c>
      <c r="X381" s="21">
        <v>10575836</v>
      </c>
      <c r="Y381" s="21">
        <v>10614571</v>
      </c>
      <c r="Z381" s="21">
        <v>10839692</v>
      </c>
      <c r="AA381" s="21">
        <v>10923499</v>
      </c>
      <c r="AB381" s="21">
        <v>11416762</v>
      </c>
      <c r="AC381" s="21">
        <v>11455535</v>
      </c>
      <c r="AD381" s="21">
        <v>11591178</v>
      </c>
      <c r="AE381" s="21">
        <v>11920679</v>
      </c>
      <c r="AF381" s="21">
        <v>12580687</v>
      </c>
      <c r="AG381" s="21">
        <v>13186019</v>
      </c>
      <c r="AH381" s="21">
        <v>13334397</v>
      </c>
      <c r="AI381" s="21">
        <v>13516423</v>
      </c>
      <c r="AJ381" s="21">
        <v>13460971</v>
      </c>
      <c r="AK381" s="21">
        <v>13840555</v>
      </c>
      <c r="AL381" s="21">
        <v>14107298</v>
      </c>
      <c r="AM381" s="21">
        <v>14712209</v>
      </c>
      <c r="AN381" s="21">
        <v>15197952</v>
      </c>
      <c r="AO381" s="21">
        <v>15720728</v>
      </c>
      <c r="AP381" s="21">
        <v>16011432</v>
      </c>
      <c r="AQ381" s="21">
        <v>16418823</v>
      </c>
      <c r="AR381" s="21">
        <v>17197433</v>
      </c>
      <c r="AS381" s="21">
        <v>17160316</v>
      </c>
      <c r="AT381" s="21">
        <v>17367733</v>
      </c>
      <c r="AU381" s="21">
        <v>17356404</v>
      </c>
      <c r="AV381" s="21">
        <v>17665020</v>
      </c>
      <c r="AW381" s="21">
        <v>17840142</v>
      </c>
      <c r="AX381" s="21">
        <v>17700515</v>
      </c>
      <c r="AY381" s="21">
        <v>18209355</v>
      </c>
      <c r="AZ381" s="21">
        <v>18349751</v>
      </c>
      <c r="BA381" s="21">
        <v>17848681</v>
      </c>
      <c r="BB381" s="21">
        <v>18015290</v>
      </c>
      <c r="BC381" s="21">
        <v>17937462</v>
      </c>
      <c r="BD381" s="21">
        <v>17359678</v>
      </c>
      <c r="BE381" s="21">
        <v>17879534</v>
      </c>
      <c r="BF381" s="21">
        <v>18207608</v>
      </c>
      <c r="BG381" s="21">
        <v>18110170</v>
      </c>
      <c r="BH381" s="21">
        <v>17990548</v>
      </c>
      <c r="BI381" s="21">
        <v>17864268</v>
      </c>
      <c r="BJ381" s="21">
        <v>18419150</v>
      </c>
      <c r="BK381" s="21">
        <v>17985817</v>
      </c>
      <c r="BL381" s="21">
        <v>16735479</v>
      </c>
      <c r="BM381" s="21">
        <v>17422953</v>
      </c>
    </row>
    <row r="382" spans="1:65" x14ac:dyDescent="0.2">
      <c r="A382" s="21" t="s">
        <v>1413</v>
      </c>
      <c r="B382" s="21" t="s">
        <v>1414</v>
      </c>
      <c r="C382" s="21" t="s">
        <v>1224</v>
      </c>
      <c r="D382" s="21">
        <v>25.5</v>
      </c>
      <c r="E382" s="21">
        <v>25.7</v>
      </c>
      <c r="F382" s="21">
        <v>27</v>
      </c>
      <c r="G382" s="21">
        <v>27.7</v>
      </c>
      <c r="H382" s="21">
        <v>28.5</v>
      </c>
      <c r="I382" s="21">
        <v>30.1</v>
      </c>
      <c r="J382" s="21">
        <v>32.1</v>
      </c>
      <c r="K382" s="21">
        <v>34.700000000000003</v>
      </c>
      <c r="L382" s="21">
        <v>36.5</v>
      </c>
      <c r="M382" s="21">
        <v>38.6</v>
      </c>
      <c r="N382" s="21">
        <v>40.6</v>
      </c>
      <c r="O382" s="21">
        <v>41.9</v>
      </c>
      <c r="P382" s="21">
        <v>43.8</v>
      </c>
      <c r="Q382" s="21">
        <v>45.1</v>
      </c>
      <c r="R382" s="21">
        <v>43.9</v>
      </c>
      <c r="S382" s="21">
        <v>43.9</v>
      </c>
      <c r="T382" s="21">
        <v>46.2</v>
      </c>
      <c r="U382" s="21">
        <v>46.3</v>
      </c>
      <c r="V382" s="21">
        <v>47.2</v>
      </c>
      <c r="W382" s="21">
        <v>47.3</v>
      </c>
      <c r="X382" s="21">
        <v>46.5</v>
      </c>
      <c r="Y382" s="21">
        <v>46.3</v>
      </c>
      <c r="Z382" s="21">
        <v>46.8</v>
      </c>
      <c r="AA382" s="21">
        <v>46.7</v>
      </c>
      <c r="AB382" s="21">
        <v>48.4</v>
      </c>
      <c r="AC382" s="21">
        <v>48.1</v>
      </c>
      <c r="AD382" s="21">
        <v>48.3</v>
      </c>
      <c r="AE382" s="21">
        <v>49.2</v>
      </c>
      <c r="AF382" s="21">
        <v>51.5</v>
      </c>
      <c r="AG382" s="21">
        <v>53.4</v>
      </c>
      <c r="AH382" s="21">
        <v>53.4</v>
      </c>
      <c r="AI382" s="21">
        <v>53.4</v>
      </c>
      <c r="AJ382" s="21">
        <v>52.5</v>
      </c>
      <c r="AK382" s="21">
        <v>53.2</v>
      </c>
      <c r="AL382" s="21">
        <v>53.6</v>
      </c>
      <c r="AM382" s="21">
        <v>55.3</v>
      </c>
      <c r="AN382" s="21">
        <v>56.4</v>
      </c>
      <c r="AO382" s="21">
        <v>57.7</v>
      </c>
      <c r="AP382" s="21">
        <v>58</v>
      </c>
      <c r="AQ382" s="21">
        <v>58.8</v>
      </c>
      <c r="AR382" s="21">
        <v>60.9</v>
      </c>
      <c r="AS382" s="21">
        <v>60.2</v>
      </c>
      <c r="AT382" s="21">
        <v>60.4</v>
      </c>
      <c r="AU382" s="21">
        <v>59.8</v>
      </c>
      <c r="AV382" s="21">
        <v>60.3</v>
      </c>
      <c r="AW382" s="21">
        <v>60.4</v>
      </c>
      <c r="AX382" s="21">
        <v>59.3</v>
      </c>
      <c r="AY382" s="21">
        <v>60.4</v>
      </c>
      <c r="AZ382" s="21">
        <v>60.3</v>
      </c>
      <c r="BA382" s="21">
        <v>58.2</v>
      </c>
      <c r="BB382" s="21">
        <v>58.2</v>
      </c>
      <c r="BC382" s="21">
        <v>57.6</v>
      </c>
      <c r="BD382" s="21">
        <v>55.3</v>
      </c>
      <c r="BE382" s="21">
        <v>56.6</v>
      </c>
      <c r="BF382" s="21">
        <v>57.2</v>
      </c>
      <c r="BG382" s="21">
        <v>56.5</v>
      </c>
      <c r="BH382" s="21">
        <v>55.7</v>
      </c>
      <c r="BI382" s="21">
        <v>54.9</v>
      </c>
      <c r="BJ382" s="21">
        <v>56.4</v>
      </c>
      <c r="BK382" s="21">
        <v>54.8</v>
      </c>
      <c r="BL382" s="21">
        <v>50.5</v>
      </c>
      <c r="BM382" s="21">
        <v>52.5</v>
      </c>
    </row>
    <row r="383" spans="1:65" x14ac:dyDescent="0.2">
      <c r="A383" s="21" t="s">
        <v>1413</v>
      </c>
      <c r="B383" s="21" t="s">
        <v>1414</v>
      </c>
      <c r="C383" s="21" t="s">
        <v>1226</v>
      </c>
      <c r="D383" s="21">
        <v>8156973</v>
      </c>
      <c r="E383" s="21">
        <v>8451672</v>
      </c>
      <c r="F383" s="21">
        <v>9027590</v>
      </c>
      <c r="G383" s="21">
        <v>9633531</v>
      </c>
      <c r="H383" s="21">
        <v>10325462</v>
      </c>
      <c r="I383" s="21">
        <v>11025629</v>
      </c>
      <c r="J383" s="21">
        <v>11999503</v>
      </c>
      <c r="K383" s="21">
        <v>12713020</v>
      </c>
      <c r="L383" s="21">
        <v>13899552</v>
      </c>
      <c r="M383" s="21">
        <v>15180137</v>
      </c>
      <c r="N383" s="21">
        <v>16247746</v>
      </c>
      <c r="O383" s="21">
        <v>17110473</v>
      </c>
      <c r="P383" s="21">
        <v>18482409</v>
      </c>
      <c r="Q383" s="21">
        <v>19721801</v>
      </c>
      <c r="R383" s="21">
        <v>19902184</v>
      </c>
      <c r="S383" s="21">
        <v>20265511</v>
      </c>
      <c r="T383" s="21">
        <v>21484563</v>
      </c>
      <c r="U383" s="21">
        <v>22545459</v>
      </c>
      <c r="V383" s="21">
        <v>23564742</v>
      </c>
      <c r="W383" s="21">
        <v>23945259</v>
      </c>
      <c r="X383" s="21">
        <v>24324399</v>
      </c>
      <c r="Y383" s="21">
        <v>24486837</v>
      </c>
      <c r="Z383" s="21">
        <v>23953700</v>
      </c>
      <c r="AA383" s="21">
        <v>24600825</v>
      </c>
      <c r="AB383" s="21">
        <v>25589606</v>
      </c>
      <c r="AC383" s="21">
        <v>26093891</v>
      </c>
      <c r="AD383" s="21">
        <v>26217282</v>
      </c>
      <c r="AE383" s="21">
        <v>26942577</v>
      </c>
      <c r="AF383" s="21">
        <v>28274388</v>
      </c>
      <c r="AG383" s="21">
        <v>29881381</v>
      </c>
      <c r="AH383" s="21">
        <v>30510355</v>
      </c>
      <c r="AI383" s="21">
        <v>30867954</v>
      </c>
      <c r="AJ383" s="21">
        <v>30737406</v>
      </c>
      <c r="AK383" s="21">
        <v>31860085</v>
      </c>
      <c r="AL383" s="21">
        <v>32412456</v>
      </c>
      <c r="AM383" s="21">
        <v>33495365</v>
      </c>
      <c r="AN383" s="21">
        <v>34497168</v>
      </c>
      <c r="AO383" s="21">
        <v>34899402</v>
      </c>
      <c r="AP383" s="21">
        <v>36240040</v>
      </c>
      <c r="AQ383" s="21">
        <v>36989517</v>
      </c>
      <c r="AR383" s="21">
        <v>38079049</v>
      </c>
      <c r="AS383" s="21">
        <v>37245293</v>
      </c>
      <c r="AT383" s="21">
        <v>38034497</v>
      </c>
      <c r="AU383" s="21">
        <v>38031754</v>
      </c>
      <c r="AV383" s="21">
        <v>38705055</v>
      </c>
      <c r="AW383" s="21">
        <v>39635034</v>
      </c>
      <c r="AX383" s="21">
        <v>39423299</v>
      </c>
      <c r="AY383" s="21">
        <v>40380816</v>
      </c>
      <c r="AZ383" s="21">
        <v>39979135</v>
      </c>
      <c r="BA383" s="21">
        <v>38081040</v>
      </c>
      <c r="BB383" s="21">
        <v>39637160</v>
      </c>
      <c r="BC383" s="21">
        <v>39310609</v>
      </c>
      <c r="BD383" s="21">
        <v>38151544</v>
      </c>
      <c r="BE383" s="21">
        <v>38374061</v>
      </c>
      <c r="BF383" s="21">
        <v>38647293</v>
      </c>
      <c r="BG383" s="21">
        <v>37899294</v>
      </c>
      <c r="BH383" s="21">
        <v>37741065</v>
      </c>
      <c r="BI383" s="21">
        <v>37253062</v>
      </c>
      <c r="BJ383" s="21">
        <v>38188462</v>
      </c>
      <c r="BK383" s="21">
        <v>37033790</v>
      </c>
      <c r="BL383" s="21">
        <v>35630938</v>
      </c>
      <c r="BM383" s="21">
        <v>36703571</v>
      </c>
    </row>
    <row r="384" spans="1:65" x14ac:dyDescent="0.2">
      <c r="A384" s="21" t="s">
        <v>1413</v>
      </c>
      <c r="B384" s="21" t="s">
        <v>1414</v>
      </c>
      <c r="C384" s="21" t="s">
        <v>1231</v>
      </c>
      <c r="D384" s="21">
        <v>20799142</v>
      </c>
      <c r="E384" s="21">
        <v>20911596</v>
      </c>
      <c r="F384" s="21">
        <v>21744102</v>
      </c>
      <c r="G384" s="21">
        <v>22723720</v>
      </c>
      <c r="H384" s="21">
        <v>24074837</v>
      </c>
      <c r="I384" s="21">
        <v>25059309</v>
      </c>
      <c r="J384" s="21">
        <v>26384869</v>
      </c>
      <c r="K384" s="21">
        <v>26638484</v>
      </c>
      <c r="L384" s="21">
        <v>27880000</v>
      </c>
      <c r="M384" s="21">
        <v>29084702</v>
      </c>
      <c r="N384" s="21">
        <v>29570866</v>
      </c>
      <c r="O384" s="21">
        <v>29526268</v>
      </c>
      <c r="P384" s="21">
        <v>30911095</v>
      </c>
      <c r="Q384" s="21">
        <v>32635711</v>
      </c>
      <c r="R384" s="21">
        <v>31752143</v>
      </c>
      <c r="S384" s="21">
        <v>29404665</v>
      </c>
      <c r="T384" s="21">
        <v>31382672</v>
      </c>
      <c r="U384" s="21">
        <v>32255385</v>
      </c>
      <c r="V384" s="21">
        <v>32700049</v>
      </c>
      <c r="W384" s="21">
        <v>33899793</v>
      </c>
      <c r="X384" s="21">
        <v>32043188</v>
      </c>
      <c r="Y384" s="21">
        <v>30716284</v>
      </c>
      <c r="Z384" s="21">
        <v>27578390</v>
      </c>
      <c r="AA384" s="21">
        <v>27380370</v>
      </c>
      <c r="AB384" s="21">
        <v>29518094</v>
      </c>
      <c r="AC384" s="21">
        <v>28820137</v>
      </c>
      <c r="AD384" s="21">
        <v>28258580</v>
      </c>
      <c r="AE384" s="21">
        <v>29339446</v>
      </c>
      <c r="AF384" s="21">
        <v>30678444</v>
      </c>
      <c r="AG384" s="21">
        <v>31291808</v>
      </c>
      <c r="AH384" s="21">
        <v>31766356</v>
      </c>
      <c r="AI384" s="21">
        <v>31340956</v>
      </c>
      <c r="AJ384" s="21">
        <v>32520094</v>
      </c>
      <c r="AK384" s="21">
        <v>32568792</v>
      </c>
      <c r="AL384" s="21">
        <v>33487201</v>
      </c>
      <c r="AM384" s="21">
        <v>33954865</v>
      </c>
      <c r="AN384" s="21">
        <v>34881235</v>
      </c>
      <c r="AO384" s="21">
        <v>35242163</v>
      </c>
      <c r="AP384" s="21">
        <v>34751273</v>
      </c>
      <c r="AQ384" s="21">
        <v>34650366</v>
      </c>
      <c r="AR384" s="21">
        <v>34591012</v>
      </c>
      <c r="AS384" s="21">
        <v>32610891</v>
      </c>
      <c r="AT384" s="21">
        <v>32598795</v>
      </c>
      <c r="AU384" s="21">
        <v>32508255</v>
      </c>
      <c r="AV384" s="21">
        <v>33469410</v>
      </c>
      <c r="AW384" s="21">
        <v>32422757</v>
      </c>
      <c r="AX384" s="21">
        <v>32344339</v>
      </c>
      <c r="AY384" s="21">
        <v>32386141</v>
      </c>
      <c r="AZ384" s="21">
        <v>31335282</v>
      </c>
      <c r="BA384" s="21">
        <v>28451402</v>
      </c>
      <c r="BB384" s="21">
        <v>30646748</v>
      </c>
      <c r="BC384" s="21">
        <v>30984153</v>
      </c>
      <c r="BD384" s="21">
        <v>31046394</v>
      </c>
      <c r="BE384" s="21">
        <v>31594574</v>
      </c>
      <c r="BF384" s="21">
        <v>31778546</v>
      </c>
      <c r="BG384" s="21">
        <v>31432449</v>
      </c>
      <c r="BH384" s="21">
        <v>31405921</v>
      </c>
      <c r="BI384" s="21">
        <v>31874550</v>
      </c>
      <c r="BJ384" s="21">
        <v>32815136</v>
      </c>
      <c r="BK384" s="21">
        <v>32738055</v>
      </c>
      <c r="BL384" s="21">
        <v>31272000</v>
      </c>
      <c r="BM384" s="21">
        <v>32497745</v>
      </c>
    </row>
    <row r="385" spans="1:65" x14ac:dyDescent="0.2">
      <c r="A385" s="21" t="s">
        <v>1413</v>
      </c>
      <c r="B385" s="21" t="s">
        <v>1414</v>
      </c>
      <c r="C385" s="21" t="s">
        <v>1237</v>
      </c>
      <c r="D385" s="21">
        <v>115.1</v>
      </c>
      <c r="E385" s="21">
        <v>113.8</v>
      </c>
      <c r="F385" s="21">
        <v>116.6</v>
      </c>
      <c r="G385" s="21">
        <v>120.1</v>
      </c>
      <c r="H385" s="21">
        <v>125.5</v>
      </c>
      <c r="I385" s="21">
        <v>129</v>
      </c>
      <c r="J385" s="21">
        <v>134.19999999999999</v>
      </c>
      <c r="K385" s="21">
        <v>134.1</v>
      </c>
      <c r="L385" s="21">
        <v>138.9</v>
      </c>
      <c r="M385" s="21">
        <v>143.5</v>
      </c>
      <c r="N385" s="21">
        <v>144.19999999999999</v>
      </c>
      <c r="O385" s="21">
        <v>142.19999999999999</v>
      </c>
      <c r="P385" s="21">
        <v>147.30000000000001</v>
      </c>
      <c r="Q385" s="21">
        <v>154</v>
      </c>
      <c r="R385" s="21">
        <v>148.5</v>
      </c>
      <c r="S385" s="21">
        <v>136.1</v>
      </c>
      <c r="T385" s="21">
        <v>143.9</v>
      </c>
      <c r="U385" s="21">
        <v>146.5</v>
      </c>
      <c r="V385" s="21">
        <v>146.9</v>
      </c>
      <c r="W385" s="21">
        <v>150.6</v>
      </c>
      <c r="X385" s="21">
        <v>141</v>
      </c>
      <c r="Y385" s="21">
        <v>133.9</v>
      </c>
      <c r="Z385" s="21">
        <v>119</v>
      </c>
      <c r="AA385" s="21">
        <v>117.1</v>
      </c>
      <c r="AB385" s="21">
        <v>125.2</v>
      </c>
      <c r="AC385" s="21">
        <v>121.1</v>
      </c>
      <c r="AD385" s="21">
        <v>117.7</v>
      </c>
      <c r="AE385" s="21">
        <v>121.1</v>
      </c>
      <c r="AF385" s="21">
        <v>125.5</v>
      </c>
      <c r="AG385" s="21">
        <v>126.8</v>
      </c>
      <c r="AH385" s="21">
        <v>127.3</v>
      </c>
      <c r="AI385" s="21">
        <v>123.9</v>
      </c>
      <c r="AJ385" s="21">
        <v>126.8</v>
      </c>
      <c r="AK385" s="21">
        <v>125.3</v>
      </c>
      <c r="AL385" s="21">
        <v>127.3</v>
      </c>
      <c r="AM385" s="21">
        <v>127.5</v>
      </c>
      <c r="AN385" s="21">
        <v>129.5</v>
      </c>
      <c r="AO385" s="21">
        <v>129.30000000000001</v>
      </c>
      <c r="AP385" s="21">
        <v>126</v>
      </c>
      <c r="AQ385" s="21">
        <v>124.2</v>
      </c>
      <c r="AR385" s="21">
        <v>122.6</v>
      </c>
      <c r="AS385" s="21">
        <v>114.4</v>
      </c>
      <c r="AT385" s="21">
        <v>113.3</v>
      </c>
      <c r="AU385" s="21">
        <v>112.1</v>
      </c>
      <c r="AV385" s="21">
        <v>114.3</v>
      </c>
      <c r="AW385" s="21">
        <v>109.7</v>
      </c>
      <c r="AX385" s="21">
        <v>108.4</v>
      </c>
      <c r="AY385" s="21">
        <v>107.5</v>
      </c>
      <c r="AZ385" s="21">
        <v>103</v>
      </c>
      <c r="BA385" s="21">
        <v>92.7</v>
      </c>
      <c r="BB385" s="21">
        <v>99.1</v>
      </c>
      <c r="BC385" s="21">
        <v>99.4</v>
      </c>
      <c r="BD385" s="21">
        <v>98.9</v>
      </c>
      <c r="BE385" s="21">
        <v>100</v>
      </c>
      <c r="BF385" s="21">
        <v>99.8</v>
      </c>
      <c r="BG385" s="21">
        <v>98</v>
      </c>
      <c r="BH385" s="21">
        <v>97.2</v>
      </c>
      <c r="BI385" s="21">
        <v>98</v>
      </c>
      <c r="BJ385" s="21">
        <v>100.4</v>
      </c>
      <c r="BK385" s="21">
        <v>99.7</v>
      </c>
      <c r="BL385" s="21">
        <v>94.3</v>
      </c>
      <c r="BM385" s="21">
        <v>97.9</v>
      </c>
    </row>
    <row r="386" spans="1:65" x14ac:dyDescent="0.2">
      <c r="A386" s="21" t="s">
        <v>1413</v>
      </c>
      <c r="B386" s="21" t="s">
        <v>1414</v>
      </c>
      <c r="C386" s="21" t="s">
        <v>1243</v>
      </c>
      <c r="D386" s="21">
        <v>9033190</v>
      </c>
      <c r="E386" s="21">
        <v>9280028</v>
      </c>
      <c r="F386" s="21">
        <v>9776931</v>
      </c>
      <c r="G386" s="21">
        <v>9982426</v>
      </c>
      <c r="H386" s="21">
        <v>10232757</v>
      </c>
      <c r="I386" s="21">
        <v>10632381</v>
      </c>
      <c r="J386" s="21">
        <v>11156752</v>
      </c>
      <c r="K386" s="21">
        <v>11631475</v>
      </c>
      <c r="L386" s="21">
        <v>12330437</v>
      </c>
      <c r="M386" s="21">
        <v>13161405</v>
      </c>
      <c r="N386" s="21">
        <v>13728645</v>
      </c>
      <c r="O386" s="21">
        <v>14210554</v>
      </c>
      <c r="P386" s="21">
        <v>14861651</v>
      </c>
      <c r="Q386" s="21">
        <v>14919481</v>
      </c>
      <c r="R386" s="21">
        <v>14651895</v>
      </c>
      <c r="S386" s="21">
        <v>14814536</v>
      </c>
      <c r="T386" s="21">
        <v>15417206</v>
      </c>
      <c r="U386" s="21">
        <v>15663022</v>
      </c>
      <c r="V386" s="21">
        <v>16143315</v>
      </c>
      <c r="W386" s="21">
        <v>15813447</v>
      </c>
      <c r="X386" s="21">
        <v>15731634</v>
      </c>
      <c r="Y386" s="21">
        <v>15247535</v>
      </c>
      <c r="Z386" s="21">
        <v>15497034</v>
      </c>
      <c r="AA386" s="21">
        <v>15399060</v>
      </c>
      <c r="AB386" s="21">
        <v>15920721</v>
      </c>
      <c r="AC386" s="21">
        <v>16041775</v>
      </c>
      <c r="AD386" s="21">
        <v>15951750</v>
      </c>
      <c r="AE386" s="21">
        <v>16228823</v>
      </c>
      <c r="AF386" s="21">
        <v>17132762</v>
      </c>
      <c r="AG386" s="21">
        <v>17775513</v>
      </c>
      <c r="AH386" s="21">
        <v>16930638</v>
      </c>
      <c r="AI386" s="21">
        <v>17401226</v>
      </c>
      <c r="AJ386" s="21">
        <v>17331937</v>
      </c>
      <c r="AK386" s="21">
        <v>18209357</v>
      </c>
      <c r="AL386" s="21">
        <v>18093506</v>
      </c>
      <c r="AM386" s="21">
        <v>18508903</v>
      </c>
      <c r="AN386" s="21">
        <v>19500508</v>
      </c>
      <c r="AO386" s="21">
        <v>18957636</v>
      </c>
      <c r="AP386" s="21">
        <v>18941595</v>
      </c>
      <c r="AQ386" s="21">
        <v>19535978</v>
      </c>
      <c r="AR386" s="21">
        <v>20384790</v>
      </c>
      <c r="AS386" s="21">
        <v>20026646</v>
      </c>
      <c r="AT386" s="21">
        <v>20763207</v>
      </c>
      <c r="AU386" s="21">
        <v>21080842</v>
      </c>
      <c r="AV386" s="21">
        <v>21042686</v>
      </c>
      <c r="AW386" s="21">
        <v>21574410</v>
      </c>
      <c r="AX386" s="21">
        <v>20631559</v>
      </c>
      <c r="AY386" s="21">
        <v>21489149</v>
      </c>
      <c r="AZ386" s="21">
        <v>21635345</v>
      </c>
      <c r="BA386" s="21">
        <v>21052360</v>
      </c>
      <c r="BB386" s="21">
        <v>21860324</v>
      </c>
      <c r="BC386" s="21">
        <v>21345571</v>
      </c>
      <c r="BD386" s="21">
        <v>19828616</v>
      </c>
      <c r="BE386" s="21">
        <v>21018099</v>
      </c>
      <c r="BF386" s="21">
        <v>21417838</v>
      </c>
      <c r="BG386" s="21">
        <v>20585938</v>
      </c>
      <c r="BH386" s="21">
        <v>20157059</v>
      </c>
      <c r="BI386" s="21">
        <v>19860915</v>
      </c>
      <c r="BJ386" s="21">
        <v>21489563</v>
      </c>
      <c r="BK386" s="21">
        <v>21047307</v>
      </c>
      <c r="BL386" s="21">
        <v>20527548</v>
      </c>
      <c r="BM386" s="21">
        <v>20807969</v>
      </c>
    </row>
    <row r="387" spans="1:65" x14ac:dyDescent="0.2">
      <c r="A387" s="21" t="s">
        <v>1413</v>
      </c>
      <c r="B387" s="21" t="s">
        <v>1414</v>
      </c>
      <c r="C387" s="21" t="s">
        <v>1251</v>
      </c>
      <c r="D387" s="21">
        <v>50</v>
      </c>
      <c r="E387" s="21">
        <v>50.5</v>
      </c>
      <c r="F387" s="21">
        <v>52.4</v>
      </c>
      <c r="G387" s="21">
        <v>52.7</v>
      </c>
      <c r="H387" s="21">
        <v>53.3</v>
      </c>
      <c r="I387" s="21">
        <v>54.7</v>
      </c>
      <c r="J387" s="21">
        <v>56.8</v>
      </c>
      <c r="K387" s="21">
        <v>58.5</v>
      </c>
      <c r="L387" s="21">
        <v>61.4</v>
      </c>
      <c r="M387" s="21">
        <v>64.900000000000006</v>
      </c>
      <c r="N387" s="21">
        <v>67</v>
      </c>
      <c r="O387" s="21">
        <v>68.400000000000006</v>
      </c>
      <c r="P387" s="21">
        <v>70.8</v>
      </c>
      <c r="Q387" s="21">
        <v>70.400000000000006</v>
      </c>
      <c r="R387" s="21">
        <v>68.5</v>
      </c>
      <c r="S387" s="21">
        <v>68.599999999999994</v>
      </c>
      <c r="T387" s="21">
        <v>70.7</v>
      </c>
      <c r="U387" s="21">
        <v>71.099999999999994</v>
      </c>
      <c r="V387" s="21">
        <v>72.5</v>
      </c>
      <c r="W387" s="21">
        <v>70.3</v>
      </c>
      <c r="X387" s="21">
        <v>69.2</v>
      </c>
      <c r="Y387" s="21">
        <v>66.400000000000006</v>
      </c>
      <c r="Z387" s="21">
        <v>66.900000000000006</v>
      </c>
      <c r="AA387" s="21">
        <v>65.900000000000006</v>
      </c>
      <c r="AB387" s="21">
        <v>67.5</v>
      </c>
      <c r="AC387" s="21">
        <v>67.400000000000006</v>
      </c>
      <c r="AD387" s="21">
        <v>66.400000000000006</v>
      </c>
      <c r="AE387" s="21">
        <v>67</v>
      </c>
      <c r="AF387" s="21">
        <v>70.099999999999994</v>
      </c>
      <c r="AG387" s="21">
        <v>72</v>
      </c>
      <c r="AH387" s="21">
        <v>67.8</v>
      </c>
      <c r="AI387" s="21">
        <v>68.8</v>
      </c>
      <c r="AJ387" s="21">
        <v>67.599999999999994</v>
      </c>
      <c r="AK387" s="21">
        <v>70.099999999999994</v>
      </c>
      <c r="AL387" s="21">
        <v>68.8</v>
      </c>
      <c r="AM387" s="21">
        <v>69.5</v>
      </c>
      <c r="AN387" s="21">
        <v>72.400000000000006</v>
      </c>
      <c r="AO387" s="21">
        <v>69.5</v>
      </c>
      <c r="AP387" s="21">
        <v>68.7</v>
      </c>
      <c r="AQ387" s="21">
        <v>70</v>
      </c>
      <c r="AR387" s="21">
        <v>72.2</v>
      </c>
      <c r="AS387" s="21">
        <v>70.3</v>
      </c>
      <c r="AT387" s="21">
        <v>72.2</v>
      </c>
      <c r="AU387" s="21">
        <v>72.7</v>
      </c>
      <c r="AV387" s="21">
        <v>71.900000000000006</v>
      </c>
      <c r="AW387" s="21">
        <v>73</v>
      </c>
      <c r="AX387" s="21">
        <v>69.099999999999994</v>
      </c>
      <c r="AY387" s="21">
        <v>71.3</v>
      </c>
      <c r="AZ387" s="21">
        <v>71.099999999999994</v>
      </c>
      <c r="BA387" s="21">
        <v>68.599999999999994</v>
      </c>
      <c r="BB387" s="21">
        <v>70.7</v>
      </c>
      <c r="BC387" s="21">
        <v>68.5</v>
      </c>
      <c r="BD387" s="21">
        <v>63.2</v>
      </c>
      <c r="BE387" s="21">
        <v>66.5</v>
      </c>
      <c r="BF387" s="21">
        <v>67.3</v>
      </c>
      <c r="BG387" s="21">
        <v>64.2</v>
      </c>
      <c r="BH387" s="21">
        <v>62.4</v>
      </c>
      <c r="BI387" s="21">
        <v>61.1</v>
      </c>
      <c r="BJ387" s="21">
        <v>65.7</v>
      </c>
      <c r="BK387" s="21">
        <v>64.099999999999994</v>
      </c>
      <c r="BL387" s="21">
        <v>61.9</v>
      </c>
      <c r="BM387" s="21">
        <v>62.7</v>
      </c>
    </row>
    <row r="388" spans="1:65" x14ac:dyDescent="0.2">
      <c r="A388" s="21" t="s">
        <v>1413</v>
      </c>
      <c r="B388" s="21" t="s">
        <v>1414</v>
      </c>
      <c r="C388" s="21" t="s">
        <v>1253</v>
      </c>
      <c r="D388" s="21">
        <v>45033606</v>
      </c>
      <c r="E388" s="21">
        <v>45684153</v>
      </c>
      <c r="F388" s="21">
        <v>47773067</v>
      </c>
      <c r="G388" s="21">
        <v>49605630</v>
      </c>
      <c r="H388" s="21">
        <v>51766732</v>
      </c>
      <c r="I388" s="21">
        <v>53965864</v>
      </c>
      <c r="J388" s="21">
        <v>56960904</v>
      </c>
      <c r="K388" s="21">
        <v>58916870</v>
      </c>
      <c r="L388" s="21">
        <v>62401694</v>
      </c>
      <c r="M388" s="21">
        <v>65578920</v>
      </c>
      <c r="N388" s="21">
        <v>67720114</v>
      </c>
      <c r="O388" s="21">
        <v>69163993</v>
      </c>
      <c r="P388" s="21">
        <v>72677208</v>
      </c>
      <c r="Q388" s="21">
        <v>75723857</v>
      </c>
      <c r="R388" s="21">
        <v>73914525</v>
      </c>
      <c r="S388" s="21">
        <v>71953031</v>
      </c>
      <c r="T388" s="21">
        <v>75966653</v>
      </c>
      <c r="U388" s="21">
        <v>77946963</v>
      </c>
      <c r="V388" s="21">
        <v>79978066</v>
      </c>
      <c r="W388" s="21">
        <v>80835915</v>
      </c>
      <c r="X388" s="21">
        <v>78047519</v>
      </c>
      <c r="Y388" s="21">
        <v>76093624</v>
      </c>
      <c r="Z388" s="21">
        <v>73006067</v>
      </c>
      <c r="AA388" s="21">
        <v>72879382</v>
      </c>
      <c r="AB388" s="21">
        <v>76510942</v>
      </c>
      <c r="AC388" s="21">
        <v>76406632</v>
      </c>
      <c r="AD388" s="21">
        <v>76592009</v>
      </c>
      <c r="AE388" s="21">
        <v>78960216</v>
      </c>
      <c r="AF388" s="21">
        <v>82711222</v>
      </c>
      <c r="AG388" s="21">
        <v>84731883</v>
      </c>
      <c r="AH388" s="21">
        <v>84455270</v>
      </c>
      <c r="AI388" s="21">
        <v>84378989</v>
      </c>
      <c r="AJ388" s="21">
        <v>85731631</v>
      </c>
      <c r="AK388" s="21">
        <v>87294850</v>
      </c>
      <c r="AL388" s="21">
        <v>89010814</v>
      </c>
      <c r="AM388" s="21">
        <v>90994738</v>
      </c>
      <c r="AN388" s="21">
        <v>94005051</v>
      </c>
      <c r="AO388" s="21">
        <v>94656420</v>
      </c>
      <c r="AP388" s="21">
        <v>94933387</v>
      </c>
      <c r="AQ388" s="21">
        <v>96525739</v>
      </c>
      <c r="AR388" s="21">
        <v>98694631</v>
      </c>
      <c r="AS388" s="21">
        <v>96039152</v>
      </c>
      <c r="AT388" s="21">
        <v>97542346</v>
      </c>
      <c r="AU388" s="21">
        <v>97834756</v>
      </c>
      <c r="AV388" s="21">
        <v>100013680</v>
      </c>
      <c r="AW388" s="21">
        <v>100109225</v>
      </c>
      <c r="AX388" s="21">
        <v>99387714</v>
      </c>
      <c r="AY388" s="21">
        <v>100915641</v>
      </c>
      <c r="AZ388" s="21">
        <v>98764011</v>
      </c>
      <c r="BA388" s="21">
        <v>93947040</v>
      </c>
      <c r="BB388" s="21">
        <v>97499916</v>
      </c>
      <c r="BC388" s="21">
        <v>96873894</v>
      </c>
      <c r="BD388" s="21">
        <v>94369947</v>
      </c>
      <c r="BE388" s="21">
        <v>97114706</v>
      </c>
      <c r="BF388" s="21">
        <v>98290293</v>
      </c>
      <c r="BG388" s="21">
        <v>97392513</v>
      </c>
      <c r="BH388" s="21">
        <v>97375438</v>
      </c>
      <c r="BI388" s="21">
        <v>97661225</v>
      </c>
      <c r="BJ388" s="21">
        <v>101239487</v>
      </c>
      <c r="BK388" s="21">
        <v>100450598</v>
      </c>
      <c r="BL388" s="21">
        <v>92995869</v>
      </c>
      <c r="BM388" s="21">
        <v>97810007</v>
      </c>
    </row>
    <row r="389" spans="1:65" x14ac:dyDescent="0.2">
      <c r="A389" s="21" t="s">
        <v>1413</v>
      </c>
      <c r="B389" s="21" t="s">
        <v>1414</v>
      </c>
      <c r="C389" s="21" t="s">
        <v>1259</v>
      </c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>
        <v>8.2100000000000009</v>
      </c>
      <c r="AP389" s="21">
        <v>7.88</v>
      </c>
      <c r="AQ389" s="21">
        <v>7.65</v>
      </c>
      <c r="AR389" s="21">
        <v>7.51</v>
      </c>
      <c r="AS389" s="21">
        <v>7.24</v>
      </c>
      <c r="AT389" s="21">
        <v>7.23</v>
      </c>
      <c r="AU389" s="21">
        <v>7.06</v>
      </c>
      <c r="AV389" s="21">
        <v>6.95</v>
      </c>
      <c r="AW389" s="21">
        <v>6.72</v>
      </c>
      <c r="AX389" s="21">
        <v>6.49</v>
      </c>
      <c r="AY389" s="21">
        <v>6.46</v>
      </c>
      <c r="AZ389" s="21">
        <v>6.31</v>
      </c>
      <c r="BA389" s="21">
        <v>6.17</v>
      </c>
      <c r="BB389" s="21">
        <v>6.23</v>
      </c>
      <c r="BC389" s="21">
        <v>6.1</v>
      </c>
      <c r="BD389" s="21">
        <v>5.81</v>
      </c>
      <c r="BE389" s="21">
        <v>5.87</v>
      </c>
      <c r="BF389" s="21">
        <v>5.8</v>
      </c>
      <c r="BG389" s="21">
        <v>5.6</v>
      </c>
      <c r="BH389" s="21">
        <v>5.51</v>
      </c>
      <c r="BI389" s="21">
        <v>5.4</v>
      </c>
      <c r="BJ389" s="21">
        <v>5.44</v>
      </c>
      <c r="BK389" s="21">
        <v>5.28</v>
      </c>
      <c r="BL389" s="21">
        <v>5.0199999999999996</v>
      </c>
      <c r="BM389" s="21">
        <v>4.99</v>
      </c>
    </row>
    <row r="390" spans="1:65" x14ac:dyDescent="0.2">
      <c r="A390" s="21" t="s">
        <v>1413</v>
      </c>
      <c r="B390" s="21" t="s">
        <v>1414</v>
      </c>
      <c r="C390" s="21" t="s">
        <v>1262</v>
      </c>
      <c r="D390" s="21">
        <v>249.3</v>
      </c>
      <c r="E390" s="21">
        <v>248.7</v>
      </c>
      <c r="F390" s="21">
        <v>256.10000000000002</v>
      </c>
      <c r="G390" s="21">
        <v>262.10000000000002</v>
      </c>
      <c r="H390" s="21">
        <v>269.8</v>
      </c>
      <c r="I390" s="21">
        <v>277.7</v>
      </c>
      <c r="J390" s="21">
        <v>289.8</v>
      </c>
      <c r="K390" s="21">
        <v>296.5</v>
      </c>
      <c r="L390" s="21">
        <v>310.89999999999998</v>
      </c>
      <c r="M390" s="21">
        <v>323.60000000000002</v>
      </c>
      <c r="N390" s="21">
        <v>330.3</v>
      </c>
      <c r="O390" s="21">
        <v>333.1</v>
      </c>
      <c r="P390" s="21">
        <v>346.3</v>
      </c>
      <c r="Q390" s="21">
        <v>357.3</v>
      </c>
      <c r="R390" s="21">
        <v>345.6</v>
      </c>
      <c r="S390" s="21">
        <v>333.2</v>
      </c>
      <c r="T390" s="21">
        <v>348.4</v>
      </c>
      <c r="U390" s="21">
        <v>353.9</v>
      </c>
      <c r="V390" s="21">
        <v>359.3</v>
      </c>
      <c r="W390" s="21">
        <v>359.2</v>
      </c>
      <c r="X390" s="21">
        <v>343.5</v>
      </c>
      <c r="Y390" s="21">
        <v>331.6</v>
      </c>
      <c r="Z390" s="21">
        <v>315.10000000000002</v>
      </c>
      <c r="AA390" s="21">
        <v>311.7</v>
      </c>
      <c r="AB390" s="21">
        <v>324.39999999999998</v>
      </c>
      <c r="AC390" s="21">
        <v>321.10000000000002</v>
      </c>
      <c r="AD390" s="21">
        <v>319</v>
      </c>
      <c r="AE390" s="21">
        <v>325.89999999999998</v>
      </c>
      <c r="AF390" s="21">
        <v>338.3</v>
      </c>
      <c r="AG390" s="21">
        <v>343.3</v>
      </c>
      <c r="AH390" s="21">
        <v>338.3</v>
      </c>
      <c r="AI390" s="21">
        <v>333.5</v>
      </c>
      <c r="AJ390" s="21">
        <v>334.2</v>
      </c>
      <c r="AK390" s="21">
        <v>335.9</v>
      </c>
      <c r="AL390" s="21">
        <v>338.3</v>
      </c>
      <c r="AM390" s="21">
        <v>341.7</v>
      </c>
      <c r="AN390" s="21">
        <v>348.9</v>
      </c>
      <c r="AO390" s="21">
        <v>347.2</v>
      </c>
      <c r="AP390" s="21">
        <v>344.1</v>
      </c>
      <c r="AQ390" s="21">
        <v>345.9</v>
      </c>
      <c r="AR390" s="21">
        <v>349.8</v>
      </c>
      <c r="AS390" s="21">
        <v>337</v>
      </c>
      <c r="AT390" s="21">
        <v>339.1</v>
      </c>
      <c r="AU390" s="21">
        <v>337.2</v>
      </c>
      <c r="AV390" s="21">
        <v>341.6</v>
      </c>
      <c r="AW390" s="21">
        <v>338.8</v>
      </c>
      <c r="AX390" s="21">
        <v>333.1</v>
      </c>
      <c r="AY390" s="21">
        <v>335</v>
      </c>
      <c r="AZ390" s="21">
        <v>324.8</v>
      </c>
      <c r="BA390" s="21">
        <v>306.2</v>
      </c>
      <c r="BB390" s="21">
        <v>315.2</v>
      </c>
      <c r="BC390" s="21">
        <v>310.89999999999998</v>
      </c>
      <c r="BD390" s="21">
        <v>300.7</v>
      </c>
      <c r="BE390" s="21">
        <v>307.3</v>
      </c>
      <c r="BF390" s="21">
        <v>308.7</v>
      </c>
      <c r="BG390" s="21">
        <v>303.7</v>
      </c>
      <c r="BH390" s="21">
        <v>301.39999999999998</v>
      </c>
      <c r="BI390" s="21">
        <v>300.39999999999998</v>
      </c>
      <c r="BJ390" s="21">
        <v>309.8</v>
      </c>
      <c r="BK390" s="21">
        <v>305.89999999999998</v>
      </c>
      <c r="BL390" s="21">
        <v>280.5</v>
      </c>
      <c r="BM390" s="21">
        <v>294.60000000000002</v>
      </c>
    </row>
    <row r="391" spans="1:65" x14ac:dyDescent="0.2">
      <c r="A391" s="21" t="s">
        <v>1413</v>
      </c>
      <c r="B391" s="21" t="s">
        <v>1414</v>
      </c>
      <c r="C391" s="21" t="s">
        <v>1266</v>
      </c>
      <c r="D391" s="21">
        <v>45033606</v>
      </c>
      <c r="E391" s="21">
        <v>45684153</v>
      </c>
      <c r="F391" s="21">
        <v>47773067</v>
      </c>
      <c r="G391" s="21">
        <v>49605630</v>
      </c>
      <c r="H391" s="21">
        <v>51766732</v>
      </c>
      <c r="I391" s="21">
        <v>53965864</v>
      </c>
      <c r="J391" s="21">
        <v>56960904</v>
      </c>
      <c r="K391" s="21">
        <v>58916870</v>
      </c>
      <c r="L391" s="21">
        <v>62401694</v>
      </c>
      <c r="M391" s="21">
        <v>65578920</v>
      </c>
      <c r="N391" s="21">
        <v>67720114</v>
      </c>
      <c r="O391" s="21">
        <v>69163993</v>
      </c>
      <c r="P391" s="21">
        <v>72677187</v>
      </c>
      <c r="Q391" s="21">
        <v>75723850</v>
      </c>
      <c r="R391" s="21">
        <v>73914512</v>
      </c>
      <c r="S391" s="21">
        <v>71953038</v>
      </c>
      <c r="T391" s="21">
        <v>75966675</v>
      </c>
      <c r="U391" s="21">
        <v>77946957</v>
      </c>
      <c r="V391" s="21">
        <v>79978069</v>
      </c>
      <c r="W391" s="21">
        <v>80835910</v>
      </c>
      <c r="X391" s="21">
        <v>78047505</v>
      </c>
      <c r="Y391" s="21">
        <v>76093615</v>
      </c>
      <c r="Z391" s="21">
        <v>73006053</v>
      </c>
      <c r="AA391" s="21">
        <v>72879371</v>
      </c>
      <c r="AB391" s="21">
        <v>76510927</v>
      </c>
      <c r="AC391" s="21">
        <v>76406622</v>
      </c>
      <c r="AD391" s="21">
        <v>76592005</v>
      </c>
      <c r="AE391" s="21">
        <v>78960223</v>
      </c>
      <c r="AF391" s="21">
        <v>82711212</v>
      </c>
      <c r="AG391" s="21">
        <v>84731881</v>
      </c>
      <c r="AH391" s="21">
        <v>84455279</v>
      </c>
      <c r="AI391" s="21">
        <v>84379003</v>
      </c>
      <c r="AJ391" s="21">
        <v>85731619</v>
      </c>
      <c r="AK391" s="21">
        <v>87294834</v>
      </c>
      <c r="AL391" s="21">
        <v>89010788</v>
      </c>
      <c r="AM391" s="21">
        <v>90994748</v>
      </c>
      <c r="AN391" s="21">
        <v>94005049</v>
      </c>
      <c r="AO391" s="21">
        <v>94656420</v>
      </c>
      <c r="AP391" s="21">
        <v>94933369</v>
      </c>
      <c r="AQ391" s="21">
        <v>96525740</v>
      </c>
      <c r="AR391" s="21">
        <v>98694635</v>
      </c>
      <c r="AS391" s="21">
        <v>96039144</v>
      </c>
      <c r="AT391" s="21">
        <v>97542376</v>
      </c>
      <c r="AU391" s="21">
        <v>97834769</v>
      </c>
      <c r="AV391" s="21">
        <v>100013656</v>
      </c>
      <c r="AW391" s="21">
        <v>100109229</v>
      </c>
      <c r="AX391" s="21">
        <v>99387708</v>
      </c>
      <c r="AY391" s="21">
        <v>100915651</v>
      </c>
      <c r="AZ391" s="21">
        <v>98763999</v>
      </c>
      <c r="BA391" s="21">
        <v>93968520</v>
      </c>
      <c r="BB391" s="21">
        <v>97511244</v>
      </c>
      <c r="BC391" s="21">
        <v>96864563</v>
      </c>
      <c r="BD391" s="21">
        <v>94360114</v>
      </c>
      <c r="BE391" s="21">
        <v>97106615</v>
      </c>
      <c r="BF391" s="21">
        <v>98278933</v>
      </c>
      <c r="BG391" s="21">
        <v>97375865</v>
      </c>
      <c r="BH391" s="21">
        <v>97348812</v>
      </c>
      <c r="BI391" s="21">
        <v>97625206</v>
      </c>
      <c r="BJ391" s="21">
        <v>101198335</v>
      </c>
      <c r="BK391" s="21">
        <v>100364750</v>
      </c>
      <c r="BL391" s="21">
        <v>92899328</v>
      </c>
      <c r="BM391" s="21">
        <v>97800194</v>
      </c>
    </row>
    <row r="392" spans="1:65" x14ac:dyDescent="0.2">
      <c r="A392" s="21" t="s">
        <v>1413</v>
      </c>
      <c r="B392" s="21" t="s">
        <v>1414</v>
      </c>
      <c r="C392" s="21" t="s">
        <v>1272</v>
      </c>
      <c r="D392" s="21">
        <v>10570746</v>
      </c>
      <c r="E392" s="21">
        <v>10744238</v>
      </c>
      <c r="F392" s="21">
        <v>11195245</v>
      </c>
      <c r="G392" s="21">
        <v>11631263</v>
      </c>
      <c r="H392" s="21">
        <v>11975159</v>
      </c>
      <c r="I392" s="21">
        <v>12410201</v>
      </c>
      <c r="J392" s="21">
        <v>13077631</v>
      </c>
      <c r="K392" s="21">
        <v>13727600</v>
      </c>
      <c r="L392" s="21">
        <v>14840341</v>
      </c>
      <c r="M392" s="21">
        <v>15479878</v>
      </c>
      <c r="N392" s="21">
        <v>16068504</v>
      </c>
      <c r="O392" s="21">
        <v>16700756</v>
      </c>
      <c r="P392" s="21">
        <v>17691360</v>
      </c>
      <c r="Q392" s="21">
        <v>18590347</v>
      </c>
      <c r="R392" s="21">
        <v>18095866</v>
      </c>
      <c r="S392" s="21">
        <v>18220702</v>
      </c>
      <c r="T392" s="21">
        <v>19077097</v>
      </c>
      <c r="U392" s="21">
        <v>19797916</v>
      </c>
      <c r="V392" s="21">
        <v>20595097</v>
      </c>
      <c r="W392" s="21">
        <v>20448350</v>
      </c>
      <c r="X392" s="21">
        <v>19670256</v>
      </c>
      <c r="Y392" s="21">
        <v>19489770</v>
      </c>
      <c r="Z392" s="21">
        <v>19064923</v>
      </c>
      <c r="AA392" s="21">
        <v>19146634</v>
      </c>
      <c r="AB392" s="21">
        <v>19622756</v>
      </c>
      <c r="AC392" s="21">
        <v>20056769</v>
      </c>
      <c r="AD392" s="21">
        <v>20756714</v>
      </c>
      <c r="AE392" s="21">
        <v>21436825</v>
      </c>
      <c r="AF392" s="21">
        <v>22284048</v>
      </c>
      <c r="AG392" s="21">
        <v>22440969</v>
      </c>
      <c r="AH392" s="21">
        <v>22385139</v>
      </c>
      <c r="AI392" s="21">
        <v>22082253</v>
      </c>
      <c r="AJ392" s="21">
        <v>22380845</v>
      </c>
      <c r="AK392" s="21">
        <v>22638441</v>
      </c>
      <c r="AL392" s="21">
        <v>23284642</v>
      </c>
      <c r="AM392" s="21">
        <v>23780556</v>
      </c>
      <c r="AN392" s="21">
        <v>24387158</v>
      </c>
      <c r="AO392" s="21">
        <v>24697259</v>
      </c>
      <c r="AP392" s="21">
        <v>25189946</v>
      </c>
      <c r="AQ392" s="21">
        <v>25879185</v>
      </c>
      <c r="AR392" s="21">
        <v>26479327</v>
      </c>
      <c r="AS392" s="21">
        <v>26199403</v>
      </c>
      <c r="AT392" s="21">
        <v>26770525</v>
      </c>
      <c r="AU392" s="21">
        <v>26836560</v>
      </c>
      <c r="AV392" s="21">
        <v>27780836</v>
      </c>
      <c r="AW392" s="21">
        <v>28215169</v>
      </c>
      <c r="AX392" s="21">
        <v>28656870</v>
      </c>
      <c r="AY392" s="21">
        <v>28772381</v>
      </c>
      <c r="AZ392" s="21">
        <v>27388914</v>
      </c>
      <c r="BA392" s="21">
        <v>26561383</v>
      </c>
      <c r="BB392" s="21">
        <v>26934678</v>
      </c>
      <c r="BC392" s="21">
        <v>26544753</v>
      </c>
      <c r="BD392" s="21">
        <v>26076563</v>
      </c>
      <c r="BE392" s="21">
        <v>26563698</v>
      </c>
      <c r="BF392" s="21">
        <v>26823475</v>
      </c>
      <c r="BG392" s="21">
        <v>27197661</v>
      </c>
      <c r="BH392" s="21">
        <v>27746763</v>
      </c>
      <c r="BI392" s="21">
        <v>27977012</v>
      </c>
      <c r="BJ392" s="21">
        <v>28425570</v>
      </c>
      <c r="BK392" s="21">
        <v>28546222</v>
      </c>
      <c r="BL392" s="21">
        <v>24324712</v>
      </c>
      <c r="BM392" s="21">
        <v>27033309</v>
      </c>
    </row>
    <row r="393" spans="1:65" x14ac:dyDescent="0.2">
      <c r="A393" s="21" t="s">
        <v>1413</v>
      </c>
      <c r="B393" s="21" t="s">
        <v>1414</v>
      </c>
      <c r="C393" s="21" t="s">
        <v>1276</v>
      </c>
      <c r="D393" s="21">
        <v>3260915</v>
      </c>
      <c r="E393" s="21">
        <v>3332458</v>
      </c>
      <c r="F393" s="21">
        <v>3540593</v>
      </c>
      <c r="G393" s="21">
        <v>3600268</v>
      </c>
      <c r="H393" s="21">
        <v>3705916</v>
      </c>
      <c r="I393" s="21">
        <v>3956349</v>
      </c>
      <c r="J393" s="21">
        <v>4257842</v>
      </c>
      <c r="K393" s="21">
        <v>4683720</v>
      </c>
      <c r="L393" s="21">
        <v>4905554</v>
      </c>
      <c r="M393" s="21">
        <v>5183702</v>
      </c>
      <c r="N393" s="21">
        <v>5418268</v>
      </c>
      <c r="O393" s="21">
        <v>5592687</v>
      </c>
      <c r="P393" s="21">
        <v>5814515</v>
      </c>
      <c r="Q393" s="21">
        <v>5950326</v>
      </c>
      <c r="R393" s="21">
        <v>5757016</v>
      </c>
      <c r="S393" s="21">
        <v>5653965</v>
      </c>
      <c r="T393" s="21">
        <v>6047788</v>
      </c>
      <c r="U393" s="21">
        <v>6010758</v>
      </c>
      <c r="V393" s="21">
        <v>6121873</v>
      </c>
      <c r="W393" s="21">
        <v>6219572</v>
      </c>
      <c r="X393" s="21">
        <v>5993614</v>
      </c>
      <c r="Y393" s="21">
        <v>5851851</v>
      </c>
      <c r="Z393" s="21">
        <v>5927902</v>
      </c>
      <c r="AA393" s="21">
        <v>5945482</v>
      </c>
      <c r="AB393" s="21">
        <v>6249502</v>
      </c>
      <c r="AC393" s="21">
        <v>6067560</v>
      </c>
      <c r="AD393" s="21">
        <v>6117552</v>
      </c>
      <c r="AE393" s="21">
        <v>6300152</v>
      </c>
      <c r="AF393" s="21">
        <v>6656192</v>
      </c>
      <c r="AG393" s="21">
        <v>6797298</v>
      </c>
      <c r="AH393" s="21">
        <v>6741145</v>
      </c>
      <c r="AI393" s="21">
        <v>6848023</v>
      </c>
      <c r="AJ393" s="21">
        <v>6875520</v>
      </c>
      <c r="AK393" s="21">
        <v>6983967</v>
      </c>
      <c r="AL393" s="21">
        <v>7121026</v>
      </c>
      <c r="AM393" s="21">
        <v>7346672</v>
      </c>
      <c r="AN393" s="21">
        <v>7614337</v>
      </c>
      <c r="AO393" s="21">
        <v>7795242</v>
      </c>
      <c r="AP393" s="21">
        <v>7683068</v>
      </c>
      <c r="AQ393" s="21">
        <v>7815164</v>
      </c>
      <c r="AR393" s="21">
        <v>8217055</v>
      </c>
      <c r="AS393" s="21">
        <v>8130889</v>
      </c>
      <c r="AT393" s="21">
        <v>8234586</v>
      </c>
      <c r="AU393" s="21">
        <v>8383907</v>
      </c>
      <c r="AV393" s="21">
        <v>8426437</v>
      </c>
      <c r="AW393" s="21">
        <v>8397199</v>
      </c>
      <c r="AX393" s="21">
        <v>8173711</v>
      </c>
      <c r="AY393" s="21">
        <v>8479558</v>
      </c>
      <c r="AZ393" s="21">
        <v>8651632</v>
      </c>
      <c r="BA393" s="21">
        <v>8511228</v>
      </c>
      <c r="BB393" s="21">
        <v>8555472</v>
      </c>
      <c r="BC393" s="21">
        <v>8592320</v>
      </c>
      <c r="BD393" s="21">
        <v>8247069</v>
      </c>
      <c r="BE393" s="21">
        <v>8722659</v>
      </c>
      <c r="BF393" s="21">
        <v>9001979</v>
      </c>
      <c r="BG393" s="21">
        <v>9082192</v>
      </c>
      <c r="BH393" s="21">
        <v>8985333</v>
      </c>
      <c r="BI393" s="21">
        <v>8989199</v>
      </c>
      <c r="BJ393" s="21">
        <v>9492771</v>
      </c>
      <c r="BK393" s="21">
        <v>9440539</v>
      </c>
      <c r="BL393" s="21">
        <v>8813595</v>
      </c>
      <c r="BM393" s="21">
        <v>9178628</v>
      </c>
    </row>
    <row r="394" spans="1:65" x14ac:dyDescent="0.2">
      <c r="A394" s="21" t="s">
        <v>1413</v>
      </c>
      <c r="B394" s="21" t="s">
        <v>1414</v>
      </c>
      <c r="C394" s="21" t="s">
        <v>1280</v>
      </c>
      <c r="D394" s="21">
        <v>18060898</v>
      </c>
      <c r="E394" s="21">
        <v>18118105</v>
      </c>
      <c r="F394" s="21">
        <v>18794466</v>
      </c>
      <c r="G394" s="21">
        <v>19644936</v>
      </c>
      <c r="H394" s="21">
        <v>20790210</v>
      </c>
      <c r="I394" s="21">
        <v>21567249</v>
      </c>
      <c r="J394" s="21">
        <v>22593835</v>
      </c>
      <c r="K394" s="21">
        <v>22685346</v>
      </c>
      <c r="L394" s="21">
        <v>23637915</v>
      </c>
      <c r="M394" s="21">
        <v>24531806</v>
      </c>
      <c r="N394" s="21">
        <v>24858777</v>
      </c>
      <c r="O394" s="21">
        <v>24676398</v>
      </c>
      <c r="P394" s="21">
        <v>25673873</v>
      </c>
      <c r="Q394" s="21">
        <v>27080089</v>
      </c>
      <c r="R394" s="21">
        <v>26102015</v>
      </c>
      <c r="S394" s="21">
        <v>23775768</v>
      </c>
      <c r="T394" s="21">
        <v>25224992</v>
      </c>
      <c r="U394" s="21">
        <v>25843500</v>
      </c>
      <c r="V394" s="21">
        <v>26014122</v>
      </c>
      <c r="W394" s="21">
        <v>27042117</v>
      </c>
      <c r="X394" s="21">
        <v>25359912</v>
      </c>
      <c r="Y394" s="21">
        <v>24117584</v>
      </c>
      <c r="Z394" s="21">
        <v>21569020</v>
      </c>
      <c r="AA394" s="21">
        <v>21153951</v>
      </c>
      <c r="AB394" s="21">
        <v>23000052</v>
      </c>
      <c r="AC394" s="21">
        <v>22282431</v>
      </c>
      <c r="AD394" s="21">
        <v>21902617</v>
      </c>
      <c r="AE394" s="21">
        <v>22859165</v>
      </c>
      <c r="AF394" s="21">
        <v>23906466</v>
      </c>
      <c r="AG394" s="21">
        <v>24001486</v>
      </c>
      <c r="AH394" s="21">
        <v>24379490</v>
      </c>
      <c r="AI394" s="21">
        <v>24022963</v>
      </c>
      <c r="AJ394" s="21">
        <v>25050267</v>
      </c>
      <c r="AK394" s="21">
        <v>25047520</v>
      </c>
      <c r="AL394" s="21">
        <v>25806513</v>
      </c>
      <c r="AM394" s="21">
        <v>26172285</v>
      </c>
      <c r="AN394" s="21">
        <v>26933667</v>
      </c>
      <c r="AO394" s="21">
        <v>27303069</v>
      </c>
      <c r="AP394" s="21">
        <v>26698886</v>
      </c>
      <c r="AQ394" s="21">
        <v>26476705</v>
      </c>
      <c r="AR394" s="21">
        <v>26402024</v>
      </c>
      <c r="AS394" s="21">
        <v>25094905</v>
      </c>
      <c r="AT394" s="21">
        <v>25115100</v>
      </c>
      <c r="AU394" s="21">
        <v>24927122</v>
      </c>
      <c r="AV394" s="21">
        <v>25818201</v>
      </c>
      <c r="AW394" s="21">
        <v>24825283</v>
      </c>
      <c r="AX394" s="21">
        <v>24903205</v>
      </c>
      <c r="AY394" s="21">
        <v>24793183</v>
      </c>
      <c r="AZ394" s="21">
        <v>23895165</v>
      </c>
      <c r="BA394" s="21">
        <v>21796868</v>
      </c>
      <c r="BB394" s="21">
        <v>23631327</v>
      </c>
      <c r="BC394" s="21">
        <v>23888171</v>
      </c>
      <c r="BD394" s="21">
        <v>24122125</v>
      </c>
      <c r="BE394" s="21">
        <v>24709893</v>
      </c>
      <c r="BF394" s="21">
        <v>24846842</v>
      </c>
      <c r="BG394" s="21">
        <v>24765927</v>
      </c>
      <c r="BH394" s="21">
        <v>24864744</v>
      </c>
      <c r="BI394" s="21">
        <v>25295280</v>
      </c>
      <c r="BJ394" s="21">
        <v>26254808</v>
      </c>
      <c r="BK394" s="21">
        <v>26335440</v>
      </c>
      <c r="BL394" s="21">
        <v>25277125</v>
      </c>
      <c r="BM394" s="21">
        <v>26175298</v>
      </c>
    </row>
    <row r="395" spans="1:65" x14ac:dyDescent="0.2">
      <c r="A395" s="21" t="s">
        <v>1413</v>
      </c>
      <c r="B395" s="21" t="s">
        <v>1414</v>
      </c>
      <c r="C395" s="21" t="s">
        <v>1284</v>
      </c>
      <c r="D395" s="21">
        <v>7331785</v>
      </c>
      <c r="E395" s="21">
        <v>7500973</v>
      </c>
      <c r="F395" s="21">
        <v>7868344</v>
      </c>
      <c r="G395" s="21">
        <v>7936507</v>
      </c>
      <c r="H395" s="21">
        <v>8027337</v>
      </c>
      <c r="I395" s="21">
        <v>8260765</v>
      </c>
      <c r="J395" s="21">
        <v>8564006</v>
      </c>
      <c r="K395" s="21">
        <v>8857713</v>
      </c>
      <c r="L395" s="21">
        <v>9222527</v>
      </c>
      <c r="M395" s="21">
        <v>9686196</v>
      </c>
      <c r="N395" s="21">
        <v>9877346</v>
      </c>
      <c r="O395" s="21">
        <v>10097751</v>
      </c>
      <c r="P395" s="21">
        <v>10457718</v>
      </c>
      <c r="Q395" s="21">
        <v>10225732</v>
      </c>
      <c r="R395" s="21">
        <v>9878044</v>
      </c>
      <c r="S395" s="21">
        <v>9998164</v>
      </c>
      <c r="T395" s="21">
        <v>10462334</v>
      </c>
      <c r="U395" s="21">
        <v>10397133</v>
      </c>
      <c r="V395" s="21">
        <v>10567383</v>
      </c>
      <c r="W395" s="21">
        <v>10247203</v>
      </c>
      <c r="X395" s="21">
        <v>9845578</v>
      </c>
      <c r="Y395" s="21">
        <v>9473483</v>
      </c>
      <c r="Z395" s="21">
        <v>9609441</v>
      </c>
      <c r="AA395" s="21">
        <v>9371536</v>
      </c>
      <c r="AB395" s="21">
        <v>9848149</v>
      </c>
      <c r="AC395" s="21">
        <v>9835370</v>
      </c>
      <c r="AD395" s="21">
        <v>9680025</v>
      </c>
      <c r="AE395" s="21">
        <v>9805717</v>
      </c>
      <c r="AF395" s="21">
        <v>10386466</v>
      </c>
      <c r="AG395" s="21">
        <v>10641660</v>
      </c>
      <c r="AH395" s="21">
        <v>9694388</v>
      </c>
      <c r="AI395" s="21">
        <v>9981764</v>
      </c>
      <c r="AJ395" s="21">
        <v>10116184</v>
      </c>
      <c r="AK395" s="21">
        <v>10528131</v>
      </c>
      <c r="AL395" s="21">
        <v>10398880</v>
      </c>
      <c r="AM395" s="21">
        <v>10481203</v>
      </c>
      <c r="AN395" s="21">
        <v>11153764</v>
      </c>
      <c r="AO395" s="21">
        <v>10694271</v>
      </c>
      <c r="AP395" s="21">
        <v>10258984</v>
      </c>
      <c r="AQ395" s="21">
        <v>10666010</v>
      </c>
      <c r="AR395" s="21">
        <v>11191046</v>
      </c>
      <c r="AS395" s="21">
        <v>10950544</v>
      </c>
      <c r="AT395" s="21">
        <v>11211838</v>
      </c>
      <c r="AU395" s="21">
        <v>11576294</v>
      </c>
      <c r="AV395" s="21">
        <v>11387126</v>
      </c>
      <c r="AW395" s="21">
        <v>11527769</v>
      </c>
      <c r="AX395" s="21">
        <v>10752387</v>
      </c>
      <c r="AY395" s="21">
        <v>11334394</v>
      </c>
      <c r="AZ395" s="21">
        <v>11589440</v>
      </c>
      <c r="BA395" s="21">
        <v>11290266</v>
      </c>
      <c r="BB395" s="21">
        <v>11564125</v>
      </c>
      <c r="BC395" s="21">
        <v>11323185</v>
      </c>
      <c r="BD395" s="21">
        <v>10368958</v>
      </c>
      <c r="BE395" s="21">
        <v>11445554</v>
      </c>
      <c r="BF395" s="21">
        <v>11804503</v>
      </c>
      <c r="BG395" s="21">
        <v>11256472</v>
      </c>
      <c r="BH395" s="21">
        <v>10848425</v>
      </c>
      <c r="BI395" s="21">
        <v>10814745</v>
      </c>
      <c r="BJ395" s="21">
        <v>12004265</v>
      </c>
      <c r="BK395" s="21">
        <v>12012405</v>
      </c>
      <c r="BL395" s="21">
        <v>11537663</v>
      </c>
      <c r="BM395" s="21">
        <v>11695031</v>
      </c>
    </row>
    <row r="396" spans="1:65" x14ac:dyDescent="0.2">
      <c r="A396" s="21" t="s">
        <v>1413</v>
      </c>
      <c r="B396" s="21" t="s">
        <v>1414</v>
      </c>
      <c r="C396" s="21" t="s">
        <v>1290</v>
      </c>
      <c r="D396" s="21">
        <v>39224344</v>
      </c>
      <c r="E396" s="21">
        <v>39695774</v>
      </c>
      <c r="F396" s="21">
        <v>41398648</v>
      </c>
      <c r="G396" s="21">
        <v>42812975</v>
      </c>
      <c r="H396" s="21">
        <v>44498623</v>
      </c>
      <c r="I396" s="21">
        <v>46194564</v>
      </c>
      <c r="J396" s="21">
        <v>48493314</v>
      </c>
      <c r="K396" s="21">
        <v>49954379</v>
      </c>
      <c r="L396" s="21">
        <v>52606337</v>
      </c>
      <c r="M396" s="21">
        <v>54881582</v>
      </c>
      <c r="N396" s="21">
        <v>56222895</v>
      </c>
      <c r="O396" s="21">
        <v>57067591</v>
      </c>
      <c r="P396" s="21">
        <v>59637466</v>
      </c>
      <c r="Q396" s="21">
        <v>61846493</v>
      </c>
      <c r="R396" s="21">
        <v>59832940</v>
      </c>
      <c r="S396" s="21">
        <v>57648600</v>
      </c>
      <c r="T396" s="21">
        <v>60812211</v>
      </c>
      <c r="U396" s="21">
        <v>62049307</v>
      </c>
      <c r="V396" s="21">
        <v>63298476</v>
      </c>
      <c r="W396" s="21">
        <v>63957242</v>
      </c>
      <c r="X396" s="21">
        <v>60869359</v>
      </c>
      <c r="Y396" s="21">
        <v>58932688</v>
      </c>
      <c r="Z396" s="21">
        <v>56171286</v>
      </c>
      <c r="AA396" s="21">
        <v>55617603</v>
      </c>
      <c r="AB396" s="21">
        <v>58720458</v>
      </c>
      <c r="AC396" s="21">
        <v>58242130</v>
      </c>
      <c r="AD396" s="21">
        <v>58456908</v>
      </c>
      <c r="AE396" s="21">
        <v>60401860</v>
      </c>
      <c r="AF396" s="21">
        <v>63233172</v>
      </c>
      <c r="AG396" s="21">
        <v>63881414</v>
      </c>
      <c r="AH396" s="21">
        <v>63200161</v>
      </c>
      <c r="AI396" s="21">
        <v>62935003</v>
      </c>
      <c r="AJ396" s="21">
        <v>64422816</v>
      </c>
      <c r="AK396" s="21">
        <v>65198059</v>
      </c>
      <c r="AL396" s="21">
        <v>66611060</v>
      </c>
      <c r="AM396" s="21">
        <v>67780716</v>
      </c>
      <c r="AN396" s="21">
        <v>70088926</v>
      </c>
      <c r="AO396" s="21">
        <v>70489841</v>
      </c>
      <c r="AP396" s="21">
        <v>69830883</v>
      </c>
      <c r="AQ396" s="21">
        <v>70837065</v>
      </c>
      <c r="AR396" s="21">
        <v>72289452</v>
      </c>
      <c r="AS396" s="21">
        <v>70375742</v>
      </c>
      <c r="AT396" s="21">
        <v>71332049</v>
      </c>
      <c r="AU396" s="21">
        <v>71723884</v>
      </c>
      <c r="AV396" s="21">
        <v>73412600</v>
      </c>
      <c r="AW396" s="21">
        <v>72965419</v>
      </c>
      <c r="AX396" s="21">
        <v>72486173</v>
      </c>
      <c r="AY396" s="21">
        <v>73379516</v>
      </c>
      <c r="AZ396" s="21">
        <v>71525151</v>
      </c>
      <c r="BA396" s="21">
        <v>68159746</v>
      </c>
      <c r="BB396" s="21">
        <v>70685602</v>
      </c>
      <c r="BC396" s="21">
        <v>70348429</v>
      </c>
      <c r="BD396" s="21">
        <v>68814715</v>
      </c>
      <c r="BE396" s="21">
        <v>71441803</v>
      </c>
      <c r="BF396" s="21">
        <v>72476798</v>
      </c>
      <c r="BG396" s="21">
        <v>72302252</v>
      </c>
      <c r="BH396" s="21">
        <v>72445265</v>
      </c>
      <c r="BI396" s="21">
        <v>73076235</v>
      </c>
      <c r="BJ396" s="21">
        <v>76177414</v>
      </c>
      <c r="BK396" s="21">
        <v>76334606</v>
      </c>
      <c r="BL396" s="21">
        <v>69953096</v>
      </c>
      <c r="BM396" s="21">
        <v>74082265</v>
      </c>
    </row>
    <row r="397" spans="1:65" x14ac:dyDescent="0.2">
      <c r="A397" s="21" t="s">
        <v>1413</v>
      </c>
      <c r="B397" s="21" t="s">
        <v>1414</v>
      </c>
      <c r="C397" s="21" t="s">
        <v>1292</v>
      </c>
      <c r="D397" s="21">
        <v>180671</v>
      </c>
      <c r="E397" s="21">
        <v>183691</v>
      </c>
      <c r="F397" s="21">
        <v>186538</v>
      </c>
      <c r="G397" s="21">
        <v>189242</v>
      </c>
      <c r="H397" s="21">
        <v>191889</v>
      </c>
      <c r="I397" s="21">
        <v>194303</v>
      </c>
      <c r="J397" s="21">
        <v>196560</v>
      </c>
      <c r="K397" s="21">
        <v>198712</v>
      </c>
      <c r="L397" s="21">
        <v>200706</v>
      </c>
      <c r="M397" s="21">
        <v>202677</v>
      </c>
      <c r="N397" s="21">
        <v>205052</v>
      </c>
      <c r="O397" s="21">
        <v>207661</v>
      </c>
      <c r="P397" s="21">
        <v>209896</v>
      </c>
      <c r="Q397" s="21">
        <v>211909</v>
      </c>
      <c r="R397" s="21">
        <v>213854</v>
      </c>
      <c r="S397" s="21">
        <v>215973</v>
      </c>
      <c r="T397" s="21">
        <v>218035</v>
      </c>
      <c r="U397" s="21">
        <v>220239</v>
      </c>
      <c r="V397" s="21">
        <v>222585</v>
      </c>
      <c r="W397" s="21">
        <v>225055</v>
      </c>
      <c r="X397" s="21">
        <v>227225</v>
      </c>
      <c r="Y397" s="21">
        <v>229466</v>
      </c>
      <c r="Z397" s="21">
        <v>231664</v>
      </c>
      <c r="AA397" s="21">
        <v>233792</v>
      </c>
      <c r="AB397" s="21">
        <v>235825</v>
      </c>
      <c r="AC397" s="21">
        <v>237924</v>
      </c>
      <c r="AD397" s="21">
        <v>240133</v>
      </c>
      <c r="AE397" s="21">
        <v>242289</v>
      </c>
      <c r="AF397" s="21">
        <v>244499</v>
      </c>
      <c r="AG397" s="21">
        <v>246819</v>
      </c>
      <c r="AH397" s="21">
        <v>249623</v>
      </c>
      <c r="AI397" s="21">
        <v>252981</v>
      </c>
      <c r="AJ397" s="21">
        <v>256514</v>
      </c>
      <c r="AK397" s="21">
        <v>259919</v>
      </c>
      <c r="AL397" s="21">
        <v>263126</v>
      </c>
      <c r="AM397" s="21">
        <v>266278</v>
      </c>
      <c r="AN397" s="21">
        <v>269394</v>
      </c>
      <c r="AO397" s="21">
        <v>272647</v>
      </c>
      <c r="AP397" s="21">
        <v>275854</v>
      </c>
      <c r="AQ397" s="21">
        <v>279040</v>
      </c>
      <c r="AR397" s="21">
        <v>282162</v>
      </c>
      <c r="AS397" s="21">
        <v>284969</v>
      </c>
      <c r="AT397" s="21">
        <v>287625</v>
      </c>
      <c r="AU397" s="21">
        <v>290108</v>
      </c>
      <c r="AV397" s="21">
        <v>292805</v>
      </c>
      <c r="AW397" s="21">
        <v>295517</v>
      </c>
      <c r="AX397" s="21">
        <v>298380</v>
      </c>
      <c r="AY397" s="21">
        <v>301231</v>
      </c>
      <c r="AZ397" s="21">
        <v>304094</v>
      </c>
      <c r="BA397" s="21">
        <v>306772</v>
      </c>
      <c r="BB397" s="21">
        <v>309327</v>
      </c>
      <c r="BC397" s="21">
        <v>311583</v>
      </c>
      <c r="BD397" s="21">
        <v>313878</v>
      </c>
      <c r="BE397" s="21">
        <v>316060</v>
      </c>
      <c r="BF397" s="21">
        <v>318386</v>
      </c>
      <c r="BG397" s="21">
        <v>320739</v>
      </c>
      <c r="BH397" s="21">
        <v>323072</v>
      </c>
      <c r="BI397" s="21">
        <v>325122</v>
      </c>
      <c r="BJ397" s="21">
        <v>326838</v>
      </c>
      <c r="BK397" s="21">
        <v>328330</v>
      </c>
      <c r="BL397" s="21">
        <v>331512</v>
      </c>
      <c r="BM397" s="21">
        <v>332032</v>
      </c>
    </row>
    <row r="398" spans="1:65" x14ac:dyDescent="0.2">
      <c r="A398" s="21" t="s">
        <v>1413</v>
      </c>
      <c r="B398" s="21" t="s">
        <v>1414</v>
      </c>
      <c r="C398" s="21" t="s">
        <v>1295</v>
      </c>
      <c r="D398" s="21">
        <v>0</v>
      </c>
      <c r="E398" s="21">
        <v>0</v>
      </c>
      <c r="F398" s="21">
        <v>0</v>
      </c>
      <c r="G398" s="21">
        <v>0</v>
      </c>
      <c r="H398" s="21">
        <v>0</v>
      </c>
      <c r="I398" s="21">
        <v>0</v>
      </c>
      <c r="J398" s="21">
        <v>0</v>
      </c>
      <c r="K398" s="21">
        <v>0</v>
      </c>
      <c r="L398" s="21">
        <v>0</v>
      </c>
      <c r="M398" s="21">
        <v>0</v>
      </c>
      <c r="N398" s="21">
        <v>0</v>
      </c>
      <c r="O398" s="21">
        <v>0</v>
      </c>
      <c r="P398" s="21">
        <v>0</v>
      </c>
      <c r="Q398" s="21">
        <v>0</v>
      </c>
      <c r="R398" s="21">
        <v>0</v>
      </c>
      <c r="S398" s="21">
        <v>0</v>
      </c>
      <c r="T398" s="21">
        <v>0</v>
      </c>
      <c r="U398" s="21">
        <v>0</v>
      </c>
      <c r="V398" s="21">
        <v>0</v>
      </c>
      <c r="W398" s="21">
        <v>0</v>
      </c>
      <c r="X398" s="21">
        <v>0</v>
      </c>
      <c r="Y398" s="21">
        <v>-297646</v>
      </c>
      <c r="Z398" s="21">
        <v>-336038</v>
      </c>
      <c r="AA398" s="21">
        <v>-193355</v>
      </c>
      <c r="AB398" s="21">
        <v>-321231</v>
      </c>
      <c r="AC398" s="21">
        <v>-338345</v>
      </c>
      <c r="AD398" s="21">
        <v>-352779</v>
      </c>
      <c r="AE398" s="21">
        <v>-362554</v>
      </c>
      <c r="AF398" s="21">
        <v>-277509</v>
      </c>
      <c r="AG398" s="21">
        <v>-384759</v>
      </c>
      <c r="AH398" s="21">
        <v>-368961</v>
      </c>
      <c r="AI398" s="21">
        <v>-450226</v>
      </c>
      <c r="AJ398" s="21">
        <v>-354830</v>
      </c>
      <c r="AK398" s="21">
        <v>-396007</v>
      </c>
      <c r="AL398" s="21">
        <v>-279227</v>
      </c>
      <c r="AM398" s="21">
        <v>-320899</v>
      </c>
      <c r="AN398" s="21">
        <v>-112836</v>
      </c>
      <c r="AO398" s="21">
        <v>-102875</v>
      </c>
      <c r="AP398" s="21">
        <v>-313944</v>
      </c>
      <c r="AQ398" s="21">
        <v>-287912</v>
      </c>
      <c r="AR398" s="21">
        <v>-401150</v>
      </c>
      <c r="AS398" s="21">
        <v>-75422</v>
      </c>
      <c r="AT398" s="21">
        <v>-135676</v>
      </c>
      <c r="AU398" s="21">
        <v>-50398</v>
      </c>
      <c r="AV398" s="21">
        <v>-75550</v>
      </c>
      <c r="AW398" s="21">
        <v>2784</v>
      </c>
      <c r="AX398" s="21">
        <v>70337</v>
      </c>
      <c r="AY398" s="21">
        <v>65188</v>
      </c>
      <c r="AZ398" s="21">
        <v>-53718</v>
      </c>
      <c r="BA398" s="21">
        <v>-77793</v>
      </c>
      <c r="BB398" s="21">
        <v>27960</v>
      </c>
      <c r="BC398" s="21">
        <v>56124</v>
      </c>
      <c r="BD398" s="21">
        <v>60085</v>
      </c>
      <c r="BE398" s="21">
        <v>16712</v>
      </c>
      <c r="BF398" s="21">
        <v>-80589</v>
      </c>
      <c r="BG398" s="21">
        <v>-17790</v>
      </c>
      <c r="BH398" s="21">
        <v>8580</v>
      </c>
      <c r="BI398" s="21">
        <v>76366</v>
      </c>
      <c r="BJ398" s="21">
        <v>30861</v>
      </c>
      <c r="BK398" s="21">
        <v>135915</v>
      </c>
      <c r="BL398" s="21">
        <v>190530</v>
      </c>
      <c r="BM398" s="21">
        <v>49023</v>
      </c>
    </row>
    <row r="399" spans="1:65" x14ac:dyDescent="0.2">
      <c r="A399" s="21" t="s">
        <v>1413</v>
      </c>
      <c r="B399" s="21" t="s">
        <v>1414</v>
      </c>
      <c r="C399" s="21" t="s">
        <v>1297</v>
      </c>
      <c r="D399" s="21">
        <v>0</v>
      </c>
      <c r="E399" s="21">
        <v>0</v>
      </c>
      <c r="F399" s="21">
        <v>0</v>
      </c>
      <c r="G399" s="21">
        <v>0</v>
      </c>
      <c r="H399" s="21">
        <v>0</v>
      </c>
      <c r="I399" s="21">
        <v>0</v>
      </c>
      <c r="J399" s="21">
        <v>0</v>
      </c>
      <c r="K399" s="21">
        <v>0</v>
      </c>
      <c r="L399" s="21">
        <v>0</v>
      </c>
      <c r="M399" s="21">
        <v>0</v>
      </c>
      <c r="N399" s="21">
        <v>0</v>
      </c>
      <c r="O399" s="21">
        <v>0</v>
      </c>
      <c r="P399" s="21">
        <v>0</v>
      </c>
      <c r="Q399" s="21">
        <v>0</v>
      </c>
      <c r="R399" s="21">
        <v>0</v>
      </c>
      <c r="S399" s="21">
        <v>0</v>
      </c>
      <c r="T399" s="21">
        <v>0</v>
      </c>
      <c r="U399" s="21">
        <v>0</v>
      </c>
      <c r="V399" s="21">
        <v>0</v>
      </c>
      <c r="W399" s="21">
        <v>0</v>
      </c>
      <c r="X399" s="21">
        <v>0</v>
      </c>
      <c r="Y399" s="21">
        <v>-51098</v>
      </c>
      <c r="Z399" s="21">
        <v>-57689</v>
      </c>
      <c r="AA399" s="21">
        <v>-33194</v>
      </c>
      <c r="AB399" s="21">
        <v>-55147</v>
      </c>
      <c r="AC399" s="21">
        <v>-58085</v>
      </c>
      <c r="AD399" s="21">
        <v>-60563</v>
      </c>
      <c r="AE399" s="21">
        <v>-62241</v>
      </c>
      <c r="AF399" s="21">
        <v>-47641</v>
      </c>
      <c r="AG399" s="21">
        <v>-66053</v>
      </c>
      <c r="AH399" s="21">
        <v>-63341</v>
      </c>
      <c r="AI399" s="21">
        <v>-77292</v>
      </c>
      <c r="AJ399" s="21">
        <v>-60915</v>
      </c>
      <c r="AK399" s="21">
        <v>-67984</v>
      </c>
      <c r="AL399" s="21">
        <v>-47936</v>
      </c>
      <c r="AM399" s="21">
        <v>-55090</v>
      </c>
      <c r="AN399" s="21">
        <v>-19371</v>
      </c>
      <c r="AO399" s="21">
        <v>-17661</v>
      </c>
      <c r="AP399" s="21">
        <v>-53896</v>
      </c>
      <c r="AQ399" s="21">
        <v>-49427</v>
      </c>
      <c r="AR399" s="21">
        <v>-68867</v>
      </c>
      <c r="AS399" s="21">
        <v>-12948</v>
      </c>
      <c r="AT399" s="21">
        <v>-23292</v>
      </c>
      <c r="AU399" s="21">
        <v>-8652</v>
      </c>
      <c r="AV399" s="21">
        <v>-12970</v>
      </c>
      <c r="AW399" s="21">
        <v>478</v>
      </c>
      <c r="AX399" s="21">
        <v>12075</v>
      </c>
      <c r="AY399" s="21">
        <v>11191</v>
      </c>
      <c r="AZ399" s="21">
        <v>-9222</v>
      </c>
      <c r="BA399" s="21">
        <v>-13355</v>
      </c>
      <c r="BB399" s="21">
        <v>4800</v>
      </c>
      <c r="BC399" s="21">
        <v>9635</v>
      </c>
      <c r="BD399" s="21">
        <v>10315</v>
      </c>
      <c r="BE399" s="21">
        <v>2869</v>
      </c>
      <c r="BF399" s="21">
        <v>-13835</v>
      </c>
      <c r="BG399" s="21">
        <v>-3054</v>
      </c>
      <c r="BH399" s="21">
        <v>1473</v>
      </c>
      <c r="BI399" s="21">
        <v>13110</v>
      </c>
      <c r="BJ399" s="21">
        <v>5298</v>
      </c>
      <c r="BK399" s="21">
        <v>23333</v>
      </c>
      <c r="BL399" s="21">
        <v>32709</v>
      </c>
      <c r="BM399" s="21">
        <v>8416</v>
      </c>
    </row>
    <row r="400" spans="1:65" x14ac:dyDescent="0.2">
      <c r="A400" s="21" t="s">
        <v>1413</v>
      </c>
      <c r="B400" s="21" t="s">
        <v>1414</v>
      </c>
      <c r="C400" s="21" t="s">
        <v>1298</v>
      </c>
      <c r="D400" s="21">
        <v>0</v>
      </c>
      <c r="E400" s="21">
        <v>0</v>
      </c>
      <c r="F400" s="21">
        <v>0</v>
      </c>
      <c r="G400" s="21">
        <v>0</v>
      </c>
      <c r="H400" s="21">
        <v>0</v>
      </c>
      <c r="I400" s="21">
        <v>0</v>
      </c>
      <c r="J400" s="21">
        <v>0</v>
      </c>
      <c r="K400" s="21">
        <v>0</v>
      </c>
      <c r="L400" s="21">
        <v>0</v>
      </c>
      <c r="M400" s="21">
        <v>0</v>
      </c>
      <c r="N400" s="21">
        <v>0</v>
      </c>
      <c r="O400" s="21">
        <v>0</v>
      </c>
      <c r="P400" s="21">
        <v>0</v>
      </c>
      <c r="Q400" s="21">
        <v>0</v>
      </c>
      <c r="R400" s="21">
        <v>0</v>
      </c>
      <c r="S400" s="21">
        <v>0</v>
      </c>
      <c r="T400" s="21">
        <v>0</v>
      </c>
      <c r="U400" s="21">
        <v>0</v>
      </c>
      <c r="V400" s="21">
        <v>0</v>
      </c>
      <c r="W400" s="21">
        <v>486</v>
      </c>
      <c r="X400" s="21">
        <v>528</v>
      </c>
      <c r="Y400" s="21">
        <v>718</v>
      </c>
      <c r="Z400" s="21">
        <v>882</v>
      </c>
      <c r="AA400" s="21">
        <v>0</v>
      </c>
      <c r="AB400" s="21">
        <v>0</v>
      </c>
      <c r="AC400" s="21">
        <v>0</v>
      </c>
      <c r="AD400" s="21">
        <v>0</v>
      </c>
      <c r="AE400" s="21">
        <v>0</v>
      </c>
      <c r="AF400" s="21">
        <v>0</v>
      </c>
      <c r="AG400" s="21">
        <v>0</v>
      </c>
      <c r="AH400" s="21">
        <v>0</v>
      </c>
      <c r="AI400" s="21">
        <v>0</v>
      </c>
      <c r="AJ400" s="21">
        <v>0</v>
      </c>
      <c r="AK400" s="21">
        <v>0</v>
      </c>
      <c r="AL400" s="21">
        <v>0</v>
      </c>
      <c r="AM400" s="21">
        <v>0</v>
      </c>
      <c r="AN400" s="21">
        <v>0</v>
      </c>
      <c r="AO400" s="21">
        <v>0</v>
      </c>
      <c r="AP400" s="21">
        <v>0</v>
      </c>
      <c r="AQ400" s="21">
        <v>0</v>
      </c>
      <c r="AR400" s="21">
        <v>0</v>
      </c>
      <c r="AS400" s="21">
        <v>0</v>
      </c>
      <c r="AT400" s="21">
        <v>0</v>
      </c>
      <c r="AU400" s="21">
        <v>0</v>
      </c>
      <c r="AV400" s="21">
        <v>0</v>
      </c>
      <c r="AW400" s="21">
        <v>0</v>
      </c>
      <c r="AX400" s="21">
        <v>0</v>
      </c>
      <c r="AY400" s="21">
        <v>0</v>
      </c>
      <c r="AZ400" s="21">
        <v>0</v>
      </c>
      <c r="BA400" s="21">
        <v>0</v>
      </c>
      <c r="BB400" s="21">
        <v>0</v>
      </c>
      <c r="BC400" s="21">
        <v>0</v>
      </c>
      <c r="BD400" s="21">
        <v>0</v>
      </c>
      <c r="BE400" s="21">
        <v>0</v>
      </c>
      <c r="BF400" s="21">
        <v>0</v>
      </c>
      <c r="BG400" s="21">
        <v>0</v>
      </c>
      <c r="BH400" s="21">
        <v>0</v>
      </c>
      <c r="BI400" s="21">
        <v>0</v>
      </c>
      <c r="BJ400" s="21">
        <v>0</v>
      </c>
      <c r="BK400" s="21">
        <v>0</v>
      </c>
      <c r="BL400" s="21">
        <v>0</v>
      </c>
      <c r="BM400" s="21">
        <v>0</v>
      </c>
    </row>
    <row r="401" spans="1:65" x14ac:dyDescent="0.2">
      <c r="A401" s="21" t="s">
        <v>1413</v>
      </c>
      <c r="B401" s="21" t="s">
        <v>1414</v>
      </c>
      <c r="C401" s="21" t="s">
        <v>1300</v>
      </c>
      <c r="D401" s="21">
        <v>0</v>
      </c>
      <c r="E401" s="21">
        <v>0</v>
      </c>
      <c r="F401" s="21">
        <v>0</v>
      </c>
      <c r="G401" s="21">
        <v>0</v>
      </c>
      <c r="H401" s="21">
        <v>0</v>
      </c>
      <c r="I401" s="21">
        <v>0</v>
      </c>
      <c r="J401" s="21">
        <v>0</v>
      </c>
      <c r="K401" s="21">
        <v>0</v>
      </c>
      <c r="L401" s="21">
        <v>0</v>
      </c>
      <c r="M401" s="21">
        <v>0</v>
      </c>
      <c r="N401" s="21">
        <v>0</v>
      </c>
      <c r="O401" s="21">
        <v>0</v>
      </c>
      <c r="P401" s="21">
        <v>0</v>
      </c>
      <c r="Q401" s="21">
        <v>0</v>
      </c>
      <c r="R401" s="21">
        <v>0</v>
      </c>
      <c r="S401" s="21">
        <v>0</v>
      </c>
      <c r="T401" s="21">
        <v>0</v>
      </c>
      <c r="U401" s="21">
        <v>0</v>
      </c>
      <c r="V401" s="21">
        <v>0</v>
      </c>
      <c r="W401" s="21">
        <v>128</v>
      </c>
      <c r="X401" s="21">
        <v>139</v>
      </c>
      <c r="Y401" s="21">
        <v>189</v>
      </c>
      <c r="Z401" s="21">
        <v>232</v>
      </c>
      <c r="AA401" s="21">
        <v>0</v>
      </c>
      <c r="AB401" s="21">
        <v>0</v>
      </c>
      <c r="AC401" s="21">
        <v>0</v>
      </c>
      <c r="AD401" s="21">
        <v>0</v>
      </c>
      <c r="AE401" s="21">
        <v>0</v>
      </c>
      <c r="AF401" s="21">
        <v>0</v>
      </c>
      <c r="AG401" s="21">
        <v>0</v>
      </c>
      <c r="AH401" s="21">
        <v>0</v>
      </c>
      <c r="AI401" s="21">
        <v>0</v>
      </c>
      <c r="AJ401" s="21">
        <v>0</v>
      </c>
      <c r="AK401" s="21">
        <v>0</v>
      </c>
      <c r="AL401" s="21">
        <v>0</v>
      </c>
      <c r="AM401" s="21">
        <v>0</v>
      </c>
      <c r="AN401" s="21">
        <v>0</v>
      </c>
      <c r="AO401" s="21">
        <v>0</v>
      </c>
      <c r="AP401" s="21">
        <v>0</v>
      </c>
      <c r="AQ401" s="21">
        <v>0</v>
      </c>
      <c r="AR401" s="21">
        <v>0</v>
      </c>
      <c r="AS401" s="21">
        <v>0</v>
      </c>
      <c r="AT401" s="21">
        <v>0</v>
      </c>
      <c r="AU401" s="21">
        <v>0</v>
      </c>
      <c r="AV401" s="21">
        <v>0</v>
      </c>
      <c r="AW401" s="21">
        <v>0</v>
      </c>
      <c r="AX401" s="21">
        <v>0</v>
      </c>
      <c r="AY401" s="21">
        <v>0</v>
      </c>
      <c r="AZ401" s="21">
        <v>0</v>
      </c>
      <c r="BA401" s="21">
        <v>0</v>
      </c>
      <c r="BB401" s="21">
        <v>0</v>
      </c>
      <c r="BC401" s="21">
        <v>0</v>
      </c>
      <c r="BD401" s="21">
        <v>0</v>
      </c>
      <c r="BE401" s="21">
        <v>0</v>
      </c>
      <c r="BF401" s="21">
        <v>0</v>
      </c>
      <c r="BG401" s="21">
        <v>0</v>
      </c>
      <c r="BH401" s="21">
        <v>0</v>
      </c>
      <c r="BI401" s="21">
        <v>0</v>
      </c>
      <c r="BJ401" s="21">
        <v>0</v>
      </c>
      <c r="BK401" s="21">
        <v>0</v>
      </c>
      <c r="BL401" s="21">
        <v>0</v>
      </c>
      <c r="BM401" s="21">
        <v>0</v>
      </c>
    </row>
    <row r="402" spans="1:65" x14ac:dyDescent="0.2">
      <c r="A402" s="21" t="s">
        <v>1413</v>
      </c>
      <c r="B402" s="21" t="s">
        <v>1414</v>
      </c>
      <c r="C402" s="21" t="s">
        <v>1301</v>
      </c>
      <c r="D402" s="21">
        <v>11868</v>
      </c>
      <c r="E402" s="21">
        <v>11146</v>
      </c>
      <c r="F402" s="21">
        <v>10630</v>
      </c>
      <c r="G402" s="21">
        <v>10165</v>
      </c>
      <c r="H402" s="21">
        <v>9460</v>
      </c>
      <c r="I402" s="21">
        <v>8858</v>
      </c>
      <c r="J402" s="21">
        <v>8617</v>
      </c>
      <c r="K402" s="21">
        <v>8325</v>
      </c>
      <c r="L402" s="21">
        <v>8136</v>
      </c>
      <c r="M402" s="21">
        <v>7860</v>
      </c>
      <c r="N402" s="21">
        <v>7534</v>
      </c>
      <c r="O402" s="21">
        <v>7190</v>
      </c>
      <c r="P402" s="21">
        <v>7190</v>
      </c>
      <c r="Q402" s="21">
        <v>6708</v>
      </c>
      <c r="R402" s="21">
        <v>7018</v>
      </c>
      <c r="S402" s="21">
        <v>8067</v>
      </c>
      <c r="T402" s="21">
        <v>9099</v>
      </c>
      <c r="U402" s="21">
        <v>10286</v>
      </c>
      <c r="V402" s="21">
        <v>11834</v>
      </c>
      <c r="W402" s="21">
        <v>13812</v>
      </c>
      <c r="X402" s="21">
        <v>21000</v>
      </c>
      <c r="Y402" s="21">
        <v>21000</v>
      </c>
      <c r="Z402" s="21">
        <v>22000</v>
      </c>
      <c r="AA402" s="21">
        <v>22000</v>
      </c>
      <c r="AB402" s="21">
        <v>22000</v>
      </c>
      <c r="AC402" s="21">
        <v>24000</v>
      </c>
      <c r="AD402" s="21">
        <v>27000</v>
      </c>
      <c r="AE402" s="21">
        <v>29000</v>
      </c>
      <c r="AF402" s="21">
        <v>32000</v>
      </c>
      <c r="AG402" s="21">
        <v>76485</v>
      </c>
      <c r="AH402" s="21">
        <v>65738</v>
      </c>
      <c r="AI402" s="21">
        <v>68440</v>
      </c>
      <c r="AJ402" s="21">
        <v>72027</v>
      </c>
      <c r="AK402" s="21">
        <v>75597</v>
      </c>
      <c r="AL402" s="21">
        <v>71715</v>
      </c>
      <c r="AM402" s="21">
        <v>72379</v>
      </c>
      <c r="AN402" s="21">
        <v>75668</v>
      </c>
      <c r="AO402" s="21">
        <v>73386</v>
      </c>
      <c r="AP402" s="21">
        <v>64014</v>
      </c>
      <c r="AQ402" s="21">
        <v>66621</v>
      </c>
      <c r="AR402" s="21">
        <v>71469</v>
      </c>
      <c r="AS402" s="21">
        <v>66788</v>
      </c>
      <c r="AT402" s="21">
        <v>68658</v>
      </c>
      <c r="AU402" s="21">
        <v>71435</v>
      </c>
      <c r="AV402" s="21">
        <v>70328</v>
      </c>
      <c r="AW402" s="21">
        <v>69995</v>
      </c>
      <c r="AX402" s="21">
        <v>65106</v>
      </c>
      <c r="AY402" s="21">
        <v>69796</v>
      </c>
      <c r="AZ402" s="21">
        <v>72903</v>
      </c>
      <c r="BA402" s="21">
        <v>72595</v>
      </c>
      <c r="BB402" s="21">
        <v>71617</v>
      </c>
      <c r="BC402" s="21">
        <v>69159</v>
      </c>
      <c r="BD402" s="21">
        <v>60683</v>
      </c>
      <c r="BE402" s="21">
        <v>70164</v>
      </c>
      <c r="BF402" s="21">
        <v>76289</v>
      </c>
      <c r="BG402" s="21">
        <v>79288</v>
      </c>
      <c r="BH402" s="21">
        <v>83740</v>
      </c>
      <c r="BI402" s="21">
        <v>83730</v>
      </c>
      <c r="BJ402" s="21">
        <v>84073</v>
      </c>
      <c r="BK402" s="21">
        <v>84299</v>
      </c>
      <c r="BL402" s="21">
        <v>82950</v>
      </c>
      <c r="BM402" s="21">
        <v>82704</v>
      </c>
    </row>
    <row r="403" spans="1:65" x14ac:dyDescent="0.2">
      <c r="A403" s="21" t="s">
        <v>1413</v>
      </c>
      <c r="B403" s="21" t="s">
        <v>1414</v>
      </c>
      <c r="C403" s="21" t="s">
        <v>1303</v>
      </c>
      <c r="D403" s="21">
        <v>0</v>
      </c>
      <c r="E403" s="21">
        <v>0</v>
      </c>
      <c r="F403" s="21">
        <v>0</v>
      </c>
      <c r="G403" s="21">
        <v>0</v>
      </c>
      <c r="H403" s="21">
        <v>0</v>
      </c>
      <c r="I403" s="21">
        <v>0</v>
      </c>
      <c r="J403" s="21">
        <v>0</v>
      </c>
      <c r="K403" s="21">
        <v>0</v>
      </c>
      <c r="L403" s="21">
        <v>0</v>
      </c>
      <c r="M403" s="21">
        <v>0</v>
      </c>
      <c r="N403" s="21">
        <v>0</v>
      </c>
      <c r="O403" s="21">
        <v>0</v>
      </c>
      <c r="P403" s="21">
        <v>0</v>
      </c>
      <c r="Q403" s="21">
        <v>0</v>
      </c>
      <c r="R403" s="21">
        <v>0</v>
      </c>
      <c r="S403" s="21">
        <v>0</v>
      </c>
      <c r="T403" s="21">
        <v>0</v>
      </c>
      <c r="U403" s="21">
        <v>0</v>
      </c>
      <c r="V403" s="21">
        <v>0</v>
      </c>
      <c r="W403" s="21">
        <v>0</v>
      </c>
      <c r="X403" s="21">
        <v>0</v>
      </c>
      <c r="Y403" s="21">
        <v>0</v>
      </c>
      <c r="Z403" s="21">
        <v>2048</v>
      </c>
      <c r="AA403" s="21">
        <v>2271</v>
      </c>
      <c r="AB403" s="21">
        <v>4817</v>
      </c>
      <c r="AC403" s="21">
        <v>7765</v>
      </c>
      <c r="AD403" s="21">
        <v>5134</v>
      </c>
      <c r="AE403" s="21">
        <v>8159</v>
      </c>
      <c r="AF403" s="21">
        <v>9663</v>
      </c>
      <c r="AG403" s="21">
        <v>99573</v>
      </c>
      <c r="AH403" s="21">
        <v>128515</v>
      </c>
      <c r="AI403" s="21">
        <v>125796</v>
      </c>
      <c r="AJ403" s="21">
        <v>140219</v>
      </c>
      <c r="AK403" s="21">
        <v>149832</v>
      </c>
      <c r="AL403" s="21">
        <v>152334</v>
      </c>
      <c r="AM403" s="21">
        <v>125411</v>
      </c>
      <c r="AN403" s="21">
        <v>137860</v>
      </c>
      <c r="AO403" s="21">
        <v>136991</v>
      </c>
      <c r="AP403" s="21">
        <v>136709</v>
      </c>
      <c r="AQ403" s="21">
        <v>138026</v>
      </c>
      <c r="AR403" s="21">
        <v>134320</v>
      </c>
      <c r="AS403" s="21">
        <v>126401</v>
      </c>
      <c r="AT403" s="21">
        <v>150190</v>
      </c>
      <c r="AU403" s="21">
        <v>167290</v>
      </c>
      <c r="AV403" s="21">
        <v>165189</v>
      </c>
      <c r="AW403" s="21">
        <v>184973</v>
      </c>
      <c r="AX403" s="21">
        <v>181815</v>
      </c>
      <c r="AY403" s="21">
        <v>185956</v>
      </c>
      <c r="AZ403" s="21">
        <v>177348</v>
      </c>
      <c r="BA403" s="21">
        <v>180046</v>
      </c>
      <c r="BB403" s="21">
        <v>195597</v>
      </c>
      <c r="BC403" s="21">
        <v>182159</v>
      </c>
      <c r="BD403" s="21">
        <v>190191</v>
      </c>
      <c r="BE403" s="21">
        <v>207426</v>
      </c>
      <c r="BF403" s="21">
        <v>251253</v>
      </c>
      <c r="BG403" s="21">
        <v>243857</v>
      </c>
      <c r="BH403" s="21">
        <v>224407</v>
      </c>
      <c r="BI403" s="21">
        <v>229324</v>
      </c>
      <c r="BJ403" s="21">
        <v>221063</v>
      </c>
      <c r="BK403" s="21">
        <v>200524</v>
      </c>
      <c r="BL403" s="21">
        <v>185374</v>
      </c>
      <c r="BM403" s="21">
        <v>196746</v>
      </c>
    </row>
    <row r="404" spans="1:65" x14ac:dyDescent="0.2">
      <c r="A404" s="21" t="s">
        <v>1413</v>
      </c>
      <c r="B404" s="21" t="s">
        <v>1414</v>
      </c>
      <c r="C404" s="21" t="s">
        <v>1307</v>
      </c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>
        <v>6864</v>
      </c>
      <c r="BA404" s="21">
        <v>6939</v>
      </c>
      <c r="BB404" s="21">
        <v>7037</v>
      </c>
      <c r="BC404" s="21">
        <v>7077</v>
      </c>
      <c r="BD404" s="21">
        <v>7508</v>
      </c>
      <c r="BE404" s="21">
        <v>8354</v>
      </c>
      <c r="BF404" s="21">
        <v>8368</v>
      </c>
      <c r="BG404" s="21">
        <v>8969</v>
      </c>
      <c r="BH404" s="21">
        <v>8936</v>
      </c>
      <c r="BI404" s="21">
        <v>8831</v>
      </c>
      <c r="BJ404" s="21">
        <v>8695</v>
      </c>
      <c r="BK404" s="21">
        <v>8375</v>
      </c>
      <c r="BL404" s="21">
        <v>8327</v>
      </c>
      <c r="BM404" s="21">
        <v>7923</v>
      </c>
    </row>
    <row r="405" spans="1:65" x14ac:dyDescent="0.2">
      <c r="A405" s="21" t="s">
        <v>1413</v>
      </c>
      <c r="B405" s="21" t="s">
        <v>1414</v>
      </c>
      <c r="C405" s="21" t="s">
        <v>1309</v>
      </c>
      <c r="D405" s="21">
        <v>679864</v>
      </c>
      <c r="E405" s="21">
        <v>695413</v>
      </c>
      <c r="F405" s="21">
        <v>728179</v>
      </c>
      <c r="G405" s="21">
        <v>774843</v>
      </c>
      <c r="H405" s="21">
        <v>826735</v>
      </c>
      <c r="I405" s="21">
        <v>854943</v>
      </c>
      <c r="J405" s="21">
        <v>901916</v>
      </c>
      <c r="K405" s="21">
        <v>894658</v>
      </c>
      <c r="L405" s="21">
        <v>981948</v>
      </c>
      <c r="M405" s="21">
        <v>1014232</v>
      </c>
      <c r="N405" s="21">
        <v>1018911</v>
      </c>
      <c r="O405" s="21">
        <v>1039998</v>
      </c>
      <c r="P405" s="21">
        <v>1112668</v>
      </c>
      <c r="Q405" s="21">
        <v>1164853</v>
      </c>
      <c r="R405" s="21">
        <v>1159074</v>
      </c>
      <c r="S405" s="21">
        <v>1063270</v>
      </c>
      <c r="T405" s="21">
        <v>1219876</v>
      </c>
      <c r="U405" s="21">
        <v>1281245</v>
      </c>
      <c r="V405" s="21">
        <v>1400424</v>
      </c>
      <c r="W405" s="21">
        <v>1404862</v>
      </c>
      <c r="X405" s="21">
        <v>1600000</v>
      </c>
      <c r="Y405" s="21">
        <v>1602000</v>
      </c>
      <c r="Z405" s="21">
        <v>1516000</v>
      </c>
      <c r="AA405" s="21">
        <v>1690000</v>
      </c>
      <c r="AB405" s="21">
        <v>1679000</v>
      </c>
      <c r="AC405" s="21">
        <v>1645000</v>
      </c>
      <c r="AD405" s="21">
        <v>1610000</v>
      </c>
      <c r="AE405" s="21">
        <v>1576000</v>
      </c>
      <c r="AF405" s="21">
        <v>1625000</v>
      </c>
      <c r="AG405" s="21">
        <v>1583563</v>
      </c>
      <c r="AH405" s="21">
        <v>1441912</v>
      </c>
      <c r="AI405" s="21">
        <v>1409847</v>
      </c>
      <c r="AJ405" s="21">
        <v>1461223</v>
      </c>
      <c r="AK405" s="21">
        <v>1484345</v>
      </c>
      <c r="AL405" s="21">
        <v>1579770</v>
      </c>
      <c r="AM405" s="21">
        <v>1652078</v>
      </c>
      <c r="AN405" s="21">
        <v>1683499</v>
      </c>
      <c r="AO405" s="21">
        <v>1730613</v>
      </c>
      <c r="AP405" s="21">
        <v>1603440</v>
      </c>
      <c r="AQ405" s="21">
        <v>1619520</v>
      </c>
      <c r="AR405" s="21">
        <v>1635925</v>
      </c>
      <c r="AS405" s="21">
        <v>1442644</v>
      </c>
      <c r="AT405" s="21">
        <v>1396434</v>
      </c>
      <c r="AU405" s="21">
        <v>1363315</v>
      </c>
      <c r="AV405" s="21">
        <v>1475735</v>
      </c>
      <c r="AW405" s="21">
        <v>1451729</v>
      </c>
      <c r="AX405" s="21">
        <v>1472398</v>
      </c>
      <c r="AY405" s="21">
        <v>1413023</v>
      </c>
      <c r="AZ405" s="21">
        <v>1338734</v>
      </c>
      <c r="BA405" s="21">
        <v>1178370</v>
      </c>
      <c r="BB405" s="21">
        <v>1409000</v>
      </c>
      <c r="BC405" s="21">
        <v>1437638</v>
      </c>
      <c r="BD405" s="21">
        <v>1462245</v>
      </c>
      <c r="BE405" s="21">
        <v>1489011</v>
      </c>
      <c r="BF405" s="21">
        <v>1495000</v>
      </c>
      <c r="BG405" s="21">
        <v>1475888</v>
      </c>
      <c r="BH405" s="21">
        <v>1473776</v>
      </c>
      <c r="BI405" s="21">
        <v>1442324</v>
      </c>
      <c r="BJ405" s="21">
        <v>1432000</v>
      </c>
      <c r="BK405" s="21">
        <v>1406983</v>
      </c>
      <c r="BL405" s="21">
        <v>1356188</v>
      </c>
      <c r="BM405" s="21">
        <v>1365859</v>
      </c>
    </row>
    <row r="406" spans="1:65" x14ac:dyDescent="0.2">
      <c r="A406" s="21" t="s">
        <v>1413</v>
      </c>
      <c r="B406" s="21" t="s">
        <v>1414</v>
      </c>
      <c r="C406" s="21" t="s">
        <v>1313</v>
      </c>
      <c r="D406" s="21">
        <v>626630</v>
      </c>
      <c r="E406" s="21">
        <v>586864</v>
      </c>
      <c r="F406" s="21">
        <v>560084</v>
      </c>
      <c r="G406" s="21">
        <v>536967</v>
      </c>
      <c r="H406" s="21">
        <v>499058</v>
      </c>
      <c r="I406" s="21">
        <v>468150</v>
      </c>
      <c r="J406" s="21">
        <v>454974</v>
      </c>
      <c r="K406" s="21">
        <v>433973</v>
      </c>
      <c r="L406" s="21">
        <v>425511</v>
      </c>
      <c r="M406" s="21">
        <v>415053</v>
      </c>
      <c r="N406" s="21">
        <v>400777</v>
      </c>
      <c r="O406" s="21">
        <v>381874</v>
      </c>
      <c r="P406" s="21">
        <v>379776</v>
      </c>
      <c r="Q406" s="21">
        <v>354096</v>
      </c>
      <c r="R406" s="21">
        <v>370952</v>
      </c>
      <c r="S406" s="21">
        <v>425408</v>
      </c>
      <c r="T406" s="21">
        <v>481634</v>
      </c>
      <c r="U406" s="21">
        <v>541783</v>
      </c>
      <c r="V406" s="21">
        <v>621849</v>
      </c>
      <c r="W406" s="21">
        <v>728076</v>
      </c>
      <c r="X406" s="21">
        <v>846192</v>
      </c>
      <c r="Y406" s="21">
        <v>873464</v>
      </c>
      <c r="Z406" s="21">
        <v>971291</v>
      </c>
      <c r="AA406" s="21">
        <v>970000</v>
      </c>
      <c r="AB406" s="21">
        <v>980484</v>
      </c>
      <c r="AC406" s="21">
        <v>1010000</v>
      </c>
      <c r="AD406" s="21">
        <v>920000</v>
      </c>
      <c r="AE406" s="21">
        <v>852692</v>
      </c>
      <c r="AF406" s="21">
        <v>910000</v>
      </c>
      <c r="AG406" s="21">
        <v>920000</v>
      </c>
      <c r="AH406" s="21">
        <v>581872</v>
      </c>
      <c r="AI406" s="21">
        <v>610000</v>
      </c>
      <c r="AJ406" s="21">
        <v>640000</v>
      </c>
      <c r="AK406" s="21">
        <v>547827</v>
      </c>
      <c r="AL406" s="21">
        <v>520000</v>
      </c>
      <c r="AM406" s="21">
        <v>520000</v>
      </c>
      <c r="AN406" s="21">
        <v>540000</v>
      </c>
      <c r="AO406" s="21">
        <v>427620</v>
      </c>
      <c r="AP406" s="21">
        <v>380000</v>
      </c>
      <c r="AQ406" s="21">
        <v>390000</v>
      </c>
      <c r="AR406" s="21">
        <v>420000</v>
      </c>
      <c r="AS406" s="21">
        <v>374361</v>
      </c>
      <c r="AT406" s="21">
        <v>380000</v>
      </c>
      <c r="AU406" s="21">
        <v>400000</v>
      </c>
      <c r="AV406" s="21">
        <v>410000</v>
      </c>
      <c r="AW406" s="21">
        <v>428457</v>
      </c>
      <c r="AX406" s="21">
        <v>380000</v>
      </c>
      <c r="AY406" s="21">
        <v>420000</v>
      </c>
      <c r="AZ406" s="21">
        <v>470000</v>
      </c>
      <c r="BA406" s="21">
        <v>503980</v>
      </c>
      <c r="BB406" s="21">
        <v>540526</v>
      </c>
      <c r="BC406" s="21">
        <v>524264</v>
      </c>
      <c r="BD406" s="21">
        <v>438095</v>
      </c>
      <c r="BE406" s="21">
        <v>571655</v>
      </c>
      <c r="BF406" s="21">
        <v>578535</v>
      </c>
      <c r="BG406" s="21">
        <v>512736</v>
      </c>
      <c r="BH406" s="21">
        <v>444642</v>
      </c>
      <c r="BI406" s="21">
        <v>429579</v>
      </c>
      <c r="BJ406" s="21">
        <v>524859</v>
      </c>
      <c r="BK406" s="21">
        <v>545509</v>
      </c>
      <c r="BL406" s="21">
        <v>440208</v>
      </c>
      <c r="BM406" s="21">
        <v>438968</v>
      </c>
    </row>
    <row r="407" spans="1:65" x14ac:dyDescent="0.2">
      <c r="A407" s="21" t="s">
        <v>1413</v>
      </c>
      <c r="B407" s="21" t="s">
        <v>1414</v>
      </c>
      <c r="C407" s="21" t="s">
        <v>1323</v>
      </c>
      <c r="D407" s="21">
        <v>1318363</v>
      </c>
      <c r="E407" s="21">
        <v>1293423</v>
      </c>
      <c r="F407" s="21">
        <v>1298892</v>
      </c>
      <c r="G407" s="21">
        <v>1321975</v>
      </c>
      <c r="H407" s="21">
        <v>1335253</v>
      </c>
      <c r="I407" s="21">
        <v>1331951</v>
      </c>
      <c r="J407" s="21">
        <v>1365508</v>
      </c>
      <c r="K407" s="21">
        <v>1336956</v>
      </c>
      <c r="L407" s="21">
        <v>1415594</v>
      </c>
      <c r="M407" s="21">
        <v>1437146</v>
      </c>
      <c r="N407" s="21">
        <v>1427222</v>
      </c>
      <c r="O407" s="21">
        <v>1429062</v>
      </c>
      <c r="P407" s="21">
        <v>1499634</v>
      </c>
      <c r="Q407" s="21">
        <v>1525657</v>
      </c>
      <c r="R407" s="21">
        <v>1537044</v>
      </c>
      <c r="S407" s="21">
        <v>1496744</v>
      </c>
      <c r="T407" s="21">
        <v>1710609</v>
      </c>
      <c r="U407" s="21">
        <v>1833314</v>
      </c>
      <c r="V407" s="21">
        <v>2034106</v>
      </c>
      <c r="W407" s="21">
        <v>2146749</v>
      </c>
      <c r="X407" s="21">
        <v>2467192</v>
      </c>
      <c r="Y407" s="21">
        <v>2496464</v>
      </c>
      <c r="Z407" s="21">
        <v>2511340</v>
      </c>
      <c r="AA407" s="21">
        <v>2684271</v>
      </c>
      <c r="AB407" s="21">
        <v>2686301</v>
      </c>
      <c r="AC407" s="21">
        <v>2686765</v>
      </c>
      <c r="AD407" s="21">
        <v>2562134</v>
      </c>
      <c r="AE407" s="21">
        <v>2465851</v>
      </c>
      <c r="AF407" s="21">
        <v>2576663</v>
      </c>
      <c r="AG407" s="21">
        <v>2679621</v>
      </c>
      <c r="AH407" s="21">
        <v>2218037</v>
      </c>
      <c r="AI407" s="21">
        <v>2214083</v>
      </c>
      <c r="AJ407" s="21">
        <v>2313469</v>
      </c>
      <c r="AK407" s="21">
        <v>2257601</v>
      </c>
      <c r="AL407" s="21">
        <v>2323819</v>
      </c>
      <c r="AM407" s="21">
        <v>2369868</v>
      </c>
      <c r="AN407" s="21">
        <v>2437027</v>
      </c>
      <c r="AO407" s="21">
        <v>2368610</v>
      </c>
      <c r="AP407" s="21">
        <v>2184163</v>
      </c>
      <c r="AQ407" s="21">
        <v>2214167</v>
      </c>
      <c r="AR407" s="21">
        <v>2261714</v>
      </c>
      <c r="AS407" s="21">
        <v>2010194</v>
      </c>
      <c r="AT407" s="21">
        <v>1995282</v>
      </c>
      <c r="AU407" s="21">
        <v>2002040</v>
      </c>
      <c r="AV407" s="21">
        <v>2121252</v>
      </c>
      <c r="AW407" s="21">
        <v>2135154</v>
      </c>
      <c r="AX407" s="21">
        <v>2099320</v>
      </c>
      <c r="AY407" s="21">
        <v>2088775</v>
      </c>
      <c r="AZ407" s="21">
        <v>2058985</v>
      </c>
      <c r="BA407" s="21">
        <v>1934990</v>
      </c>
      <c r="BB407" s="21">
        <v>2216740</v>
      </c>
      <c r="BC407" s="21">
        <v>2213219</v>
      </c>
      <c r="BD407" s="21">
        <v>2151214</v>
      </c>
      <c r="BE407" s="21">
        <v>2338256</v>
      </c>
      <c r="BF407" s="21">
        <v>2401077</v>
      </c>
      <c r="BG407" s="21">
        <v>2311769</v>
      </c>
      <c r="BH407" s="21">
        <v>2226565</v>
      </c>
      <c r="BI407" s="21">
        <v>2184957</v>
      </c>
      <c r="BJ407" s="21">
        <v>2261995</v>
      </c>
      <c r="BK407" s="21">
        <v>2237315</v>
      </c>
      <c r="BL407" s="21">
        <v>2064720</v>
      </c>
      <c r="BM407" s="21">
        <v>2084276</v>
      </c>
    </row>
    <row r="408" spans="1:65" x14ac:dyDescent="0.2">
      <c r="A408" s="21" t="s">
        <v>1413</v>
      </c>
      <c r="B408" s="21" t="s">
        <v>1414</v>
      </c>
      <c r="C408" s="21" t="s">
        <v>1325</v>
      </c>
      <c r="D408" s="21">
        <v>0</v>
      </c>
      <c r="E408" s="21">
        <v>0</v>
      </c>
      <c r="F408" s="21">
        <v>0</v>
      </c>
      <c r="G408" s="21">
        <v>0</v>
      </c>
      <c r="H408" s="21">
        <v>0</v>
      </c>
      <c r="I408" s="21">
        <v>0</v>
      </c>
      <c r="J408" s="21">
        <v>0</v>
      </c>
      <c r="K408" s="21">
        <v>0</v>
      </c>
      <c r="L408" s="21">
        <v>0</v>
      </c>
      <c r="M408" s="21">
        <v>0</v>
      </c>
      <c r="N408" s="21">
        <v>0</v>
      </c>
      <c r="O408" s="21">
        <v>0</v>
      </c>
      <c r="P408" s="21">
        <v>0</v>
      </c>
      <c r="Q408" s="21">
        <v>0</v>
      </c>
      <c r="R408" s="21">
        <v>0</v>
      </c>
      <c r="S408" s="21">
        <v>0</v>
      </c>
      <c r="T408" s="21">
        <v>0</v>
      </c>
      <c r="U408" s="21">
        <v>0</v>
      </c>
      <c r="V408" s="21">
        <v>0</v>
      </c>
      <c r="W408" s="21">
        <v>0</v>
      </c>
      <c r="X408" s="21">
        <v>0</v>
      </c>
      <c r="Y408" s="21">
        <v>0</v>
      </c>
      <c r="Z408" s="21">
        <v>0</v>
      </c>
      <c r="AA408" s="21">
        <v>0</v>
      </c>
      <c r="AB408" s="21">
        <v>0</v>
      </c>
      <c r="AC408" s="21">
        <v>0</v>
      </c>
      <c r="AD408" s="21">
        <v>0</v>
      </c>
      <c r="AE408" s="21">
        <v>0</v>
      </c>
      <c r="AF408" s="21">
        <v>0</v>
      </c>
      <c r="AG408" s="21">
        <v>21996</v>
      </c>
      <c r="AH408" s="21">
        <v>27765</v>
      </c>
      <c r="AI408" s="21">
        <v>26484</v>
      </c>
      <c r="AJ408" s="21">
        <v>32451</v>
      </c>
      <c r="AK408" s="21">
        <v>33390</v>
      </c>
      <c r="AL408" s="21">
        <v>34522</v>
      </c>
      <c r="AM408" s="21">
        <v>40199</v>
      </c>
      <c r="AN408" s="21">
        <v>53028</v>
      </c>
      <c r="AO408" s="21">
        <v>57610</v>
      </c>
      <c r="AP408" s="21">
        <v>54160</v>
      </c>
      <c r="AQ408" s="21">
        <v>53917</v>
      </c>
      <c r="AR408" s="21">
        <v>47255</v>
      </c>
      <c r="AS408" s="21">
        <v>24544</v>
      </c>
      <c r="AT408" s="21">
        <v>25880</v>
      </c>
      <c r="AU408" s="21">
        <v>29027</v>
      </c>
      <c r="AV408" s="21">
        <v>34237</v>
      </c>
      <c r="AW408" s="21">
        <v>34249</v>
      </c>
      <c r="AX408" s="21">
        <v>36309</v>
      </c>
      <c r="AY408" s="21">
        <v>30960</v>
      </c>
      <c r="AZ408" s="21">
        <v>34214</v>
      </c>
      <c r="BA408" s="21">
        <v>36355</v>
      </c>
      <c r="BB408" s="21">
        <v>35959</v>
      </c>
      <c r="BC408" s="21">
        <v>42543</v>
      </c>
      <c r="BD408" s="21">
        <v>45247</v>
      </c>
      <c r="BE408" s="21">
        <v>47077</v>
      </c>
      <c r="BF408" s="21">
        <v>46963</v>
      </c>
      <c r="BG408" s="21">
        <v>47029</v>
      </c>
      <c r="BH408" s="21">
        <v>48131</v>
      </c>
      <c r="BI408" s="21">
        <v>47506</v>
      </c>
      <c r="BJ408" s="21">
        <v>46924</v>
      </c>
      <c r="BK408" s="21">
        <v>39040</v>
      </c>
      <c r="BL408" s="21">
        <v>37854</v>
      </c>
      <c r="BM408" s="21">
        <v>39306</v>
      </c>
    </row>
    <row r="409" spans="1:65" x14ac:dyDescent="0.2">
      <c r="A409" s="21" t="s">
        <v>1413</v>
      </c>
      <c r="B409" s="21" t="s">
        <v>1414</v>
      </c>
      <c r="C409" s="21" t="s">
        <v>1327</v>
      </c>
      <c r="D409" s="21">
        <v>1508</v>
      </c>
      <c r="E409" s="21">
        <v>1339</v>
      </c>
      <c r="F409" s="21">
        <v>1349</v>
      </c>
      <c r="G409" s="21">
        <v>1341</v>
      </c>
      <c r="H409" s="21">
        <v>1549</v>
      </c>
      <c r="I409" s="21">
        <v>2810</v>
      </c>
      <c r="J409" s="21">
        <v>3478</v>
      </c>
      <c r="K409" s="21">
        <v>3293</v>
      </c>
      <c r="L409" s="21">
        <v>3900</v>
      </c>
      <c r="M409" s="21">
        <v>3342</v>
      </c>
      <c r="N409" s="21">
        <v>3741</v>
      </c>
      <c r="O409" s="21">
        <v>3261</v>
      </c>
      <c r="P409" s="21">
        <v>3432</v>
      </c>
      <c r="Q409" s="21">
        <v>3411</v>
      </c>
      <c r="R409" s="21">
        <v>2618</v>
      </c>
      <c r="S409" s="21">
        <v>1989</v>
      </c>
      <c r="T409" s="21">
        <v>2764</v>
      </c>
      <c r="U409" s="21">
        <v>5018</v>
      </c>
      <c r="V409" s="21">
        <v>3498</v>
      </c>
      <c r="W409" s="21">
        <v>5156</v>
      </c>
      <c r="X409" s="21">
        <v>4500</v>
      </c>
      <c r="Y409" s="21">
        <v>3845</v>
      </c>
      <c r="Z409" s="21">
        <v>1307</v>
      </c>
      <c r="AA409" s="21">
        <v>1712</v>
      </c>
      <c r="AB409" s="21">
        <v>4432</v>
      </c>
      <c r="AC409" s="21">
        <v>6682</v>
      </c>
      <c r="AD409" s="21">
        <v>7158</v>
      </c>
      <c r="AE409" s="21">
        <v>7230</v>
      </c>
      <c r="AF409" s="21">
        <v>7622</v>
      </c>
      <c r="AG409" s="21">
        <v>131954</v>
      </c>
      <c r="AH409" s="21">
        <v>187990</v>
      </c>
      <c r="AI409" s="21">
        <v>228558</v>
      </c>
      <c r="AJ409" s="21">
        <v>262234</v>
      </c>
      <c r="AK409" s="21">
        <v>264794</v>
      </c>
      <c r="AL409" s="21">
        <v>281553</v>
      </c>
      <c r="AM409" s="21">
        <v>296251</v>
      </c>
      <c r="AN409" s="21">
        <v>300412</v>
      </c>
      <c r="AO409" s="21">
        <v>308977</v>
      </c>
      <c r="AP409" s="21">
        <v>307788</v>
      </c>
      <c r="AQ409" s="21">
        <v>315199</v>
      </c>
      <c r="AR409" s="21">
        <v>318437</v>
      </c>
      <c r="AS409" s="21">
        <v>210740</v>
      </c>
      <c r="AT409" s="21">
        <v>229781</v>
      </c>
      <c r="AU409" s="21">
        <v>224808</v>
      </c>
      <c r="AV409" s="21">
        <v>217889</v>
      </c>
      <c r="AW409" s="21">
        <v>216491</v>
      </c>
      <c r="AX409" s="21">
        <v>226236</v>
      </c>
      <c r="AY409" s="21">
        <v>233356</v>
      </c>
      <c r="AZ409" s="21">
        <v>253967</v>
      </c>
      <c r="BA409" s="21">
        <v>257624</v>
      </c>
      <c r="BB409" s="21">
        <v>263775</v>
      </c>
      <c r="BC409" s="21">
        <v>254568</v>
      </c>
      <c r="BD409" s="21">
        <v>262453</v>
      </c>
      <c r="BE409" s="21">
        <v>262185</v>
      </c>
      <c r="BF409" s="21">
        <v>278890</v>
      </c>
      <c r="BG409" s="21">
        <v>281022</v>
      </c>
      <c r="BH409" s="21">
        <v>280662</v>
      </c>
      <c r="BI409" s="21">
        <v>280217</v>
      </c>
      <c r="BJ409" s="21">
        <v>275021</v>
      </c>
      <c r="BK409" s="21">
        <v>247613</v>
      </c>
      <c r="BL409" s="21">
        <v>242199</v>
      </c>
      <c r="BM409" s="21">
        <v>229465</v>
      </c>
    </row>
    <row r="410" spans="1:65" x14ac:dyDescent="0.2">
      <c r="A410" s="21" t="s">
        <v>1413</v>
      </c>
      <c r="B410" s="21" t="s">
        <v>1414</v>
      </c>
      <c r="C410" s="21" t="s">
        <v>1329</v>
      </c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>
        <v>4186</v>
      </c>
      <c r="BA410" s="21">
        <v>4317</v>
      </c>
      <c r="BB410" s="21">
        <v>4369</v>
      </c>
      <c r="BC410" s="21">
        <v>4536</v>
      </c>
      <c r="BD410" s="21">
        <v>4811</v>
      </c>
      <c r="BE410" s="21">
        <v>5043</v>
      </c>
      <c r="BF410" s="21">
        <v>5167</v>
      </c>
      <c r="BG410" s="21">
        <v>5125</v>
      </c>
      <c r="BH410" s="21">
        <v>5089</v>
      </c>
      <c r="BI410" s="21">
        <v>5130</v>
      </c>
      <c r="BJ410" s="21">
        <v>5039</v>
      </c>
      <c r="BK410" s="21">
        <v>4739</v>
      </c>
      <c r="BL410" s="21">
        <v>4623</v>
      </c>
      <c r="BM410" s="21">
        <v>4469</v>
      </c>
    </row>
    <row r="411" spans="1:65" x14ac:dyDescent="0.2">
      <c r="A411" s="21" t="s">
        <v>1413</v>
      </c>
      <c r="B411" s="21" t="s">
        <v>1414</v>
      </c>
      <c r="C411" s="21" t="s">
        <v>1331</v>
      </c>
      <c r="D411" s="21">
        <v>0</v>
      </c>
      <c r="E411" s="21">
        <v>0</v>
      </c>
      <c r="F411" s="21">
        <v>0</v>
      </c>
      <c r="G411" s="21">
        <v>0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M411" s="21">
        <v>0</v>
      </c>
      <c r="N411" s="21">
        <v>0</v>
      </c>
      <c r="O411" s="21">
        <v>0</v>
      </c>
      <c r="P411" s="21">
        <v>0</v>
      </c>
      <c r="Q411" s="21">
        <v>0</v>
      </c>
      <c r="R411" s="21">
        <v>0</v>
      </c>
      <c r="S411" s="21">
        <v>0</v>
      </c>
      <c r="T411" s="21">
        <v>0</v>
      </c>
      <c r="U411" s="21">
        <v>0</v>
      </c>
      <c r="V411" s="21">
        <v>0</v>
      </c>
      <c r="W411" s="21">
        <v>0</v>
      </c>
      <c r="X411" s="21">
        <v>0</v>
      </c>
      <c r="Y411" s="21">
        <v>86718</v>
      </c>
      <c r="Z411" s="21">
        <v>117693</v>
      </c>
      <c r="AA411" s="21">
        <v>155288</v>
      </c>
      <c r="AB411" s="21">
        <v>203568</v>
      </c>
      <c r="AC411" s="21">
        <v>229635</v>
      </c>
      <c r="AD411" s="21">
        <v>255703</v>
      </c>
      <c r="AE411" s="21">
        <v>281770</v>
      </c>
      <c r="AF411" s="21">
        <v>307706</v>
      </c>
      <c r="AG411" s="21">
        <v>200405</v>
      </c>
      <c r="AH411" s="21">
        <v>192323</v>
      </c>
      <c r="AI411" s="21">
        <v>184674</v>
      </c>
      <c r="AJ411" s="21">
        <v>178514</v>
      </c>
      <c r="AK411" s="21">
        <v>181157</v>
      </c>
      <c r="AL411" s="21">
        <v>199247</v>
      </c>
      <c r="AM411" s="21">
        <v>195026</v>
      </c>
      <c r="AN411" s="21">
        <v>223549</v>
      </c>
      <c r="AO411" s="21">
        <v>184014</v>
      </c>
      <c r="AP411" s="21">
        <v>180344</v>
      </c>
      <c r="AQ411" s="21">
        <v>171042</v>
      </c>
      <c r="AR411" s="21">
        <v>145111</v>
      </c>
      <c r="AS411" s="21">
        <v>128595</v>
      </c>
      <c r="AT411" s="21">
        <v>146345</v>
      </c>
      <c r="AU411" s="21">
        <v>147513</v>
      </c>
      <c r="AV411" s="21">
        <v>136918</v>
      </c>
      <c r="AW411" s="21">
        <v>152480</v>
      </c>
      <c r="AX411" s="21">
        <v>134015</v>
      </c>
      <c r="AY411" s="21">
        <v>148919</v>
      </c>
      <c r="AZ411" s="21">
        <v>147082</v>
      </c>
      <c r="BA411" s="21">
        <v>157708</v>
      </c>
      <c r="BB411" s="21">
        <v>168178</v>
      </c>
      <c r="BC411" s="21">
        <v>164682</v>
      </c>
      <c r="BD411" s="21">
        <v>158904</v>
      </c>
      <c r="BE411" s="21">
        <v>187174</v>
      </c>
      <c r="BF411" s="21">
        <v>190025</v>
      </c>
      <c r="BG411" s="21">
        <v>190320</v>
      </c>
      <c r="BH411" s="21">
        <v>174425</v>
      </c>
      <c r="BI411" s="21">
        <v>167536</v>
      </c>
      <c r="BJ411" s="21">
        <v>165402</v>
      </c>
      <c r="BK411" s="21">
        <v>155793</v>
      </c>
      <c r="BL411" s="21">
        <v>159681</v>
      </c>
      <c r="BM411" s="21">
        <v>161496</v>
      </c>
    </row>
    <row r="412" spans="1:65" x14ac:dyDescent="0.2">
      <c r="A412" s="21" t="s">
        <v>1413</v>
      </c>
      <c r="B412" s="21" t="s">
        <v>1414</v>
      </c>
      <c r="C412" s="21" t="s">
        <v>1333</v>
      </c>
      <c r="D412" s="21">
        <v>1508</v>
      </c>
      <c r="E412" s="21">
        <v>1339</v>
      </c>
      <c r="F412" s="21">
        <v>1349</v>
      </c>
      <c r="G412" s="21">
        <v>1341</v>
      </c>
      <c r="H412" s="21">
        <v>1549</v>
      </c>
      <c r="I412" s="21">
        <v>2810</v>
      </c>
      <c r="J412" s="21">
        <v>3478</v>
      </c>
      <c r="K412" s="21">
        <v>3293</v>
      </c>
      <c r="L412" s="21">
        <v>3900</v>
      </c>
      <c r="M412" s="21">
        <v>3342</v>
      </c>
      <c r="N412" s="21">
        <v>3741</v>
      </c>
      <c r="O412" s="21">
        <v>3261</v>
      </c>
      <c r="P412" s="21">
        <v>3432</v>
      </c>
      <c r="Q412" s="21">
        <v>3411</v>
      </c>
      <c r="R412" s="21">
        <v>2618</v>
      </c>
      <c r="S412" s="21">
        <v>1989</v>
      </c>
      <c r="T412" s="21">
        <v>2764</v>
      </c>
      <c r="U412" s="21">
        <v>5018</v>
      </c>
      <c r="V412" s="21">
        <v>3498</v>
      </c>
      <c r="W412" s="21">
        <v>5156</v>
      </c>
      <c r="X412" s="21">
        <v>4500</v>
      </c>
      <c r="Y412" s="21">
        <v>90563</v>
      </c>
      <c r="Z412" s="21">
        <v>119000</v>
      </c>
      <c r="AA412" s="21">
        <v>157000</v>
      </c>
      <c r="AB412" s="21">
        <v>208000</v>
      </c>
      <c r="AC412" s="21">
        <v>236317</v>
      </c>
      <c r="AD412" s="21">
        <v>262861</v>
      </c>
      <c r="AE412" s="21">
        <v>289000</v>
      </c>
      <c r="AF412" s="21">
        <v>315328</v>
      </c>
      <c r="AG412" s="21">
        <v>354355</v>
      </c>
      <c r="AH412" s="21">
        <v>408078</v>
      </c>
      <c r="AI412" s="21">
        <v>439716</v>
      </c>
      <c r="AJ412" s="21">
        <v>473199</v>
      </c>
      <c r="AK412" s="21">
        <v>479341</v>
      </c>
      <c r="AL412" s="21">
        <v>515322</v>
      </c>
      <c r="AM412" s="21">
        <v>531476</v>
      </c>
      <c r="AN412" s="21">
        <v>576989</v>
      </c>
      <c r="AO412" s="21">
        <v>550601</v>
      </c>
      <c r="AP412" s="21">
        <v>542292</v>
      </c>
      <c r="AQ412" s="21">
        <v>540158</v>
      </c>
      <c r="AR412" s="21">
        <v>510803</v>
      </c>
      <c r="AS412" s="21">
        <v>363879</v>
      </c>
      <c r="AT412" s="21">
        <v>402006</v>
      </c>
      <c r="AU412" s="21">
        <v>401348</v>
      </c>
      <c r="AV412" s="21">
        <v>389044</v>
      </c>
      <c r="AW412" s="21">
        <v>403219</v>
      </c>
      <c r="AX412" s="21">
        <v>396561</v>
      </c>
      <c r="AY412" s="21">
        <v>413235</v>
      </c>
      <c r="AZ412" s="21">
        <v>435263</v>
      </c>
      <c r="BA412" s="21">
        <v>451687</v>
      </c>
      <c r="BB412" s="21">
        <v>467912</v>
      </c>
      <c r="BC412" s="21">
        <v>461793</v>
      </c>
      <c r="BD412" s="21">
        <v>466604</v>
      </c>
      <c r="BE412" s="21">
        <v>496436</v>
      </c>
      <c r="BF412" s="21">
        <v>515877</v>
      </c>
      <c r="BG412" s="21">
        <v>518371</v>
      </c>
      <c r="BH412" s="21">
        <v>503219</v>
      </c>
      <c r="BI412" s="21">
        <v>495260</v>
      </c>
      <c r="BJ412" s="21">
        <v>487347</v>
      </c>
      <c r="BK412" s="21">
        <v>442447</v>
      </c>
      <c r="BL412" s="21">
        <v>439734</v>
      </c>
      <c r="BM412" s="21">
        <v>430267</v>
      </c>
    </row>
    <row r="413" spans="1:65" x14ac:dyDescent="0.2">
      <c r="A413" s="21" t="s">
        <v>1413</v>
      </c>
      <c r="B413" s="21" t="s">
        <v>1414</v>
      </c>
      <c r="C413" s="21" t="s">
        <v>1335</v>
      </c>
      <c r="D413" s="21">
        <v>11868</v>
      </c>
      <c r="E413" s="21">
        <v>11146</v>
      </c>
      <c r="F413" s="21">
        <v>10630</v>
      </c>
      <c r="G413" s="21">
        <v>10165</v>
      </c>
      <c r="H413" s="21">
        <v>9460</v>
      </c>
      <c r="I413" s="21">
        <v>8858</v>
      </c>
      <c r="J413" s="21">
        <v>8617</v>
      </c>
      <c r="K413" s="21">
        <v>8325</v>
      </c>
      <c r="L413" s="21">
        <v>8136</v>
      </c>
      <c r="M413" s="21">
        <v>7860</v>
      </c>
      <c r="N413" s="21">
        <v>7534</v>
      </c>
      <c r="O413" s="21">
        <v>7190</v>
      </c>
      <c r="P413" s="21">
        <v>7190</v>
      </c>
      <c r="Q413" s="21">
        <v>6708</v>
      </c>
      <c r="R413" s="21">
        <v>7018</v>
      </c>
      <c r="S413" s="21">
        <v>8067</v>
      </c>
      <c r="T413" s="21">
        <v>9099</v>
      </c>
      <c r="U413" s="21">
        <v>10286</v>
      </c>
      <c r="V413" s="21">
        <v>11834</v>
      </c>
      <c r="W413" s="21">
        <v>13812</v>
      </c>
      <c r="X413" s="21">
        <v>21000</v>
      </c>
      <c r="Y413" s="21">
        <v>21000</v>
      </c>
      <c r="Z413" s="21">
        <v>22000</v>
      </c>
      <c r="AA413" s="21">
        <v>22000</v>
      </c>
      <c r="AB413" s="21">
        <v>22000</v>
      </c>
      <c r="AC413" s="21">
        <v>24000</v>
      </c>
      <c r="AD413" s="21">
        <v>27000</v>
      </c>
      <c r="AE413" s="21">
        <v>29000</v>
      </c>
      <c r="AF413" s="21">
        <v>32000</v>
      </c>
      <c r="AG413" s="21">
        <v>98481</v>
      </c>
      <c r="AH413" s="21">
        <v>93503</v>
      </c>
      <c r="AI413" s="21">
        <v>94924</v>
      </c>
      <c r="AJ413" s="21">
        <v>104478</v>
      </c>
      <c r="AK413" s="21">
        <v>108987</v>
      </c>
      <c r="AL413" s="21">
        <v>106237</v>
      </c>
      <c r="AM413" s="21">
        <v>112578</v>
      </c>
      <c r="AN413" s="21">
        <v>128696</v>
      </c>
      <c r="AO413" s="21">
        <v>130996</v>
      </c>
      <c r="AP413" s="21">
        <v>118174</v>
      </c>
      <c r="AQ413" s="21">
        <v>120538</v>
      </c>
      <c r="AR413" s="21">
        <v>118724</v>
      </c>
      <c r="AS413" s="21">
        <v>91332</v>
      </c>
      <c r="AT413" s="21">
        <v>94538</v>
      </c>
      <c r="AU413" s="21">
        <v>100462</v>
      </c>
      <c r="AV413" s="21">
        <v>104565</v>
      </c>
      <c r="AW413" s="21">
        <v>104244</v>
      </c>
      <c r="AX413" s="21">
        <v>101415</v>
      </c>
      <c r="AY413" s="21">
        <v>100756</v>
      </c>
      <c r="AZ413" s="21">
        <v>107117</v>
      </c>
      <c r="BA413" s="21">
        <v>108950</v>
      </c>
      <c r="BB413" s="21">
        <v>107576</v>
      </c>
      <c r="BC413" s="21">
        <v>111702</v>
      </c>
      <c r="BD413" s="21">
        <v>105930</v>
      </c>
      <c r="BE413" s="21">
        <v>117241</v>
      </c>
      <c r="BF413" s="21">
        <v>123252</v>
      </c>
      <c r="BG413" s="21">
        <v>126317</v>
      </c>
      <c r="BH413" s="21">
        <v>131871</v>
      </c>
      <c r="BI413" s="21">
        <v>131236</v>
      </c>
      <c r="BJ413" s="21">
        <v>130997</v>
      </c>
      <c r="BK413" s="21">
        <v>123339</v>
      </c>
      <c r="BL413" s="21">
        <v>120804</v>
      </c>
      <c r="BM413" s="21">
        <v>122010</v>
      </c>
    </row>
    <row r="414" spans="1:65" x14ac:dyDescent="0.2">
      <c r="A414" s="21" t="s">
        <v>1413</v>
      </c>
      <c r="B414" s="21" t="s">
        <v>1414</v>
      </c>
      <c r="C414" s="21" t="s">
        <v>1345</v>
      </c>
      <c r="D414" s="21">
        <v>1508</v>
      </c>
      <c r="E414" s="21">
        <v>1339</v>
      </c>
      <c r="F414" s="21">
        <v>1349</v>
      </c>
      <c r="G414" s="21">
        <v>1341</v>
      </c>
      <c r="H414" s="21">
        <v>1549</v>
      </c>
      <c r="I414" s="21">
        <v>2810</v>
      </c>
      <c r="J414" s="21">
        <v>3478</v>
      </c>
      <c r="K414" s="21">
        <v>3293</v>
      </c>
      <c r="L414" s="21">
        <v>3900</v>
      </c>
      <c r="M414" s="21">
        <v>3342</v>
      </c>
      <c r="N414" s="21">
        <v>3741</v>
      </c>
      <c r="O414" s="21">
        <v>3261</v>
      </c>
      <c r="P414" s="21">
        <v>3432</v>
      </c>
      <c r="Q414" s="21">
        <v>3411</v>
      </c>
      <c r="R414" s="21">
        <v>2618</v>
      </c>
      <c r="S414" s="21">
        <v>1989</v>
      </c>
      <c r="T414" s="21">
        <v>2764</v>
      </c>
      <c r="U414" s="21">
        <v>5018</v>
      </c>
      <c r="V414" s="21">
        <v>3498</v>
      </c>
      <c r="W414" s="21">
        <v>5156</v>
      </c>
      <c r="X414" s="21">
        <v>4500</v>
      </c>
      <c r="Y414" s="21">
        <v>3845</v>
      </c>
      <c r="Z414" s="21">
        <v>3355</v>
      </c>
      <c r="AA414" s="21">
        <v>3983</v>
      </c>
      <c r="AB414" s="21">
        <v>9249</v>
      </c>
      <c r="AC414" s="21">
        <v>14447</v>
      </c>
      <c r="AD414" s="21">
        <v>12292</v>
      </c>
      <c r="AE414" s="21">
        <v>15389</v>
      </c>
      <c r="AF414" s="21">
        <v>17285</v>
      </c>
      <c r="AG414" s="21">
        <v>231527</v>
      </c>
      <c r="AH414" s="21">
        <v>316505</v>
      </c>
      <c r="AI414" s="21">
        <v>354354</v>
      </c>
      <c r="AJ414" s="21">
        <v>402453</v>
      </c>
      <c r="AK414" s="21">
        <v>414626</v>
      </c>
      <c r="AL414" s="21">
        <v>433887</v>
      </c>
      <c r="AM414" s="21">
        <v>421662</v>
      </c>
      <c r="AN414" s="21">
        <v>438272</v>
      </c>
      <c r="AO414" s="21">
        <v>445968</v>
      </c>
      <c r="AP414" s="21">
        <v>444497</v>
      </c>
      <c r="AQ414" s="21">
        <v>453225</v>
      </c>
      <c r="AR414" s="21">
        <v>452757</v>
      </c>
      <c r="AS414" s="21">
        <v>337141</v>
      </c>
      <c r="AT414" s="21">
        <v>379971</v>
      </c>
      <c r="AU414" s="21">
        <v>392098</v>
      </c>
      <c r="AV414" s="21">
        <v>383079</v>
      </c>
      <c r="AW414" s="21">
        <v>401464</v>
      </c>
      <c r="AX414" s="21">
        <v>408051</v>
      </c>
      <c r="AY414" s="21">
        <v>419312</v>
      </c>
      <c r="AZ414" s="21">
        <v>431315</v>
      </c>
      <c r="BA414" s="21">
        <v>437670</v>
      </c>
      <c r="BB414" s="21">
        <v>459372</v>
      </c>
      <c r="BC414" s="21">
        <v>436727</v>
      </c>
      <c r="BD414" s="21">
        <v>452644</v>
      </c>
      <c r="BE414" s="21">
        <v>469611</v>
      </c>
      <c r="BF414" s="21">
        <v>530143</v>
      </c>
      <c r="BG414" s="21">
        <v>524879</v>
      </c>
      <c r="BH414" s="21">
        <v>505069</v>
      </c>
      <c r="BI414" s="21">
        <v>509541</v>
      </c>
      <c r="BJ414" s="21">
        <v>496085</v>
      </c>
      <c r="BK414" s="21">
        <v>448137</v>
      </c>
      <c r="BL414" s="21">
        <v>427573</v>
      </c>
      <c r="BM414" s="21">
        <v>426211</v>
      </c>
    </row>
    <row r="415" spans="1:65" x14ac:dyDescent="0.2">
      <c r="A415" s="21" t="s">
        <v>1413</v>
      </c>
      <c r="B415" s="21" t="s">
        <v>1414</v>
      </c>
      <c r="C415" s="21" t="s">
        <v>1351</v>
      </c>
      <c r="D415" s="21">
        <v>679864</v>
      </c>
      <c r="E415" s="21">
        <v>695413</v>
      </c>
      <c r="F415" s="21">
        <v>728179</v>
      </c>
      <c r="G415" s="21">
        <v>774843</v>
      </c>
      <c r="H415" s="21">
        <v>826735</v>
      </c>
      <c r="I415" s="21">
        <v>854943</v>
      </c>
      <c r="J415" s="21">
        <v>901916</v>
      </c>
      <c r="K415" s="21">
        <v>894658</v>
      </c>
      <c r="L415" s="21">
        <v>981948</v>
      </c>
      <c r="M415" s="21">
        <v>1014232</v>
      </c>
      <c r="N415" s="21">
        <v>1018911</v>
      </c>
      <c r="O415" s="21">
        <v>1039998</v>
      </c>
      <c r="P415" s="21">
        <v>1112668</v>
      </c>
      <c r="Q415" s="21">
        <v>1164853</v>
      </c>
      <c r="R415" s="21">
        <v>1159074</v>
      </c>
      <c r="S415" s="21">
        <v>1063270</v>
      </c>
      <c r="T415" s="21">
        <v>1219876</v>
      </c>
      <c r="U415" s="21">
        <v>1281245</v>
      </c>
      <c r="V415" s="21">
        <v>1400424</v>
      </c>
      <c r="W415" s="21">
        <v>1404862</v>
      </c>
      <c r="X415" s="21">
        <v>1600000</v>
      </c>
      <c r="Y415" s="21">
        <v>1688718</v>
      </c>
      <c r="Z415" s="21">
        <v>1633693</v>
      </c>
      <c r="AA415" s="21">
        <v>1845288</v>
      </c>
      <c r="AB415" s="21">
        <v>1882568</v>
      </c>
      <c r="AC415" s="21">
        <v>1874635</v>
      </c>
      <c r="AD415" s="21">
        <v>1865703</v>
      </c>
      <c r="AE415" s="21">
        <v>1857770</v>
      </c>
      <c r="AF415" s="21">
        <v>1932706</v>
      </c>
      <c r="AG415" s="21">
        <v>1783968</v>
      </c>
      <c r="AH415" s="21">
        <v>1634235</v>
      </c>
      <c r="AI415" s="21">
        <v>1594521</v>
      </c>
      <c r="AJ415" s="21">
        <v>1639737</v>
      </c>
      <c r="AK415" s="21">
        <v>1665502</v>
      </c>
      <c r="AL415" s="21">
        <v>1779017</v>
      </c>
      <c r="AM415" s="21">
        <v>1847104</v>
      </c>
      <c r="AN415" s="21">
        <v>1907048</v>
      </c>
      <c r="AO415" s="21">
        <v>1914627</v>
      </c>
      <c r="AP415" s="21">
        <v>1783784</v>
      </c>
      <c r="AQ415" s="21">
        <v>1790562</v>
      </c>
      <c r="AR415" s="21">
        <v>1781036</v>
      </c>
      <c r="AS415" s="21">
        <v>1571239</v>
      </c>
      <c r="AT415" s="21">
        <v>1542779</v>
      </c>
      <c r="AU415" s="21">
        <v>1510828</v>
      </c>
      <c r="AV415" s="21">
        <v>1612653</v>
      </c>
      <c r="AW415" s="21">
        <v>1604209</v>
      </c>
      <c r="AX415" s="21">
        <v>1606413</v>
      </c>
      <c r="AY415" s="21">
        <v>1561942</v>
      </c>
      <c r="AZ415" s="21">
        <v>1485816</v>
      </c>
      <c r="BA415" s="21">
        <v>1336078</v>
      </c>
      <c r="BB415" s="21">
        <v>1577178</v>
      </c>
      <c r="BC415" s="21">
        <v>1602320</v>
      </c>
      <c r="BD415" s="21">
        <v>1621149</v>
      </c>
      <c r="BE415" s="21">
        <v>1676185</v>
      </c>
      <c r="BF415" s="21">
        <v>1685025</v>
      </c>
      <c r="BG415" s="21">
        <v>1666208</v>
      </c>
      <c r="BH415" s="21">
        <v>1648201</v>
      </c>
      <c r="BI415" s="21">
        <v>1609860</v>
      </c>
      <c r="BJ415" s="21">
        <v>1597402</v>
      </c>
      <c r="BK415" s="21">
        <v>1562776</v>
      </c>
      <c r="BL415" s="21">
        <v>1515869</v>
      </c>
      <c r="BM415" s="21">
        <v>1527355</v>
      </c>
    </row>
    <row r="416" spans="1:65" x14ac:dyDescent="0.2">
      <c r="A416" s="21" t="s">
        <v>1413</v>
      </c>
      <c r="B416" s="21" t="s">
        <v>1414</v>
      </c>
      <c r="C416" s="21" t="s">
        <v>1365</v>
      </c>
      <c r="D416" s="21">
        <v>1319871</v>
      </c>
      <c r="E416" s="21">
        <v>1294762</v>
      </c>
      <c r="F416" s="21">
        <v>1300242</v>
      </c>
      <c r="G416" s="21">
        <v>1323316</v>
      </c>
      <c r="H416" s="21">
        <v>1336802</v>
      </c>
      <c r="I416" s="21">
        <v>1334761</v>
      </c>
      <c r="J416" s="21">
        <v>1368986</v>
      </c>
      <c r="K416" s="21">
        <v>1340249</v>
      </c>
      <c r="L416" s="21">
        <v>1419494</v>
      </c>
      <c r="M416" s="21">
        <v>1440488</v>
      </c>
      <c r="N416" s="21">
        <v>1430962</v>
      </c>
      <c r="O416" s="21">
        <v>1432323</v>
      </c>
      <c r="P416" s="21">
        <v>1503065</v>
      </c>
      <c r="Q416" s="21">
        <v>1529068</v>
      </c>
      <c r="R416" s="21">
        <v>1539661</v>
      </c>
      <c r="S416" s="21">
        <v>1498733</v>
      </c>
      <c r="T416" s="21">
        <v>1713373</v>
      </c>
      <c r="U416" s="21">
        <v>1838332</v>
      </c>
      <c r="V416" s="21">
        <v>2037605</v>
      </c>
      <c r="W416" s="21">
        <v>2151906</v>
      </c>
      <c r="X416" s="21">
        <v>2471691</v>
      </c>
      <c r="Y416" s="21">
        <v>2587027</v>
      </c>
      <c r="Z416" s="21">
        <v>2630339</v>
      </c>
      <c r="AA416" s="21">
        <v>2841271</v>
      </c>
      <c r="AB416" s="21">
        <v>2894301</v>
      </c>
      <c r="AC416" s="21">
        <v>2923082</v>
      </c>
      <c r="AD416" s="21">
        <v>2824995</v>
      </c>
      <c r="AE416" s="21">
        <v>2754851</v>
      </c>
      <c r="AF416" s="21">
        <v>2891991</v>
      </c>
      <c r="AG416" s="21">
        <v>3033976</v>
      </c>
      <c r="AH416" s="21">
        <v>2626115</v>
      </c>
      <c r="AI416" s="21">
        <v>2653799</v>
      </c>
      <c r="AJ416" s="21">
        <v>2786668</v>
      </c>
      <c r="AK416" s="21">
        <v>2736942</v>
      </c>
      <c r="AL416" s="21">
        <v>2839141</v>
      </c>
      <c r="AM416" s="21">
        <v>2901344</v>
      </c>
      <c r="AN416" s="21">
        <v>3014016</v>
      </c>
      <c r="AO416" s="21">
        <v>2919211</v>
      </c>
      <c r="AP416" s="21">
        <v>2726455</v>
      </c>
      <c r="AQ416" s="21">
        <v>2754325</v>
      </c>
      <c r="AR416" s="21">
        <v>2772517</v>
      </c>
      <c r="AS416" s="21">
        <v>2374073</v>
      </c>
      <c r="AT416" s="21">
        <v>2397288</v>
      </c>
      <c r="AU416" s="21">
        <v>2403388</v>
      </c>
      <c r="AV416" s="21">
        <v>2510296</v>
      </c>
      <c r="AW416" s="21">
        <v>2538373</v>
      </c>
      <c r="AX416" s="21">
        <v>2495880</v>
      </c>
      <c r="AY416" s="21">
        <v>2502010</v>
      </c>
      <c r="AZ416" s="21">
        <v>2494248</v>
      </c>
      <c r="BA416" s="21">
        <v>2386677</v>
      </c>
      <c r="BB416" s="21">
        <v>2684652</v>
      </c>
      <c r="BC416" s="21">
        <v>2675013</v>
      </c>
      <c r="BD416" s="21">
        <v>2617818</v>
      </c>
      <c r="BE416" s="21">
        <v>2834691</v>
      </c>
      <c r="BF416" s="21">
        <v>2916954</v>
      </c>
      <c r="BG416" s="21">
        <v>2830140</v>
      </c>
      <c r="BH416" s="21">
        <v>2729783</v>
      </c>
      <c r="BI416" s="21">
        <v>2680217</v>
      </c>
      <c r="BJ416" s="21">
        <v>2749343</v>
      </c>
      <c r="BK416" s="21">
        <v>2679762</v>
      </c>
      <c r="BL416" s="21">
        <v>2504454</v>
      </c>
      <c r="BM416" s="21">
        <v>2514544</v>
      </c>
    </row>
    <row r="417" spans="1:65" x14ac:dyDescent="0.2">
      <c r="A417" s="21" t="s">
        <v>1413</v>
      </c>
      <c r="B417" s="21" t="s">
        <v>1414</v>
      </c>
      <c r="C417" s="21" t="s">
        <v>1371</v>
      </c>
      <c r="D417" s="21">
        <v>1318363</v>
      </c>
      <c r="E417" s="21">
        <v>1293423</v>
      </c>
      <c r="F417" s="21">
        <v>1298892</v>
      </c>
      <c r="G417" s="21">
        <v>1321975</v>
      </c>
      <c r="H417" s="21">
        <v>1335253</v>
      </c>
      <c r="I417" s="21">
        <v>1331951</v>
      </c>
      <c r="J417" s="21">
        <v>1365508</v>
      </c>
      <c r="K417" s="21">
        <v>1336956</v>
      </c>
      <c r="L417" s="21">
        <v>1415594</v>
      </c>
      <c r="M417" s="21">
        <v>1437146</v>
      </c>
      <c r="N417" s="21">
        <v>1427222</v>
      </c>
      <c r="O417" s="21">
        <v>1429062</v>
      </c>
      <c r="P417" s="21">
        <v>1499634</v>
      </c>
      <c r="Q417" s="21">
        <v>1525657</v>
      </c>
      <c r="R417" s="21">
        <v>1537044</v>
      </c>
      <c r="S417" s="21">
        <v>1496744</v>
      </c>
      <c r="T417" s="21">
        <v>1710609</v>
      </c>
      <c r="U417" s="21">
        <v>1833314</v>
      </c>
      <c r="V417" s="21">
        <v>2034106</v>
      </c>
      <c r="W417" s="21">
        <v>2146749</v>
      </c>
      <c r="X417" s="21">
        <v>2467192</v>
      </c>
      <c r="Y417" s="21">
        <v>2583182</v>
      </c>
      <c r="Z417" s="21">
        <v>2626984</v>
      </c>
      <c r="AA417" s="21">
        <v>2837288</v>
      </c>
      <c r="AB417" s="21">
        <v>2885052</v>
      </c>
      <c r="AC417" s="21">
        <v>2908635</v>
      </c>
      <c r="AD417" s="21">
        <v>2812703</v>
      </c>
      <c r="AE417" s="21">
        <v>2739462</v>
      </c>
      <c r="AF417" s="21">
        <v>2874706</v>
      </c>
      <c r="AG417" s="21">
        <v>2802449</v>
      </c>
      <c r="AH417" s="21">
        <v>2309610</v>
      </c>
      <c r="AI417" s="21">
        <v>2299445</v>
      </c>
      <c r="AJ417" s="21">
        <v>2384215</v>
      </c>
      <c r="AK417" s="21">
        <v>2322316</v>
      </c>
      <c r="AL417" s="21">
        <v>2405254</v>
      </c>
      <c r="AM417" s="21">
        <v>2479682</v>
      </c>
      <c r="AN417" s="21">
        <v>2575744</v>
      </c>
      <c r="AO417" s="21">
        <v>2473243</v>
      </c>
      <c r="AP417" s="21">
        <v>2281958</v>
      </c>
      <c r="AQ417" s="21">
        <v>2301100</v>
      </c>
      <c r="AR417" s="21">
        <v>2319760</v>
      </c>
      <c r="AS417" s="21">
        <v>2036932</v>
      </c>
      <c r="AT417" s="21">
        <v>2017317</v>
      </c>
      <c r="AU417" s="21">
        <v>2011290</v>
      </c>
      <c r="AV417" s="21">
        <v>2127218</v>
      </c>
      <c r="AW417" s="21">
        <v>2136910</v>
      </c>
      <c r="AX417" s="21">
        <v>2087829</v>
      </c>
      <c r="AY417" s="21">
        <v>2082698</v>
      </c>
      <c r="AZ417" s="21">
        <v>2062933</v>
      </c>
      <c r="BA417" s="21">
        <v>1949008</v>
      </c>
      <c r="BB417" s="21">
        <v>2225280</v>
      </c>
      <c r="BC417" s="21">
        <v>2238286</v>
      </c>
      <c r="BD417" s="21">
        <v>2165174</v>
      </c>
      <c r="BE417" s="21">
        <v>2365080</v>
      </c>
      <c r="BF417" s="21">
        <v>2386812</v>
      </c>
      <c r="BG417" s="21">
        <v>2305261</v>
      </c>
      <c r="BH417" s="21">
        <v>2224714</v>
      </c>
      <c r="BI417" s="21">
        <v>2170676</v>
      </c>
      <c r="BJ417" s="21">
        <v>2253258</v>
      </c>
      <c r="BK417" s="21">
        <v>2231625</v>
      </c>
      <c r="BL417" s="21">
        <v>2076880</v>
      </c>
      <c r="BM417" s="21">
        <v>2088333</v>
      </c>
    </row>
    <row r="418" spans="1:65" x14ac:dyDescent="0.2">
      <c r="A418" s="21" t="s">
        <v>1413</v>
      </c>
      <c r="B418" s="21" t="s">
        <v>1414</v>
      </c>
      <c r="C418" s="21" t="s">
        <v>1377</v>
      </c>
      <c r="D418" s="21">
        <v>24573</v>
      </c>
      <c r="E418" s="21">
        <v>24307</v>
      </c>
      <c r="F418" s="21">
        <v>21954</v>
      </c>
      <c r="G418" s="21">
        <v>21090</v>
      </c>
      <c r="H418" s="21">
        <v>19911</v>
      </c>
      <c r="I418" s="21">
        <v>21212</v>
      </c>
      <c r="J418" s="21">
        <v>21694</v>
      </c>
      <c r="K418" s="21">
        <v>21417</v>
      </c>
      <c r="L418" s="21">
        <v>24141</v>
      </c>
      <c r="M418" s="21">
        <v>25404</v>
      </c>
      <c r="N418" s="21">
        <v>25509</v>
      </c>
      <c r="O418" s="21">
        <v>29058</v>
      </c>
      <c r="P418" s="21">
        <v>29950</v>
      </c>
      <c r="Q418" s="21">
        <v>38432</v>
      </c>
      <c r="R418" s="21">
        <v>37657</v>
      </c>
      <c r="S418" s="21">
        <v>33643</v>
      </c>
      <c r="T418" s="21">
        <v>39933</v>
      </c>
      <c r="U418" s="21">
        <v>33377</v>
      </c>
      <c r="V418" s="21">
        <v>34396</v>
      </c>
      <c r="W418" s="21">
        <v>33687</v>
      </c>
      <c r="X418" s="21">
        <v>32912</v>
      </c>
      <c r="Y418" s="21">
        <v>36439</v>
      </c>
      <c r="Z418" s="21">
        <v>28493</v>
      </c>
      <c r="AA418" s="21">
        <v>30980</v>
      </c>
      <c r="AB418" s="21">
        <v>30681</v>
      </c>
      <c r="AC418" s="21">
        <v>31395</v>
      </c>
      <c r="AD418" s="21">
        <v>30592</v>
      </c>
      <c r="AE418" s="21">
        <v>32729</v>
      </c>
      <c r="AF418" s="21">
        <v>33947</v>
      </c>
      <c r="AG418" s="21">
        <v>33460</v>
      </c>
      <c r="AH418" s="21">
        <v>33300</v>
      </c>
      <c r="AI418" s="21">
        <v>35127</v>
      </c>
      <c r="AJ418" s="21">
        <v>37258</v>
      </c>
      <c r="AK418" s="21">
        <v>40027</v>
      </c>
      <c r="AL418" s="21">
        <v>40586</v>
      </c>
      <c r="AM418" s="21">
        <v>40592</v>
      </c>
      <c r="AN418" s="21">
        <v>48665</v>
      </c>
      <c r="AO418" s="21">
        <v>43742</v>
      </c>
      <c r="AP418" s="21">
        <v>42369</v>
      </c>
      <c r="AQ418" s="21">
        <v>37436</v>
      </c>
      <c r="AR418" s="21">
        <v>33084</v>
      </c>
      <c r="AS418" s="21">
        <v>36339</v>
      </c>
      <c r="AT418" s="21">
        <v>32170</v>
      </c>
      <c r="AU418" s="21">
        <v>31040</v>
      </c>
      <c r="AV418" s="21">
        <v>30758</v>
      </c>
      <c r="AW418" s="21">
        <v>31367</v>
      </c>
      <c r="AX418" s="21">
        <v>26146</v>
      </c>
      <c r="AY418" s="21">
        <v>21888</v>
      </c>
      <c r="AZ418" s="21">
        <v>19141</v>
      </c>
      <c r="BA418" s="21">
        <v>12220</v>
      </c>
      <c r="BB418" s="21">
        <v>17082</v>
      </c>
      <c r="BC418" s="21">
        <v>15077</v>
      </c>
      <c r="BD418" s="21">
        <v>15293</v>
      </c>
      <c r="BE418" s="21">
        <v>16489</v>
      </c>
      <c r="BF418" s="21">
        <v>14784</v>
      </c>
      <c r="BG418" s="21">
        <v>12359</v>
      </c>
      <c r="BH418" s="21">
        <v>12851</v>
      </c>
      <c r="BI418" s="21">
        <v>10160</v>
      </c>
      <c r="BJ418" s="21">
        <v>12414</v>
      </c>
      <c r="BK418" s="21">
        <v>10426</v>
      </c>
      <c r="BL418" s="21">
        <v>9208</v>
      </c>
      <c r="BM418" s="21">
        <v>11794</v>
      </c>
    </row>
    <row r="419" spans="1:65" x14ac:dyDescent="0.2">
      <c r="A419" s="21" t="s">
        <v>1413</v>
      </c>
      <c r="B419" s="21" t="s">
        <v>1414</v>
      </c>
      <c r="C419" s="21" t="s">
        <v>1381</v>
      </c>
      <c r="D419" s="21">
        <v>4438</v>
      </c>
      <c r="E419" s="21">
        <v>4390</v>
      </c>
      <c r="F419" s="21">
        <v>3965</v>
      </c>
      <c r="G419" s="21">
        <v>3809</v>
      </c>
      <c r="H419" s="21">
        <v>3596</v>
      </c>
      <c r="I419" s="21">
        <v>3831</v>
      </c>
      <c r="J419" s="21">
        <v>3918</v>
      </c>
      <c r="K419" s="21">
        <v>3868</v>
      </c>
      <c r="L419" s="21">
        <v>4360</v>
      </c>
      <c r="M419" s="21">
        <v>4588</v>
      </c>
      <c r="N419" s="21">
        <v>4607</v>
      </c>
      <c r="O419" s="21">
        <v>5248</v>
      </c>
      <c r="P419" s="21">
        <v>5409</v>
      </c>
      <c r="Q419" s="21">
        <v>6941</v>
      </c>
      <c r="R419" s="21">
        <v>6801</v>
      </c>
      <c r="S419" s="21">
        <v>6076</v>
      </c>
      <c r="T419" s="21">
        <v>7212</v>
      </c>
      <c r="U419" s="21">
        <v>6028</v>
      </c>
      <c r="V419" s="21">
        <v>6212</v>
      </c>
      <c r="W419" s="21">
        <v>6084</v>
      </c>
      <c r="X419" s="21">
        <v>5944</v>
      </c>
      <c r="Y419" s="21">
        <v>6581</v>
      </c>
      <c r="Z419" s="21">
        <v>5146</v>
      </c>
      <c r="AA419" s="21">
        <v>5595</v>
      </c>
      <c r="AB419" s="21">
        <v>5541</v>
      </c>
      <c r="AC419" s="21">
        <v>5670</v>
      </c>
      <c r="AD419" s="21">
        <v>5525</v>
      </c>
      <c r="AE419" s="21">
        <v>5911</v>
      </c>
      <c r="AF419" s="21">
        <v>6131</v>
      </c>
      <c r="AG419" s="21">
        <v>6043</v>
      </c>
      <c r="AH419" s="21">
        <v>6014</v>
      </c>
      <c r="AI419" s="21">
        <v>6344</v>
      </c>
      <c r="AJ419" s="21">
        <v>6729</v>
      </c>
      <c r="AK419" s="21">
        <v>7229</v>
      </c>
      <c r="AL419" s="21">
        <v>7330</v>
      </c>
      <c r="AM419" s="21">
        <v>7331</v>
      </c>
      <c r="AN419" s="21">
        <v>8789</v>
      </c>
      <c r="AO419" s="21">
        <v>7900</v>
      </c>
      <c r="AP419" s="21">
        <v>7652</v>
      </c>
      <c r="AQ419" s="21">
        <v>6761</v>
      </c>
      <c r="AR419" s="21">
        <v>5975</v>
      </c>
      <c r="AS419" s="21">
        <v>6563</v>
      </c>
      <c r="AT419" s="21">
        <v>5810</v>
      </c>
      <c r="AU419" s="21">
        <v>5606</v>
      </c>
      <c r="AV419" s="21">
        <v>5555</v>
      </c>
      <c r="AW419" s="21">
        <v>5665</v>
      </c>
      <c r="AX419" s="21">
        <v>4722</v>
      </c>
      <c r="AY419" s="21">
        <v>3953</v>
      </c>
      <c r="AZ419" s="21">
        <v>3457</v>
      </c>
      <c r="BA419" s="21">
        <v>2207</v>
      </c>
      <c r="BB419" s="21">
        <v>3085</v>
      </c>
      <c r="BC419" s="21">
        <v>2723</v>
      </c>
      <c r="BD419" s="21">
        <v>2762</v>
      </c>
      <c r="BE419" s="21">
        <v>2978</v>
      </c>
      <c r="BF419" s="21">
        <v>2670</v>
      </c>
      <c r="BG419" s="21">
        <v>2232</v>
      </c>
      <c r="BH419" s="21">
        <v>2321</v>
      </c>
      <c r="BI419" s="21">
        <v>1835</v>
      </c>
      <c r="BJ419" s="21">
        <v>2242</v>
      </c>
      <c r="BK419" s="21">
        <v>1883</v>
      </c>
      <c r="BL419" s="21">
        <v>1663</v>
      </c>
      <c r="BM419" s="21">
        <v>2130</v>
      </c>
    </row>
    <row r="420" spans="1:65" x14ac:dyDescent="0.2">
      <c r="A420" s="21" t="s">
        <v>1413</v>
      </c>
      <c r="B420" s="21" t="s">
        <v>1414</v>
      </c>
      <c r="C420" s="21" t="s">
        <v>1384</v>
      </c>
      <c r="D420" s="21">
        <v>0</v>
      </c>
      <c r="E420" s="21">
        <v>0</v>
      </c>
      <c r="F420" s="21">
        <v>0</v>
      </c>
      <c r="G420" s="21">
        <v>0</v>
      </c>
      <c r="H420" s="21">
        <v>0</v>
      </c>
      <c r="I420" s="21">
        <v>0</v>
      </c>
      <c r="J420" s="21">
        <v>0</v>
      </c>
      <c r="K420" s="21">
        <v>0</v>
      </c>
      <c r="L420" s="21">
        <v>0</v>
      </c>
      <c r="M420" s="21">
        <v>0</v>
      </c>
      <c r="N420" s="21">
        <v>0</v>
      </c>
      <c r="O420" s="21">
        <v>0</v>
      </c>
      <c r="P420" s="21">
        <v>0</v>
      </c>
      <c r="Q420" s="21">
        <v>0</v>
      </c>
      <c r="R420" s="21">
        <v>0</v>
      </c>
      <c r="S420" s="21">
        <v>0</v>
      </c>
      <c r="T420" s="21">
        <v>0</v>
      </c>
      <c r="U420" s="21">
        <v>0</v>
      </c>
      <c r="V420" s="21">
        <v>0</v>
      </c>
      <c r="W420" s="21">
        <v>0</v>
      </c>
      <c r="X420" s="21">
        <v>0</v>
      </c>
      <c r="Y420" s="21">
        <v>0</v>
      </c>
      <c r="Z420" s="21">
        <v>0</v>
      </c>
      <c r="AA420" s="21">
        <v>0</v>
      </c>
      <c r="AB420" s="21">
        <v>0</v>
      </c>
      <c r="AC420" s="21">
        <v>0</v>
      </c>
      <c r="AD420" s="21">
        <v>0</v>
      </c>
      <c r="AE420" s="21">
        <v>0</v>
      </c>
      <c r="AF420" s="21">
        <v>0</v>
      </c>
      <c r="AG420" s="21">
        <v>0</v>
      </c>
      <c r="AH420" s="21">
        <v>0</v>
      </c>
      <c r="AI420" s="21">
        <v>0</v>
      </c>
      <c r="AJ420" s="21">
        <v>0</v>
      </c>
      <c r="AK420" s="21">
        <v>0</v>
      </c>
      <c r="AL420" s="21">
        <v>0</v>
      </c>
      <c r="AM420" s="21">
        <v>0</v>
      </c>
      <c r="AN420" s="21">
        <v>0</v>
      </c>
      <c r="AO420" s="21">
        <v>0</v>
      </c>
      <c r="AP420" s="21">
        <v>0</v>
      </c>
      <c r="AQ420" s="21">
        <v>0</v>
      </c>
      <c r="AR420" s="21">
        <v>0</v>
      </c>
      <c r="AS420" s="21">
        <v>0</v>
      </c>
      <c r="AT420" s="21">
        <v>0</v>
      </c>
      <c r="AU420" s="21">
        <v>0</v>
      </c>
      <c r="AV420" s="21">
        <v>0</v>
      </c>
      <c r="AW420" s="21">
        <v>0</v>
      </c>
      <c r="AX420" s="21">
        <v>0</v>
      </c>
      <c r="AY420" s="21">
        <v>0</v>
      </c>
      <c r="AZ420" s="21">
        <v>0</v>
      </c>
      <c r="BA420" s="21">
        <v>2</v>
      </c>
      <c r="BB420" s="21">
        <v>157</v>
      </c>
      <c r="BC420" s="21">
        <v>494</v>
      </c>
      <c r="BD420" s="21">
        <v>513</v>
      </c>
      <c r="BE420" s="21">
        <v>580</v>
      </c>
      <c r="BF420" s="21">
        <v>1013</v>
      </c>
      <c r="BG420" s="21">
        <v>1103</v>
      </c>
      <c r="BH420" s="21">
        <v>1213</v>
      </c>
      <c r="BI420" s="21">
        <v>1328</v>
      </c>
      <c r="BJ420" s="21">
        <v>1584</v>
      </c>
      <c r="BK420" s="21">
        <v>1591</v>
      </c>
      <c r="BL420" s="21">
        <v>1472</v>
      </c>
      <c r="BM420" s="21">
        <v>1484</v>
      </c>
    </row>
    <row r="421" spans="1:65" x14ac:dyDescent="0.2">
      <c r="A421" s="21" t="s">
        <v>1413</v>
      </c>
      <c r="B421" s="21" t="s">
        <v>1414</v>
      </c>
      <c r="C421" s="21" t="s">
        <v>1386</v>
      </c>
      <c r="D421" s="21">
        <v>0</v>
      </c>
      <c r="E421" s="21">
        <v>0</v>
      </c>
      <c r="F421" s="21">
        <v>0</v>
      </c>
      <c r="G421" s="21">
        <v>0</v>
      </c>
      <c r="H421" s="21">
        <v>0</v>
      </c>
      <c r="I421" s="21">
        <v>0</v>
      </c>
      <c r="J421" s="21">
        <v>0</v>
      </c>
      <c r="K421" s="21">
        <v>0</v>
      </c>
      <c r="L421" s="21">
        <v>0</v>
      </c>
      <c r="M421" s="21">
        <v>0</v>
      </c>
      <c r="N421" s="21">
        <v>0</v>
      </c>
      <c r="O421" s="21">
        <v>0</v>
      </c>
      <c r="P421" s="21">
        <v>0</v>
      </c>
      <c r="Q421" s="21">
        <v>0</v>
      </c>
      <c r="R421" s="21">
        <v>0</v>
      </c>
      <c r="S421" s="21">
        <v>0</v>
      </c>
      <c r="T421" s="21">
        <v>0</v>
      </c>
      <c r="U421" s="21">
        <v>0</v>
      </c>
      <c r="V421" s="21">
        <v>0</v>
      </c>
      <c r="W421" s="21">
        <v>0</v>
      </c>
      <c r="X421" s="21">
        <v>0</v>
      </c>
      <c r="Y421" s="21">
        <v>0</v>
      </c>
      <c r="Z421" s="21">
        <v>0</v>
      </c>
      <c r="AA421" s="21">
        <v>0</v>
      </c>
      <c r="AB421" s="21">
        <v>0</v>
      </c>
      <c r="AC421" s="21">
        <v>0</v>
      </c>
      <c r="AD421" s="21">
        <v>0</v>
      </c>
      <c r="AE421" s="21">
        <v>0</v>
      </c>
      <c r="AF421" s="21">
        <v>0</v>
      </c>
      <c r="AG421" s="21">
        <v>0</v>
      </c>
      <c r="AH421" s="21">
        <v>0</v>
      </c>
      <c r="AI421" s="21">
        <v>0</v>
      </c>
      <c r="AJ421" s="21">
        <v>0</v>
      </c>
      <c r="AK421" s="21">
        <v>0</v>
      </c>
      <c r="AL421" s="21">
        <v>0</v>
      </c>
      <c r="AM421" s="21">
        <v>0</v>
      </c>
      <c r="AN421" s="21">
        <v>0</v>
      </c>
      <c r="AO421" s="21">
        <v>0</v>
      </c>
      <c r="AP421" s="21">
        <v>0</v>
      </c>
      <c r="AQ421" s="21">
        <v>0</v>
      </c>
      <c r="AR421" s="21">
        <v>0</v>
      </c>
      <c r="AS421" s="21">
        <v>0</v>
      </c>
      <c r="AT421" s="21">
        <v>0</v>
      </c>
      <c r="AU421" s="21">
        <v>0</v>
      </c>
      <c r="AV421" s="21">
        <v>0</v>
      </c>
      <c r="AW421" s="21">
        <v>0</v>
      </c>
      <c r="AX421" s="21">
        <v>0</v>
      </c>
      <c r="AY421" s="21">
        <v>0</v>
      </c>
      <c r="AZ421" s="21">
        <v>0</v>
      </c>
      <c r="BA421" s="21">
        <v>0</v>
      </c>
      <c r="BB421" s="21">
        <v>16</v>
      </c>
      <c r="BC421" s="21">
        <v>51</v>
      </c>
      <c r="BD421" s="21">
        <v>54</v>
      </c>
      <c r="BE421" s="21">
        <v>61</v>
      </c>
      <c r="BF421" s="21">
        <v>107</v>
      </c>
      <c r="BG421" s="21">
        <v>118</v>
      </c>
      <c r="BH421" s="21">
        <v>131</v>
      </c>
      <c r="BI421" s="21">
        <v>144</v>
      </c>
      <c r="BJ421" s="21">
        <v>174</v>
      </c>
      <c r="BK421" s="21">
        <v>179</v>
      </c>
      <c r="BL421" s="21">
        <v>168</v>
      </c>
      <c r="BM421" s="21">
        <v>168</v>
      </c>
    </row>
    <row r="422" spans="1:65" x14ac:dyDescent="0.2">
      <c r="A422" s="21" t="s">
        <v>1413</v>
      </c>
      <c r="B422" s="21" t="s">
        <v>1414</v>
      </c>
      <c r="C422" s="21" t="s">
        <v>1388</v>
      </c>
      <c r="D422" s="21">
        <v>0</v>
      </c>
      <c r="E422" s="21">
        <v>0</v>
      </c>
      <c r="F422" s="21">
        <v>0</v>
      </c>
      <c r="G422" s="21">
        <v>0</v>
      </c>
      <c r="H422" s="21">
        <v>0</v>
      </c>
      <c r="I422" s="21">
        <v>0</v>
      </c>
      <c r="J422" s="21">
        <v>0</v>
      </c>
      <c r="K422" s="21">
        <v>0</v>
      </c>
      <c r="L422" s="21">
        <v>0</v>
      </c>
      <c r="M422" s="21">
        <v>0</v>
      </c>
      <c r="N422" s="21">
        <v>0</v>
      </c>
      <c r="O422" s="21">
        <v>0</v>
      </c>
      <c r="P422" s="21">
        <v>0</v>
      </c>
      <c r="Q422" s="21">
        <v>0</v>
      </c>
      <c r="R422" s="21">
        <v>0</v>
      </c>
      <c r="S422" s="21">
        <v>0</v>
      </c>
      <c r="T422" s="21">
        <v>0</v>
      </c>
      <c r="U422" s="21">
        <v>0</v>
      </c>
      <c r="V422" s="21">
        <v>0</v>
      </c>
      <c r="W422" s="21">
        <v>0</v>
      </c>
      <c r="X422" s="21">
        <v>0</v>
      </c>
      <c r="Y422" s="21">
        <v>0</v>
      </c>
      <c r="Z422" s="21">
        <v>0</v>
      </c>
      <c r="AA422" s="21">
        <v>28</v>
      </c>
      <c r="AB422" s="21">
        <v>68</v>
      </c>
      <c r="AC422" s="21">
        <v>60</v>
      </c>
      <c r="AD422" s="21">
        <v>44</v>
      </c>
      <c r="AE422" s="21">
        <v>37</v>
      </c>
      <c r="AF422" s="21">
        <v>9</v>
      </c>
      <c r="AG422" s="21">
        <v>22033</v>
      </c>
      <c r="AH422" s="21">
        <v>29007</v>
      </c>
      <c r="AI422" s="21">
        <v>30796</v>
      </c>
      <c r="AJ422" s="21">
        <v>29863</v>
      </c>
      <c r="AK422" s="21">
        <v>30987</v>
      </c>
      <c r="AL422" s="21">
        <v>35560</v>
      </c>
      <c r="AM422" s="21">
        <v>32630</v>
      </c>
      <c r="AN422" s="21">
        <v>33440</v>
      </c>
      <c r="AO422" s="21">
        <v>33581</v>
      </c>
      <c r="AP422" s="21">
        <v>30853</v>
      </c>
      <c r="AQ422" s="21">
        <v>45894</v>
      </c>
      <c r="AR422" s="21">
        <v>57057</v>
      </c>
      <c r="AS422" s="21">
        <v>69617</v>
      </c>
      <c r="AT422" s="21">
        <v>105334</v>
      </c>
      <c r="AU422" s="21">
        <v>113273</v>
      </c>
      <c r="AV422" s="21">
        <v>141664</v>
      </c>
      <c r="AW422" s="21">
        <v>178088</v>
      </c>
      <c r="AX422" s="21">
        <v>263738</v>
      </c>
      <c r="AY422" s="21">
        <v>340503</v>
      </c>
      <c r="AZ422" s="21">
        <v>545548</v>
      </c>
      <c r="BA422" s="21">
        <v>721127</v>
      </c>
      <c r="BB422" s="21">
        <v>923271</v>
      </c>
      <c r="BC422" s="21">
        <v>1167094</v>
      </c>
      <c r="BD422" s="21">
        <v>1339365</v>
      </c>
      <c r="BE422" s="21">
        <v>1600424</v>
      </c>
      <c r="BF422" s="21">
        <v>1725845</v>
      </c>
      <c r="BG422" s="21">
        <v>1774753</v>
      </c>
      <c r="BH422" s="21">
        <v>2092821</v>
      </c>
      <c r="BI422" s="21">
        <v>2339514</v>
      </c>
      <c r="BJ422" s="21">
        <v>2478263</v>
      </c>
      <c r="BK422" s="21">
        <v>2630580</v>
      </c>
      <c r="BL422" s="21">
        <v>2960320</v>
      </c>
      <c r="BM422" s="21">
        <v>3342301</v>
      </c>
    </row>
    <row r="423" spans="1:65" x14ac:dyDescent="0.2">
      <c r="A423" s="21" t="s">
        <v>1413</v>
      </c>
      <c r="B423" s="21" t="s">
        <v>1414</v>
      </c>
      <c r="C423" s="21" t="s">
        <v>1390</v>
      </c>
      <c r="D423" s="21">
        <v>0</v>
      </c>
      <c r="E423" s="21">
        <v>0</v>
      </c>
      <c r="F423" s="21">
        <v>0</v>
      </c>
      <c r="G423" s="21">
        <v>0</v>
      </c>
      <c r="H423" s="21">
        <v>0</v>
      </c>
      <c r="I423" s="21">
        <v>0</v>
      </c>
      <c r="J423" s="21">
        <v>0</v>
      </c>
      <c r="K423" s="21">
        <v>0</v>
      </c>
      <c r="L423" s="21">
        <v>0</v>
      </c>
      <c r="M423" s="21">
        <v>0</v>
      </c>
      <c r="N423" s="21">
        <v>0</v>
      </c>
      <c r="O423" s="21">
        <v>0</v>
      </c>
      <c r="P423" s="21">
        <v>0</v>
      </c>
      <c r="Q423" s="21">
        <v>0</v>
      </c>
      <c r="R423" s="21">
        <v>0</v>
      </c>
      <c r="S423" s="21">
        <v>0</v>
      </c>
      <c r="T423" s="21">
        <v>0</v>
      </c>
      <c r="U423" s="21">
        <v>0</v>
      </c>
      <c r="V423" s="21">
        <v>0</v>
      </c>
      <c r="W423" s="21">
        <v>0</v>
      </c>
      <c r="X423" s="21">
        <v>0</v>
      </c>
      <c r="Y423" s="21">
        <v>0</v>
      </c>
      <c r="Z423" s="21">
        <v>0</v>
      </c>
      <c r="AA423" s="21">
        <v>3</v>
      </c>
      <c r="AB423" s="21">
        <v>6</v>
      </c>
      <c r="AC423" s="21">
        <v>6</v>
      </c>
      <c r="AD423" s="21">
        <v>4</v>
      </c>
      <c r="AE423" s="21">
        <v>4</v>
      </c>
      <c r="AF423" s="21">
        <v>1</v>
      </c>
      <c r="AG423" s="21">
        <v>2112</v>
      </c>
      <c r="AH423" s="21">
        <v>2789</v>
      </c>
      <c r="AI423" s="21">
        <v>2951</v>
      </c>
      <c r="AJ423" s="21">
        <v>2888</v>
      </c>
      <c r="AK423" s="21">
        <v>3006</v>
      </c>
      <c r="AL423" s="21">
        <v>3447</v>
      </c>
      <c r="AM423" s="21">
        <v>3164</v>
      </c>
      <c r="AN423" s="21">
        <v>3234</v>
      </c>
      <c r="AO423" s="21">
        <v>3288</v>
      </c>
      <c r="AP423" s="21">
        <v>3026</v>
      </c>
      <c r="AQ423" s="21">
        <v>4488</v>
      </c>
      <c r="AR423" s="21">
        <v>5593</v>
      </c>
      <c r="AS423" s="21">
        <v>6737</v>
      </c>
      <c r="AT423" s="21">
        <v>10354</v>
      </c>
      <c r="AU423" s="21">
        <v>11187</v>
      </c>
      <c r="AV423" s="21">
        <v>14144</v>
      </c>
      <c r="AW423" s="21">
        <v>17811</v>
      </c>
      <c r="AX423" s="21">
        <v>26589</v>
      </c>
      <c r="AY423" s="21">
        <v>34450</v>
      </c>
      <c r="AZ423" s="21">
        <v>55363</v>
      </c>
      <c r="BA423" s="21">
        <v>73886</v>
      </c>
      <c r="BB423" s="21">
        <v>94636</v>
      </c>
      <c r="BC423" s="21">
        <v>120121</v>
      </c>
      <c r="BD423" s="21">
        <v>140749</v>
      </c>
      <c r="BE423" s="21">
        <v>167742</v>
      </c>
      <c r="BF423" s="21">
        <v>181496</v>
      </c>
      <c r="BG423" s="21">
        <v>190547</v>
      </c>
      <c r="BH423" s="21">
        <v>226790</v>
      </c>
      <c r="BI423" s="21">
        <v>254074</v>
      </c>
      <c r="BJ423" s="21">
        <v>272396</v>
      </c>
      <c r="BK423" s="21">
        <v>295604</v>
      </c>
      <c r="BL423" s="21">
        <v>337666</v>
      </c>
      <c r="BM423" s="21">
        <v>377917</v>
      </c>
    </row>
    <row r="424" spans="1:65" x14ac:dyDescent="0.2">
      <c r="A424" s="21" t="s">
        <v>1413</v>
      </c>
      <c r="B424" s="21" t="s">
        <v>1414</v>
      </c>
      <c r="C424" s="21" t="s">
        <v>1392</v>
      </c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>
        <v>24651</v>
      </c>
      <c r="BA424" s="21">
        <v>34296</v>
      </c>
      <c r="BB424" s="21">
        <v>39135</v>
      </c>
      <c r="BC424" s="21">
        <v>45676</v>
      </c>
      <c r="BD424" s="21">
        <v>59075</v>
      </c>
      <c r="BE424" s="21">
        <v>59973</v>
      </c>
      <c r="BF424" s="21">
        <v>64232</v>
      </c>
      <c r="BG424" s="21">
        <v>72573</v>
      </c>
      <c r="BH424" s="21">
        <v>81287</v>
      </c>
      <c r="BI424" s="21">
        <v>87598</v>
      </c>
      <c r="BJ424" s="21">
        <v>94418</v>
      </c>
      <c r="BK424" s="21">
        <v>103571</v>
      </c>
      <c r="BL424" s="21">
        <v>118379</v>
      </c>
      <c r="BM424" s="21">
        <v>132753</v>
      </c>
    </row>
    <row r="425" spans="1:65" x14ac:dyDescent="0.2">
      <c r="A425" s="21" t="s">
        <v>1413</v>
      </c>
      <c r="B425" s="21" t="s">
        <v>1414</v>
      </c>
      <c r="C425" s="21" t="s">
        <v>1394</v>
      </c>
      <c r="D425" s="21">
        <v>0</v>
      </c>
      <c r="E425" s="21">
        <v>0</v>
      </c>
      <c r="F425" s="21">
        <v>0</v>
      </c>
      <c r="G425" s="21">
        <v>0</v>
      </c>
      <c r="H425" s="21">
        <v>0</v>
      </c>
      <c r="I425" s="21">
        <v>0</v>
      </c>
      <c r="J425" s="21">
        <v>0</v>
      </c>
      <c r="K425" s="21">
        <v>0</v>
      </c>
      <c r="L425" s="21">
        <v>0</v>
      </c>
      <c r="M425" s="21">
        <v>0</v>
      </c>
      <c r="N425" s="21">
        <v>0</v>
      </c>
      <c r="O425" s="21">
        <v>0</v>
      </c>
      <c r="P425" s="21">
        <v>0</v>
      </c>
      <c r="Q425" s="21">
        <v>0</v>
      </c>
      <c r="R425" s="21">
        <v>0</v>
      </c>
      <c r="S425" s="21">
        <v>0</v>
      </c>
      <c r="T425" s="21">
        <v>0</v>
      </c>
      <c r="U425" s="21">
        <v>0</v>
      </c>
      <c r="V425" s="21">
        <v>0</v>
      </c>
      <c r="W425" s="21">
        <v>0</v>
      </c>
      <c r="X425" s="21">
        <v>0</v>
      </c>
      <c r="Y425" s="21">
        <v>0</v>
      </c>
      <c r="Z425" s="21">
        <v>0</v>
      </c>
      <c r="AA425" s="21">
        <v>0</v>
      </c>
      <c r="AB425" s="21">
        <v>0</v>
      </c>
      <c r="AC425" s="21">
        <v>0</v>
      </c>
      <c r="AD425" s="21">
        <v>0</v>
      </c>
      <c r="AE425" s="21">
        <v>0</v>
      </c>
      <c r="AF425" s="21">
        <v>0</v>
      </c>
      <c r="AG425" s="21">
        <v>0</v>
      </c>
      <c r="AH425" s="21">
        <v>0</v>
      </c>
      <c r="AI425" s="21">
        <v>0</v>
      </c>
      <c r="AJ425" s="21">
        <v>0</v>
      </c>
      <c r="AK425" s="21">
        <v>0</v>
      </c>
      <c r="AL425" s="21">
        <v>0</v>
      </c>
      <c r="AM425" s="21">
        <v>0</v>
      </c>
      <c r="AN425" s="21">
        <v>0</v>
      </c>
      <c r="AO425" s="21">
        <v>0</v>
      </c>
      <c r="AP425" s="21">
        <v>0</v>
      </c>
      <c r="AQ425" s="21">
        <v>0</v>
      </c>
      <c r="AR425" s="21">
        <v>0</v>
      </c>
      <c r="AS425" s="21">
        <v>0</v>
      </c>
      <c r="AT425" s="21">
        <v>0</v>
      </c>
      <c r="AU425" s="21">
        <v>0</v>
      </c>
      <c r="AV425" s="21">
        <v>0</v>
      </c>
      <c r="AW425" s="21">
        <v>0</v>
      </c>
      <c r="AX425" s="21">
        <v>0</v>
      </c>
      <c r="AY425" s="21">
        <v>0</v>
      </c>
      <c r="AZ425" s="21">
        <v>0</v>
      </c>
      <c r="BA425" s="21">
        <v>0</v>
      </c>
      <c r="BB425" s="21">
        <v>0</v>
      </c>
      <c r="BC425" s="21">
        <v>47</v>
      </c>
      <c r="BD425" s="21">
        <v>182</v>
      </c>
      <c r="BE425" s="21">
        <v>356</v>
      </c>
      <c r="BF425" s="21">
        <v>503</v>
      </c>
      <c r="BG425" s="21">
        <v>497</v>
      </c>
      <c r="BH425" s="21">
        <v>653</v>
      </c>
      <c r="BI425" s="21">
        <v>778</v>
      </c>
      <c r="BJ425" s="21">
        <v>882</v>
      </c>
      <c r="BK425" s="21">
        <v>887</v>
      </c>
      <c r="BL425" s="21">
        <v>911</v>
      </c>
      <c r="BM425" s="21">
        <v>988</v>
      </c>
    </row>
    <row r="426" spans="1:65" x14ac:dyDescent="0.2">
      <c r="A426" s="21" t="s">
        <v>1413</v>
      </c>
      <c r="B426" s="21" t="s">
        <v>1414</v>
      </c>
      <c r="C426" s="21" t="s">
        <v>1396</v>
      </c>
      <c r="D426" s="21">
        <v>0</v>
      </c>
      <c r="E426" s="21">
        <v>0</v>
      </c>
      <c r="F426" s="21">
        <v>0</v>
      </c>
      <c r="G426" s="21">
        <v>0</v>
      </c>
      <c r="H426" s="21">
        <v>0</v>
      </c>
      <c r="I426" s="21">
        <v>0</v>
      </c>
      <c r="J426" s="21">
        <v>0</v>
      </c>
      <c r="K426" s="21">
        <v>0</v>
      </c>
      <c r="L426" s="21">
        <v>0</v>
      </c>
      <c r="M426" s="21">
        <v>0</v>
      </c>
      <c r="N426" s="21">
        <v>0</v>
      </c>
      <c r="O426" s="21">
        <v>0</v>
      </c>
      <c r="P426" s="21">
        <v>0</v>
      </c>
      <c r="Q426" s="21">
        <v>0</v>
      </c>
      <c r="R426" s="21">
        <v>0</v>
      </c>
      <c r="S426" s="21">
        <v>0</v>
      </c>
      <c r="T426" s="21">
        <v>0</v>
      </c>
      <c r="U426" s="21">
        <v>0</v>
      </c>
      <c r="V426" s="21">
        <v>0</v>
      </c>
      <c r="W426" s="21">
        <v>0</v>
      </c>
      <c r="X426" s="21">
        <v>0</v>
      </c>
      <c r="Y426" s="21">
        <v>0</v>
      </c>
      <c r="Z426" s="21">
        <v>0</v>
      </c>
      <c r="AA426" s="21">
        <v>0</v>
      </c>
      <c r="AB426" s="21">
        <v>0</v>
      </c>
      <c r="AC426" s="21">
        <v>0</v>
      </c>
      <c r="AD426" s="21">
        <v>0</v>
      </c>
      <c r="AE426" s="21">
        <v>0</v>
      </c>
      <c r="AF426" s="21">
        <v>0</v>
      </c>
      <c r="AG426" s="21">
        <v>0</v>
      </c>
      <c r="AH426" s="21">
        <v>0</v>
      </c>
      <c r="AI426" s="21">
        <v>0</v>
      </c>
      <c r="AJ426" s="21">
        <v>0</v>
      </c>
      <c r="AK426" s="21">
        <v>0</v>
      </c>
      <c r="AL426" s="21">
        <v>0</v>
      </c>
      <c r="AM426" s="21">
        <v>0</v>
      </c>
      <c r="AN426" s="21">
        <v>0</v>
      </c>
      <c r="AO426" s="21">
        <v>0</v>
      </c>
      <c r="AP426" s="21">
        <v>0</v>
      </c>
      <c r="AQ426" s="21">
        <v>0</v>
      </c>
      <c r="AR426" s="21">
        <v>0</v>
      </c>
      <c r="AS426" s="21">
        <v>0</v>
      </c>
      <c r="AT426" s="21">
        <v>0</v>
      </c>
      <c r="AU426" s="21">
        <v>0</v>
      </c>
      <c r="AV426" s="21">
        <v>0</v>
      </c>
      <c r="AW426" s="21">
        <v>0</v>
      </c>
      <c r="AX426" s="21">
        <v>0</v>
      </c>
      <c r="AY426" s="21">
        <v>0</v>
      </c>
      <c r="AZ426" s="21">
        <v>0</v>
      </c>
      <c r="BA426" s="21">
        <v>0</v>
      </c>
      <c r="BB426" s="21">
        <v>0</v>
      </c>
      <c r="BC426" s="21">
        <v>5</v>
      </c>
      <c r="BD426" s="21">
        <v>19</v>
      </c>
      <c r="BE426" s="21">
        <v>37</v>
      </c>
      <c r="BF426" s="21">
        <v>53</v>
      </c>
      <c r="BG426" s="21">
        <v>53</v>
      </c>
      <c r="BH426" s="21">
        <v>71</v>
      </c>
      <c r="BI426" s="21">
        <v>84</v>
      </c>
      <c r="BJ426" s="21">
        <v>97</v>
      </c>
      <c r="BK426" s="21">
        <v>100</v>
      </c>
      <c r="BL426" s="21">
        <v>104</v>
      </c>
      <c r="BM426" s="21">
        <v>112</v>
      </c>
    </row>
    <row r="427" spans="1:65" x14ac:dyDescent="0.2">
      <c r="A427" s="21" t="s">
        <v>1413</v>
      </c>
      <c r="B427" s="21" t="s">
        <v>1414</v>
      </c>
      <c r="C427" s="21" t="s">
        <v>1398</v>
      </c>
      <c r="D427" s="21">
        <v>0</v>
      </c>
      <c r="E427" s="21">
        <v>0</v>
      </c>
      <c r="F427" s="21">
        <v>0</v>
      </c>
      <c r="G427" s="21">
        <v>0</v>
      </c>
      <c r="H427" s="21">
        <v>0</v>
      </c>
      <c r="I427" s="21">
        <v>0</v>
      </c>
      <c r="J427" s="21">
        <v>0</v>
      </c>
      <c r="K427" s="21">
        <v>0</v>
      </c>
      <c r="L427" s="21">
        <v>0</v>
      </c>
      <c r="M427" s="21">
        <v>0</v>
      </c>
      <c r="N427" s="21">
        <v>0</v>
      </c>
      <c r="O427" s="21">
        <v>0</v>
      </c>
      <c r="P427" s="21">
        <v>0</v>
      </c>
      <c r="Q427" s="21">
        <v>0</v>
      </c>
      <c r="R427" s="21">
        <v>0</v>
      </c>
      <c r="S427" s="21">
        <v>0</v>
      </c>
      <c r="T427" s="21">
        <v>0</v>
      </c>
      <c r="U427" s="21">
        <v>0</v>
      </c>
      <c r="V427" s="21">
        <v>0</v>
      </c>
      <c r="W427" s="21">
        <v>0</v>
      </c>
      <c r="X427" s="21">
        <v>0</v>
      </c>
      <c r="Y427" s="21">
        <v>0</v>
      </c>
      <c r="Z427" s="21">
        <v>0</v>
      </c>
      <c r="AA427" s="21">
        <v>28</v>
      </c>
      <c r="AB427" s="21">
        <v>68</v>
      </c>
      <c r="AC427" s="21">
        <v>60</v>
      </c>
      <c r="AD427" s="21">
        <v>44</v>
      </c>
      <c r="AE427" s="21">
        <v>37</v>
      </c>
      <c r="AF427" s="21">
        <v>9</v>
      </c>
      <c r="AG427" s="21">
        <v>22033</v>
      </c>
      <c r="AH427" s="21">
        <v>29007</v>
      </c>
      <c r="AI427" s="21">
        <v>30796</v>
      </c>
      <c r="AJ427" s="21">
        <v>29863</v>
      </c>
      <c r="AK427" s="21">
        <v>30987</v>
      </c>
      <c r="AL427" s="21">
        <v>35560</v>
      </c>
      <c r="AM427" s="21">
        <v>32630</v>
      </c>
      <c r="AN427" s="21">
        <v>33440</v>
      </c>
      <c r="AO427" s="21">
        <v>33581</v>
      </c>
      <c r="AP427" s="21">
        <v>30853</v>
      </c>
      <c r="AQ427" s="21">
        <v>45894</v>
      </c>
      <c r="AR427" s="21">
        <v>57057</v>
      </c>
      <c r="AS427" s="21">
        <v>69617</v>
      </c>
      <c r="AT427" s="21">
        <v>105334</v>
      </c>
      <c r="AU427" s="21">
        <v>113273</v>
      </c>
      <c r="AV427" s="21">
        <v>141664</v>
      </c>
      <c r="AW427" s="21">
        <v>178088</v>
      </c>
      <c r="AX427" s="21">
        <v>263738</v>
      </c>
      <c r="AY427" s="21">
        <v>340503</v>
      </c>
      <c r="AZ427" s="21">
        <v>545548</v>
      </c>
      <c r="BA427" s="21">
        <v>721129</v>
      </c>
      <c r="BB427" s="21">
        <v>923427</v>
      </c>
      <c r="BC427" s="21">
        <v>1167636</v>
      </c>
      <c r="BD427" s="21">
        <v>1340059</v>
      </c>
      <c r="BE427" s="21">
        <v>1601359</v>
      </c>
      <c r="BF427" s="21">
        <v>1727360</v>
      </c>
      <c r="BG427" s="21">
        <v>1776353</v>
      </c>
      <c r="BH427" s="21">
        <v>2094687</v>
      </c>
      <c r="BI427" s="21">
        <v>2341619</v>
      </c>
      <c r="BJ427" s="21">
        <v>2480728</v>
      </c>
      <c r="BK427" s="21">
        <v>2633058</v>
      </c>
      <c r="BL427" s="21">
        <v>2962703</v>
      </c>
      <c r="BM427" s="21">
        <v>3344772</v>
      </c>
    </row>
    <row r="428" spans="1:65" x14ac:dyDescent="0.2">
      <c r="A428" s="21" t="s">
        <v>1413</v>
      </c>
      <c r="B428" s="21" t="s">
        <v>1414</v>
      </c>
      <c r="C428" s="21" t="s">
        <v>1400</v>
      </c>
      <c r="D428" s="21">
        <v>0</v>
      </c>
      <c r="E428" s="21">
        <v>0</v>
      </c>
      <c r="F428" s="21">
        <v>0</v>
      </c>
      <c r="G428" s="21">
        <v>0</v>
      </c>
      <c r="H428" s="21">
        <v>0</v>
      </c>
      <c r="I428" s="21">
        <v>0</v>
      </c>
      <c r="J428" s="21">
        <v>0</v>
      </c>
      <c r="K428" s="21">
        <v>0</v>
      </c>
      <c r="L428" s="21">
        <v>0</v>
      </c>
      <c r="M428" s="21">
        <v>0</v>
      </c>
      <c r="N428" s="21">
        <v>0</v>
      </c>
      <c r="O428" s="21">
        <v>0</v>
      </c>
      <c r="P428" s="21">
        <v>0</v>
      </c>
      <c r="Q428" s="21">
        <v>0</v>
      </c>
      <c r="R428" s="21">
        <v>0</v>
      </c>
      <c r="S428" s="21">
        <v>0</v>
      </c>
      <c r="T428" s="21">
        <v>0</v>
      </c>
      <c r="U428" s="21">
        <v>0</v>
      </c>
      <c r="V428" s="21">
        <v>0</v>
      </c>
      <c r="W428" s="21">
        <v>0</v>
      </c>
      <c r="X428" s="21">
        <v>0</v>
      </c>
      <c r="Y428" s="21">
        <v>0</v>
      </c>
      <c r="Z428" s="21">
        <v>0</v>
      </c>
      <c r="AA428" s="21">
        <v>3</v>
      </c>
      <c r="AB428" s="21">
        <v>6</v>
      </c>
      <c r="AC428" s="21">
        <v>6</v>
      </c>
      <c r="AD428" s="21">
        <v>4</v>
      </c>
      <c r="AE428" s="21">
        <v>4</v>
      </c>
      <c r="AF428" s="21">
        <v>1</v>
      </c>
      <c r="AG428" s="21">
        <v>2112</v>
      </c>
      <c r="AH428" s="21">
        <v>2789</v>
      </c>
      <c r="AI428" s="21">
        <v>2951</v>
      </c>
      <c r="AJ428" s="21">
        <v>2888</v>
      </c>
      <c r="AK428" s="21">
        <v>3006</v>
      </c>
      <c r="AL428" s="21">
        <v>3447</v>
      </c>
      <c r="AM428" s="21">
        <v>3164</v>
      </c>
      <c r="AN428" s="21">
        <v>3234</v>
      </c>
      <c r="AO428" s="21">
        <v>3288</v>
      </c>
      <c r="AP428" s="21">
        <v>3026</v>
      </c>
      <c r="AQ428" s="21">
        <v>4488</v>
      </c>
      <c r="AR428" s="21">
        <v>5593</v>
      </c>
      <c r="AS428" s="21">
        <v>6737</v>
      </c>
      <c r="AT428" s="21">
        <v>10354</v>
      </c>
      <c r="AU428" s="21">
        <v>11187</v>
      </c>
      <c r="AV428" s="21">
        <v>14144</v>
      </c>
      <c r="AW428" s="21">
        <v>17811</v>
      </c>
      <c r="AX428" s="21">
        <v>26589</v>
      </c>
      <c r="AY428" s="21">
        <v>34450</v>
      </c>
      <c r="AZ428" s="21">
        <v>55363</v>
      </c>
      <c r="BA428" s="21">
        <v>73886</v>
      </c>
      <c r="BB428" s="21">
        <v>94652</v>
      </c>
      <c r="BC428" s="21">
        <v>120177</v>
      </c>
      <c r="BD428" s="21">
        <v>140822</v>
      </c>
      <c r="BE428" s="21">
        <v>167840</v>
      </c>
      <c r="BF428" s="21">
        <v>181655</v>
      </c>
      <c r="BG428" s="21">
        <v>190719</v>
      </c>
      <c r="BH428" s="21">
        <v>226993</v>
      </c>
      <c r="BI428" s="21">
        <v>254303</v>
      </c>
      <c r="BJ428" s="21">
        <v>272667</v>
      </c>
      <c r="BK428" s="21">
        <v>295882</v>
      </c>
      <c r="BL428" s="21">
        <v>337938</v>
      </c>
      <c r="BM428" s="21">
        <v>378197</v>
      </c>
    </row>
    <row r="429" spans="1:65" x14ac:dyDescent="0.2">
      <c r="A429" s="21" t="s">
        <v>1413</v>
      </c>
      <c r="B429" s="21" t="s">
        <v>1414</v>
      </c>
      <c r="C429" s="21" t="s">
        <v>1402</v>
      </c>
      <c r="D429" s="21">
        <v>0</v>
      </c>
      <c r="E429" s="21">
        <v>0</v>
      </c>
      <c r="F429" s="21">
        <v>0</v>
      </c>
      <c r="G429" s="21">
        <v>0</v>
      </c>
      <c r="H429" s="21">
        <v>0</v>
      </c>
      <c r="I429" s="21">
        <v>0</v>
      </c>
      <c r="J429" s="21">
        <v>0</v>
      </c>
      <c r="K429" s="21">
        <v>0</v>
      </c>
      <c r="L429" s="21">
        <v>0</v>
      </c>
      <c r="M429" s="21">
        <v>0</v>
      </c>
      <c r="N429" s="21">
        <v>0</v>
      </c>
      <c r="O429" s="21">
        <v>0</v>
      </c>
      <c r="P429" s="21">
        <v>0</v>
      </c>
      <c r="Q429" s="21">
        <v>0</v>
      </c>
      <c r="R429" s="21">
        <v>0</v>
      </c>
      <c r="S429" s="21">
        <v>0</v>
      </c>
      <c r="T429" s="21">
        <v>0</v>
      </c>
      <c r="U429" s="21">
        <v>0</v>
      </c>
      <c r="V429" s="21">
        <v>0</v>
      </c>
      <c r="W429" s="21">
        <v>0</v>
      </c>
      <c r="X429" s="21">
        <v>0</v>
      </c>
      <c r="Y429" s="21">
        <v>0</v>
      </c>
      <c r="Z429" s="21">
        <v>0</v>
      </c>
      <c r="AA429" s="21">
        <v>0</v>
      </c>
      <c r="AB429" s="21">
        <v>0</v>
      </c>
      <c r="AC429" s="21">
        <v>0</v>
      </c>
      <c r="AD429" s="21">
        <v>0</v>
      </c>
      <c r="AE429" s="21">
        <v>0</v>
      </c>
      <c r="AF429" s="21">
        <v>0</v>
      </c>
      <c r="AG429" s="21">
        <v>0</v>
      </c>
      <c r="AH429" s="21">
        <v>0</v>
      </c>
      <c r="AI429" s="21">
        <v>0</v>
      </c>
      <c r="AJ429" s="21">
        <v>0</v>
      </c>
      <c r="AK429" s="21">
        <v>0</v>
      </c>
      <c r="AL429" s="21">
        <v>0</v>
      </c>
      <c r="AM429" s="21">
        <v>0</v>
      </c>
      <c r="AN429" s="21">
        <v>0</v>
      </c>
      <c r="AO429" s="21">
        <v>0</v>
      </c>
      <c r="AP429" s="21">
        <v>0</v>
      </c>
      <c r="AQ429" s="21">
        <v>0</v>
      </c>
      <c r="AR429" s="21">
        <v>0</v>
      </c>
      <c r="AS429" s="21">
        <v>0</v>
      </c>
      <c r="AT429" s="21">
        <v>0</v>
      </c>
      <c r="AU429" s="21">
        <v>0</v>
      </c>
      <c r="AV429" s="21">
        <v>0</v>
      </c>
      <c r="AW429" s="21">
        <v>0</v>
      </c>
      <c r="AX429" s="21">
        <v>0</v>
      </c>
      <c r="AY429" s="21">
        <v>0</v>
      </c>
      <c r="AZ429" s="21">
        <v>0</v>
      </c>
      <c r="BA429" s="21">
        <v>2</v>
      </c>
      <c r="BB429" s="21">
        <v>157</v>
      </c>
      <c r="BC429" s="21">
        <v>541</v>
      </c>
      <c r="BD429" s="21">
        <v>695</v>
      </c>
      <c r="BE429" s="21">
        <v>935</v>
      </c>
      <c r="BF429" s="21">
        <v>1516</v>
      </c>
      <c r="BG429" s="21">
        <v>1600</v>
      </c>
      <c r="BH429" s="21">
        <v>1867</v>
      </c>
      <c r="BI429" s="21">
        <v>2106</v>
      </c>
      <c r="BJ429" s="21">
        <v>2466</v>
      </c>
      <c r="BK429" s="21">
        <v>2478</v>
      </c>
      <c r="BL429" s="21">
        <v>2383</v>
      </c>
      <c r="BM429" s="21">
        <v>2471</v>
      </c>
    </row>
    <row r="430" spans="1:65" x14ac:dyDescent="0.2">
      <c r="A430" s="21" t="s">
        <v>1413</v>
      </c>
      <c r="B430" s="21" t="s">
        <v>1414</v>
      </c>
      <c r="C430" s="21" t="s">
        <v>1404</v>
      </c>
      <c r="D430" s="21">
        <v>0</v>
      </c>
      <c r="E430" s="21">
        <v>0</v>
      </c>
      <c r="F430" s="21">
        <v>0</v>
      </c>
      <c r="G430" s="21">
        <v>0</v>
      </c>
      <c r="H430" s="21">
        <v>0</v>
      </c>
      <c r="I430" s="21">
        <v>0</v>
      </c>
      <c r="J430" s="21">
        <v>0</v>
      </c>
      <c r="K430" s="21">
        <v>0</v>
      </c>
      <c r="L430" s="21">
        <v>0</v>
      </c>
      <c r="M430" s="21">
        <v>0</v>
      </c>
      <c r="N430" s="21">
        <v>0</v>
      </c>
      <c r="O430" s="21">
        <v>0</v>
      </c>
      <c r="P430" s="21">
        <v>0</v>
      </c>
      <c r="Q430" s="21">
        <v>0</v>
      </c>
      <c r="R430" s="21">
        <v>0</v>
      </c>
      <c r="S430" s="21">
        <v>0</v>
      </c>
      <c r="T430" s="21">
        <v>0</v>
      </c>
      <c r="U430" s="21">
        <v>0</v>
      </c>
      <c r="V430" s="21">
        <v>0</v>
      </c>
      <c r="W430" s="21">
        <v>0</v>
      </c>
      <c r="X430" s="21">
        <v>0</v>
      </c>
      <c r="Y430" s="21">
        <v>0</v>
      </c>
      <c r="Z430" s="21">
        <v>0</v>
      </c>
      <c r="AA430" s="21">
        <v>0</v>
      </c>
      <c r="AB430" s="21">
        <v>0</v>
      </c>
      <c r="AC430" s="21">
        <v>0</v>
      </c>
      <c r="AD430" s="21">
        <v>0</v>
      </c>
      <c r="AE430" s="21">
        <v>0</v>
      </c>
      <c r="AF430" s="21">
        <v>0</v>
      </c>
      <c r="AG430" s="21">
        <v>0</v>
      </c>
      <c r="AH430" s="21">
        <v>0</v>
      </c>
      <c r="AI430" s="21">
        <v>0</v>
      </c>
      <c r="AJ430" s="21">
        <v>0</v>
      </c>
      <c r="AK430" s="21">
        <v>0</v>
      </c>
      <c r="AL430" s="21">
        <v>0</v>
      </c>
      <c r="AM430" s="21">
        <v>0</v>
      </c>
      <c r="AN430" s="21">
        <v>0</v>
      </c>
      <c r="AO430" s="21">
        <v>0</v>
      </c>
      <c r="AP430" s="21">
        <v>0</v>
      </c>
      <c r="AQ430" s="21">
        <v>0</v>
      </c>
      <c r="AR430" s="21">
        <v>0</v>
      </c>
      <c r="AS430" s="21">
        <v>0</v>
      </c>
      <c r="AT430" s="21">
        <v>0</v>
      </c>
      <c r="AU430" s="21">
        <v>0</v>
      </c>
      <c r="AV430" s="21">
        <v>0</v>
      </c>
      <c r="AW430" s="21">
        <v>0</v>
      </c>
      <c r="AX430" s="21">
        <v>0</v>
      </c>
      <c r="AY430" s="21">
        <v>0</v>
      </c>
      <c r="AZ430" s="21">
        <v>0</v>
      </c>
      <c r="BA430" s="21">
        <v>0</v>
      </c>
      <c r="BB430" s="21">
        <v>16</v>
      </c>
      <c r="BC430" s="21">
        <v>56</v>
      </c>
      <c r="BD430" s="21">
        <v>73</v>
      </c>
      <c r="BE430" s="21">
        <v>98</v>
      </c>
      <c r="BF430" s="21">
        <v>159</v>
      </c>
      <c r="BG430" s="21">
        <v>172</v>
      </c>
      <c r="BH430" s="21">
        <v>202</v>
      </c>
      <c r="BI430" s="21">
        <v>229</v>
      </c>
      <c r="BJ430" s="21">
        <v>271</v>
      </c>
      <c r="BK430" s="21">
        <v>278</v>
      </c>
      <c r="BL430" s="21">
        <v>272</v>
      </c>
      <c r="BM430" s="21">
        <v>279</v>
      </c>
    </row>
    <row r="431" spans="1:65" x14ac:dyDescent="0.2">
      <c r="A431" s="21" t="s">
        <v>1413</v>
      </c>
      <c r="B431" s="21" t="s">
        <v>1414</v>
      </c>
      <c r="C431" s="21" t="s">
        <v>1406</v>
      </c>
      <c r="D431" s="21">
        <v>1002</v>
      </c>
      <c r="E431" s="21">
        <v>981</v>
      </c>
      <c r="F431" s="21">
        <v>996</v>
      </c>
      <c r="G431" s="21">
        <v>1015</v>
      </c>
      <c r="H431" s="21">
        <v>1011</v>
      </c>
      <c r="I431" s="21">
        <v>980</v>
      </c>
      <c r="J431" s="21">
        <v>984</v>
      </c>
      <c r="K431" s="21">
        <v>904</v>
      </c>
      <c r="L431" s="21">
        <v>978</v>
      </c>
      <c r="M431" s="21">
        <v>1021</v>
      </c>
      <c r="N431" s="21">
        <v>1081</v>
      </c>
      <c r="O431" s="21">
        <v>1038</v>
      </c>
      <c r="P431" s="21">
        <v>990</v>
      </c>
      <c r="Q431" s="21">
        <v>1108</v>
      </c>
      <c r="R431" s="21">
        <v>982</v>
      </c>
      <c r="S431" s="21">
        <v>1051</v>
      </c>
      <c r="T431" s="21">
        <v>922</v>
      </c>
      <c r="U431" s="21">
        <v>1171</v>
      </c>
      <c r="V431" s="21">
        <v>1114</v>
      </c>
      <c r="W431" s="21">
        <v>1004</v>
      </c>
      <c r="X431" s="21">
        <v>1216</v>
      </c>
      <c r="Y431" s="21">
        <v>1108</v>
      </c>
      <c r="Z431" s="21">
        <v>1047</v>
      </c>
      <c r="AA431" s="21">
        <v>1179</v>
      </c>
      <c r="AB431" s="21">
        <v>1140</v>
      </c>
      <c r="AC431" s="21">
        <v>1122</v>
      </c>
      <c r="AD431" s="21">
        <v>1182</v>
      </c>
      <c r="AE431" s="21">
        <v>1208</v>
      </c>
      <c r="AF431" s="21">
        <v>1231</v>
      </c>
      <c r="AG431" s="21">
        <v>1103</v>
      </c>
      <c r="AH431" s="21">
        <v>1200</v>
      </c>
      <c r="AI431" s="21">
        <v>1281</v>
      </c>
      <c r="AJ431" s="21">
        <v>1002</v>
      </c>
      <c r="AK431" s="21">
        <v>1168</v>
      </c>
      <c r="AL431" s="21">
        <v>1185</v>
      </c>
      <c r="AM431" s="21">
        <v>1261</v>
      </c>
      <c r="AN431" s="21">
        <v>1162</v>
      </c>
      <c r="AO431" s="21">
        <v>1133</v>
      </c>
      <c r="AP431" s="21">
        <v>1390</v>
      </c>
      <c r="AQ431" s="21">
        <v>1282</v>
      </c>
      <c r="AR431" s="21">
        <v>1232</v>
      </c>
      <c r="AS431" s="21">
        <v>1256</v>
      </c>
      <c r="AT431" s="21">
        <v>1364</v>
      </c>
      <c r="AU431" s="21">
        <v>1268</v>
      </c>
      <c r="AV431" s="21">
        <v>1217</v>
      </c>
      <c r="AW431" s="21">
        <v>1389</v>
      </c>
      <c r="AX431" s="21">
        <v>1360</v>
      </c>
      <c r="AY431" s="21">
        <v>1392</v>
      </c>
      <c r="AZ431" s="21">
        <v>1283</v>
      </c>
      <c r="BA431" s="21">
        <v>1241</v>
      </c>
      <c r="BB431" s="21">
        <v>1456</v>
      </c>
      <c r="BC431" s="21">
        <v>1469</v>
      </c>
      <c r="BD431" s="21">
        <v>1493</v>
      </c>
      <c r="BE431" s="21">
        <v>1304</v>
      </c>
      <c r="BF431" s="21">
        <v>1295</v>
      </c>
      <c r="BG431" s="21">
        <v>1484</v>
      </c>
      <c r="BH431" s="21">
        <v>1553</v>
      </c>
      <c r="BI431" s="21">
        <v>1422</v>
      </c>
      <c r="BJ431" s="21">
        <v>1579</v>
      </c>
      <c r="BK431" s="21">
        <v>1495</v>
      </c>
      <c r="BL431" s="21">
        <v>1518</v>
      </c>
      <c r="BM431" s="21">
        <v>1491</v>
      </c>
    </row>
    <row r="432" spans="1:65" x14ac:dyDescent="0.2">
      <c r="A432" s="21" t="s">
        <v>1413</v>
      </c>
      <c r="B432" s="21" t="s">
        <v>1414</v>
      </c>
      <c r="C432" s="21" t="s">
        <v>1409</v>
      </c>
      <c r="D432" s="21">
        <v>5402</v>
      </c>
      <c r="E432" s="21">
        <v>5191</v>
      </c>
      <c r="F432" s="21">
        <v>5342</v>
      </c>
      <c r="G432" s="21">
        <v>5360</v>
      </c>
      <c r="H432" s="21">
        <v>5085</v>
      </c>
      <c r="I432" s="21">
        <v>5145</v>
      </c>
      <c r="J432" s="21">
        <v>5307</v>
      </c>
      <c r="K432" s="21">
        <v>5213</v>
      </c>
      <c r="L432" s="21">
        <v>5245</v>
      </c>
      <c r="M432" s="21">
        <v>5301</v>
      </c>
      <c r="N432" s="21">
        <v>5216</v>
      </c>
      <c r="O432" s="21">
        <v>5070</v>
      </c>
      <c r="P432" s="21">
        <v>5248</v>
      </c>
      <c r="Q432" s="21">
        <v>4762</v>
      </c>
      <c r="R432" s="21">
        <v>4880</v>
      </c>
      <c r="S432" s="21">
        <v>4903</v>
      </c>
      <c r="T432" s="21">
        <v>5179</v>
      </c>
      <c r="U432" s="21">
        <v>5014</v>
      </c>
      <c r="V432" s="21">
        <v>5382</v>
      </c>
      <c r="W432" s="21">
        <v>5166</v>
      </c>
      <c r="X432" s="21">
        <v>5077</v>
      </c>
      <c r="Y432" s="21">
        <v>4851</v>
      </c>
      <c r="Z432" s="21">
        <v>4936</v>
      </c>
      <c r="AA432" s="21">
        <v>4906</v>
      </c>
      <c r="AB432" s="21">
        <v>4775</v>
      </c>
      <c r="AC432" s="21">
        <v>4888</v>
      </c>
      <c r="AD432" s="21">
        <v>4519</v>
      </c>
      <c r="AE432" s="21">
        <v>4532</v>
      </c>
      <c r="AF432" s="21">
        <v>4840</v>
      </c>
      <c r="AG432" s="21">
        <v>4894</v>
      </c>
      <c r="AH432" s="21">
        <v>4180</v>
      </c>
      <c r="AI432" s="21">
        <v>4347</v>
      </c>
      <c r="AJ432" s="21">
        <v>4584</v>
      </c>
      <c r="AK432" s="21">
        <v>4837</v>
      </c>
      <c r="AL432" s="21">
        <v>4609</v>
      </c>
      <c r="AM432" s="21">
        <v>4640</v>
      </c>
      <c r="AN432" s="21">
        <v>4800</v>
      </c>
      <c r="AO432" s="21">
        <v>4629</v>
      </c>
      <c r="AP432" s="21">
        <v>4051</v>
      </c>
      <c r="AQ432" s="21">
        <v>4232</v>
      </c>
      <c r="AR432" s="21">
        <v>4493</v>
      </c>
      <c r="AS432" s="21">
        <v>4256</v>
      </c>
      <c r="AT432" s="21">
        <v>4356</v>
      </c>
      <c r="AU432" s="21">
        <v>4544</v>
      </c>
      <c r="AV432" s="21">
        <v>4344</v>
      </c>
      <c r="AW432" s="21">
        <v>4348</v>
      </c>
      <c r="AX432" s="21">
        <v>4040</v>
      </c>
      <c r="AY432" s="21">
        <v>4268</v>
      </c>
      <c r="AZ432" s="21">
        <v>4494</v>
      </c>
      <c r="BA432" s="21">
        <v>4480</v>
      </c>
      <c r="BB432" s="21">
        <v>4463</v>
      </c>
      <c r="BC432" s="21">
        <v>4314</v>
      </c>
      <c r="BD432" s="21">
        <v>3773</v>
      </c>
      <c r="BE432" s="21">
        <v>4472</v>
      </c>
      <c r="BF432" s="21">
        <v>4560</v>
      </c>
      <c r="BG432" s="21">
        <v>4096</v>
      </c>
      <c r="BH432" s="21">
        <v>3889</v>
      </c>
      <c r="BI432" s="21">
        <v>3840</v>
      </c>
      <c r="BJ432" s="21">
        <v>4293</v>
      </c>
      <c r="BK432" s="21">
        <v>4320</v>
      </c>
      <c r="BL432" s="21">
        <v>3916</v>
      </c>
      <c r="BM432" s="21">
        <v>3937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FBB7-D8BC-BC44-8658-33C3A7656CD8}">
  <dimension ref="A1:AR67"/>
  <sheetViews>
    <sheetView workbookViewId="0">
      <pane xSplit="1" ySplit="11" topLeftCell="B12" activePane="bottomRight" state="frozen"/>
      <selection activeCell="A2" sqref="A2"/>
      <selection pane="topRight" activeCell="A2" sqref="A2"/>
      <selection pane="bottomLeft" activeCell="A2" sqref="A2"/>
      <selection pane="bottomRight" activeCell="L16" sqref="L16"/>
    </sheetView>
  </sheetViews>
  <sheetFormatPr baseColWidth="10" defaultRowHeight="16" x14ac:dyDescent="0.2"/>
  <cols>
    <col min="1" max="1" width="16.5" customWidth="1"/>
    <col min="2" max="3" width="11.5" bestFit="1" customWidth="1"/>
    <col min="4" max="4" width="13" bestFit="1" customWidth="1"/>
    <col min="5" max="5" width="12.83203125" customWidth="1"/>
    <col min="6" max="6" width="3.6640625" customWidth="1"/>
    <col min="7" max="7" width="11.5" bestFit="1" customWidth="1"/>
    <col min="8" max="8" width="11.5" customWidth="1"/>
    <col min="9" max="9" width="17.33203125" customWidth="1"/>
  </cols>
  <sheetData>
    <row r="1" spans="1:44" x14ac:dyDescent="0.2">
      <c r="A1" t="s">
        <v>1415</v>
      </c>
      <c r="B1" t="s">
        <v>1474</v>
      </c>
      <c r="C1" t="s">
        <v>1474</v>
      </c>
      <c r="D1" t="s">
        <v>1474</v>
      </c>
      <c r="E1" t="s">
        <v>1474</v>
      </c>
      <c r="H1" t="s">
        <v>1551</v>
      </c>
    </row>
    <row r="2" spans="1:44" x14ac:dyDescent="0.2">
      <c r="B2" s="9" t="s">
        <v>210</v>
      </c>
      <c r="C2" s="9" t="s">
        <v>944</v>
      </c>
      <c r="D2" s="9" t="s">
        <v>776</v>
      </c>
      <c r="E2" s="9" t="s">
        <v>1116</v>
      </c>
      <c r="F2" s="2"/>
      <c r="H2" s="30" t="s">
        <v>1532</v>
      </c>
    </row>
    <row r="3" spans="1:44" ht="109" customHeight="1" x14ac:dyDescent="0.2">
      <c r="A3" s="34" t="s">
        <v>1461</v>
      </c>
      <c r="B3" s="26" t="str">
        <f t="shared" ref="B3:E3" si="0">IF(ISERROR(VLOOKUP(B$2,code,2,)),"",VLOOKUP(B$2,code,2,))</f>
        <v>Coal total consumption</v>
      </c>
      <c r="C3" s="26" t="str">
        <f t="shared" si="0"/>
        <v>All petroleum products total consumption</v>
      </c>
      <c r="D3" s="26" t="str">
        <f t="shared" si="0"/>
        <v>Natural gas total consumption (including supplemental gaseous fuels)</v>
      </c>
      <c r="E3" s="26" t="str">
        <f t="shared" si="0"/>
        <v>Renewable energy total consumption</v>
      </c>
      <c r="F3" s="26"/>
      <c r="G3" s="26" t="str">
        <f t="shared" ref="G3:AR3" si="1">IF(ISERROR(VLOOKUP(G$2,code,2,)),"",VLOOKUP(G$2,code,2,))</f>
        <v/>
      </c>
      <c r="H3" s="26"/>
      <c r="I3" s="26" t="str">
        <f t="shared" si="1"/>
        <v/>
      </c>
      <c r="J3" s="26" t="str">
        <f t="shared" si="1"/>
        <v/>
      </c>
      <c r="K3" s="26" t="str">
        <f t="shared" si="1"/>
        <v/>
      </c>
      <c r="L3" s="26" t="str">
        <f t="shared" si="1"/>
        <v/>
      </c>
      <c r="M3" s="26" t="str">
        <f t="shared" si="1"/>
        <v/>
      </c>
      <c r="N3" s="26" t="str">
        <f t="shared" si="1"/>
        <v/>
      </c>
      <c r="O3" s="26" t="str">
        <f t="shared" si="1"/>
        <v/>
      </c>
      <c r="P3" s="26" t="str">
        <f t="shared" si="1"/>
        <v/>
      </c>
      <c r="Q3" s="26" t="str">
        <f t="shared" si="1"/>
        <v/>
      </c>
      <c r="R3" s="26" t="str">
        <f t="shared" si="1"/>
        <v/>
      </c>
      <c r="S3" s="26" t="str">
        <f t="shared" si="1"/>
        <v/>
      </c>
      <c r="T3" s="26" t="str">
        <f t="shared" si="1"/>
        <v/>
      </c>
      <c r="U3" s="26" t="str">
        <f t="shared" si="1"/>
        <v/>
      </c>
      <c r="V3" s="26" t="str">
        <f t="shared" si="1"/>
        <v/>
      </c>
      <c r="W3" s="26" t="str">
        <f t="shared" si="1"/>
        <v/>
      </c>
      <c r="X3" s="26" t="str">
        <f t="shared" si="1"/>
        <v/>
      </c>
      <c r="Y3" s="26" t="str">
        <f t="shared" si="1"/>
        <v/>
      </c>
      <c r="Z3" s="26" t="str">
        <f t="shared" si="1"/>
        <v/>
      </c>
      <c r="AA3" s="26" t="str">
        <f t="shared" si="1"/>
        <v/>
      </c>
      <c r="AB3" s="26" t="str">
        <f t="shared" si="1"/>
        <v/>
      </c>
      <c r="AC3" s="26" t="str">
        <f t="shared" si="1"/>
        <v/>
      </c>
      <c r="AD3" s="26" t="str">
        <f t="shared" si="1"/>
        <v/>
      </c>
      <c r="AE3" s="26" t="str">
        <f t="shared" si="1"/>
        <v/>
      </c>
      <c r="AF3" s="26" t="str">
        <f t="shared" si="1"/>
        <v/>
      </c>
      <c r="AG3" s="26" t="str">
        <f t="shared" si="1"/>
        <v/>
      </c>
      <c r="AH3" s="26" t="str">
        <f t="shared" si="1"/>
        <v/>
      </c>
      <c r="AI3" s="26" t="str">
        <f t="shared" si="1"/>
        <v/>
      </c>
      <c r="AJ3" s="26" t="str">
        <f t="shared" si="1"/>
        <v/>
      </c>
      <c r="AK3" s="26" t="str">
        <f t="shared" si="1"/>
        <v/>
      </c>
      <c r="AL3" s="26" t="str">
        <f t="shared" si="1"/>
        <v/>
      </c>
      <c r="AM3" s="26" t="str">
        <f t="shared" si="1"/>
        <v/>
      </c>
      <c r="AN3" s="26" t="str">
        <f t="shared" si="1"/>
        <v/>
      </c>
      <c r="AO3" s="26" t="str">
        <f t="shared" si="1"/>
        <v/>
      </c>
      <c r="AP3" s="26" t="str">
        <f t="shared" si="1"/>
        <v/>
      </c>
      <c r="AQ3" s="26" t="str">
        <f t="shared" si="1"/>
        <v/>
      </c>
      <c r="AR3" s="26" t="str">
        <f t="shared" si="1"/>
        <v/>
      </c>
    </row>
    <row r="5" spans="1:44" x14ac:dyDescent="0.2">
      <c r="A5" t="s">
        <v>1423</v>
      </c>
    </row>
    <row r="7" spans="1:44" x14ac:dyDescent="0.2">
      <c r="B7" s="61"/>
      <c r="C7" s="61"/>
      <c r="D7" s="61"/>
      <c r="E7" s="61"/>
      <c r="F7" s="61"/>
    </row>
    <row r="8" spans="1:44" s="30" customFormat="1" ht="7" customHeight="1" x14ac:dyDescent="0.2"/>
    <row r="9" spans="1:44" s="30" customFormat="1" x14ac:dyDescent="0.2">
      <c r="B9" s="28" t="s">
        <v>1547</v>
      </c>
      <c r="C9" s="28"/>
      <c r="D9" s="28"/>
      <c r="E9" s="28"/>
    </row>
    <row r="10" spans="1:44" ht="36" customHeight="1" x14ac:dyDescent="0.2">
      <c r="A10" s="35"/>
      <c r="B10" s="53" t="s">
        <v>1454</v>
      </c>
      <c r="C10" s="53" t="s">
        <v>1493</v>
      </c>
      <c r="D10" s="53" t="s">
        <v>1455</v>
      </c>
      <c r="E10" s="53" t="s">
        <v>1510</v>
      </c>
      <c r="F10" s="53"/>
      <c r="G10" s="31" t="s">
        <v>1548</v>
      </c>
      <c r="H10" s="31" t="s">
        <v>1550</v>
      </c>
      <c r="I10" s="31" t="s">
        <v>1549</v>
      </c>
    </row>
    <row r="11" spans="1:44" s="26" customFormat="1" ht="53" customHeight="1" x14ac:dyDescent="0.2">
      <c r="A11" s="53" t="s">
        <v>1477</v>
      </c>
      <c r="B11" s="26" t="str">
        <f>VLOOKUP(B$2,code,3,)</f>
        <v>Billion Btu</v>
      </c>
      <c r="C11" s="26" t="str">
        <f>VLOOKUP(C$2,code,3,)</f>
        <v>Billion Btu</v>
      </c>
      <c r="D11" s="26" t="str">
        <f>VLOOKUP(D$2,code,3,)</f>
        <v>Billion Btu</v>
      </c>
    </row>
    <row r="12" spans="1:44" s="30" customFormat="1" ht="21" customHeight="1" x14ac:dyDescent="0.2">
      <c r="A12" s="29" t="s">
        <v>1476</v>
      </c>
      <c r="B12" s="54">
        <f ca="1">AVERAGE(B13:B64)</f>
        <v>17433425.442307692</v>
      </c>
      <c r="C12" s="54">
        <f t="shared" ref="C12:I12" ca="1" si="2">AVERAGE(C13:C64)</f>
        <v>35332070.615384616</v>
      </c>
      <c r="D12" s="54">
        <f t="shared" ca="1" si="2"/>
        <v>22904889.557692308</v>
      </c>
      <c r="E12" s="54">
        <f t="shared" ca="1" si="2"/>
        <v>6827000.961538462</v>
      </c>
      <c r="F12" s="29"/>
      <c r="G12" s="54">
        <f t="shared" ca="1" si="2"/>
        <v>75670385.615384609</v>
      </c>
      <c r="H12" s="54" t="e">
        <f t="shared" ca="1" si="2"/>
        <v>#DIV/0!</v>
      </c>
      <c r="I12" s="57" t="e">
        <f t="shared" ca="1" si="2"/>
        <v>#DIV/0!</v>
      </c>
      <c r="J12" s="29"/>
      <c r="K12" s="33"/>
      <c r="L12" s="33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 spans="1:44" ht="21" customHeight="1" x14ac:dyDescent="0.2">
      <c r="A13" s="22">
        <v>1970</v>
      </c>
      <c r="B13" s="39">
        <f t="shared" ref="B13:E28" ca="1" si="3">IF(ISERROR(VLOOKUP(B$2,INDIRECT(B$1),MATCH($A13,INDIRECT(B$1&amp;"_col"),),)),"",VLOOKUP(B$2,INDIRECT(B$1),MATCH($A13,INDIRECT(B$1&amp;"_col"),),))</f>
        <v>12268895</v>
      </c>
      <c r="C13" s="39">
        <f t="shared" ca="1" si="3"/>
        <v>29500112</v>
      </c>
      <c r="D13" s="39">
        <f t="shared" ca="1" si="3"/>
        <v>21692710</v>
      </c>
      <c r="E13" s="39">
        <f t="shared" ca="1" si="3"/>
        <v>4070021</v>
      </c>
      <c r="G13" s="56">
        <f ca="1">SUM(B13:D13)</f>
        <v>63461717</v>
      </c>
      <c r="H13" s="56" t="str">
        <f ca="1">IF(ISERROR(VLOOKUP(A13,INDIRECT($H$1),MATCH($H$2,INDIRECT($H$1&amp;"_col"),),)),"",VLOOKUP(A13,INDIRECT($H$1),MATCH($H$2,INDIRECT($H$1&amp;"_col"),),))</f>
        <v/>
      </c>
      <c r="I13" t="str">
        <f ca="1">IF(ISERROR(H13/G13),"",H13/G13)</f>
        <v/>
      </c>
      <c r="K13" s="26"/>
      <c r="L13" s="26"/>
    </row>
    <row r="14" spans="1:44" ht="21" customHeight="1" x14ac:dyDescent="0.2">
      <c r="A14" s="22">
        <f>A13+1</f>
        <v>1971</v>
      </c>
      <c r="B14" s="39">
        <f t="shared" ca="1" si="3"/>
        <v>11603202</v>
      </c>
      <c r="C14" s="39">
        <f t="shared" ca="1" si="3"/>
        <v>30541454</v>
      </c>
      <c r="D14" s="39">
        <f t="shared" ca="1" si="3"/>
        <v>22365248</v>
      </c>
      <c r="E14" s="39">
        <f t="shared" ca="1" si="3"/>
        <v>4262212</v>
      </c>
      <c r="G14" s="56">
        <f t="shared" ref="G14:G35" ca="1" si="4">SUM(B14:D14)</f>
        <v>64509904</v>
      </c>
      <c r="H14" s="56" t="str">
        <f t="shared" ref="H14:H35" ca="1" si="5">IF(ISERROR(VLOOKUP(A14,INDIRECT($H$1),MATCH($H$2,INDIRECT($H$1&amp;"_col"),),)),"",VLOOKUP(A14,INDIRECT($H$1),MATCH($H$2,INDIRECT($H$1&amp;"_col"),),))</f>
        <v/>
      </c>
      <c r="I14" t="str">
        <f t="shared" ref="I14:I35" ca="1" si="6">IF(ISERROR(H14/G14),"",H14/G14)</f>
        <v/>
      </c>
      <c r="K14" s="68" t="s">
        <v>1552</v>
      </c>
      <c r="L14" s="68"/>
      <c r="M14" s="28"/>
    </row>
    <row r="15" spans="1:44" ht="21" customHeight="1" x14ac:dyDescent="0.2">
      <c r="A15" s="22">
        <f t="shared" ref="A15:A64" si="7">A14+1</f>
        <v>1972</v>
      </c>
      <c r="B15" s="39">
        <f t="shared" ca="1" si="3"/>
        <v>12109530</v>
      </c>
      <c r="C15" s="39">
        <f t="shared" ca="1" si="3"/>
        <v>32919160</v>
      </c>
      <c r="D15" s="39">
        <f t="shared" ca="1" si="3"/>
        <v>22682497</v>
      </c>
      <c r="E15" s="39">
        <f t="shared" ca="1" si="3"/>
        <v>4382009</v>
      </c>
      <c r="G15" s="56">
        <f t="shared" ca="1" si="4"/>
        <v>67711187</v>
      </c>
      <c r="H15" s="56" t="str">
        <f t="shared" ca="1" si="5"/>
        <v/>
      </c>
      <c r="I15" t="str">
        <f t="shared" ca="1" si="6"/>
        <v/>
      </c>
      <c r="K15" s="64" t="s">
        <v>1553</v>
      </c>
      <c r="L15" t="e" cm="1">
        <f t="array" aca="1" ref="L15" ca="1">LOGEST(I16:I64)</f>
        <v>#VALUE!</v>
      </c>
      <c r="M15" s="26"/>
    </row>
    <row r="16" spans="1:44" ht="21" customHeight="1" x14ac:dyDescent="0.2">
      <c r="A16" s="22">
        <f t="shared" si="7"/>
        <v>1973</v>
      </c>
      <c r="B16" s="39">
        <f t="shared" ca="1" si="3"/>
        <v>12960121</v>
      </c>
      <c r="C16" s="39">
        <f t="shared" ca="1" si="3"/>
        <v>34806025</v>
      </c>
      <c r="D16" s="39">
        <f t="shared" ca="1" si="3"/>
        <v>22595346</v>
      </c>
      <c r="E16" s="39">
        <f t="shared" ca="1" si="3"/>
        <v>4410938</v>
      </c>
      <c r="G16" s="56">
        <f t="shared" ca="1" si="4"/>
        <v>70361492</v>
      </c>
      <c r="H16" s="56" t="str">
        <f t="shared" ca="1" si="5"/>
        <v/>
      </c>
      <c r="I16" t="str">
        <f t="shared" ca="1" si="6"/>
        <v/>
      </c>
      <c r="K16" s="65" t="s">
        <v>1554</v>
      </c>
      <c r="L16" s="66" t="e">
        <f ca="1">L15^10-1</f>
        <v>#VALUE!</v>
      </c>
      <c r="M16" s="26"/>
    </row>
    <row r="17" spans="1:9" ht="21" customHeight="1" x14ac:dyDescent="0.2">
      <c r="A17" s="22">
        <f t="shared" si="7"/>
        <v>1974</v>
      </c>
      <c r="B17" s="39">
        <f t="shared" ca="1" si="3"/>
        <v>12651009</v>
      </c>
      <c r="C17" s="39">
        <f t="shared" ca="1" si="3"/>
        <v>33420613</v>
      </c>
      <c r="D17" s="39">
        <f t="shared" ca="1" si="3"/>
        <v>21729561</v>
      </c>
      <c r="E17" s="39">
        <f t="shared" ca="1" si="3"/>
        <v>4741851</v>
      </c>
      <c r="G17" s="56">
        <f t="shared" ca="1" si="4"/>
        <v>67801183</v>
      </c>
      <c r="H17" s="56" t="str">
        <f t="shared" ca="1" si="5"/>
        <v/>
      </c>
      <c r="I17" t="str">
        <f t="shared" ca="1" si="6"/>
        <v/>
      </c>
    </row>
    <row r="18" spans="1:9" ht="21" customHeight="1" x14ac:dyDescent="0.2">
      <c r="A18" s="22">
        <f t="shared" si="7"/>
        <v>1975</v>
      </c>
      <c r="B18" s="39">
        <f t="shared" ca="1" si="3"/>
        <v>12655613</v>
      </c>
      <c r="C18" s="39">
        <f t="shared" ca="1" si="3"/>
        <v>32698781</v>
      </c>
      <c r="D18" s="39">
        <f t="shared" ca="1" si="3"/>
        <v>19977076</v>
      </c>
      <c r="E18" s="39">
        <f t="shared" ca="1" si="3"/>
        <v>4687119</v>
      </c>
      <c r="G18" s="56">
        <f t="shared" ca="1" si="4"/>
        <v>65331470</v>
      </c>
      <c r="H18" s="56" t="str">
        <f t="shared" ca="1" si="5"/>
        <v/>
      </c>
      <c r="I18" t="str">
        <f t="shared" ca="1" si="6"/>
        <v/>
      </c>
    </row>
    <row r="19" spans="1:9" ht="21" customHeight="1" x14ac:dyDescent="0.2">
      <c r="A19" s="22">
        <f t="shared" si="7"/>
        <v>1976</v>
      </c>
      <c r="B19" s="39">
        <f t="shared" ca="1" si="3"/>
        <v>13575890</v>
      </c>
      <c r="C19" s="39">
        <f t="shared" ca="1" si="3"/>
        <v>35141985</v>
      </c>
      <c r="D19" s="39">
        <f t="shared" ca="1" si="3"/>
        <v>20381227</v>
      </c>
      <c r="E19" s="39">
        <f t="shared" ca="1" si="3"/>
        <v>4727151</v>
      </c>
      <c r="G19" s="56">
        <f t="shared" ca="1" si="4"/>
        <v>69099102</v>
      </c>
      <c r="H19" s="56" t="str">
        <f t="shared" ca="1" si="5"/>
        <v/>
      </c>
      <c r="I19" t="str">
        <f t="shared" ca="1" si="6"/>
        <v/>
      </c>
    </row>
    <row r="20" spans="1:9" ht="21" customHeight="1" x14ac:dyDescent="0.2">
      <c r="A20" s="22">
        <f t="shared" si="7"/>
        <v>1977</v>
      </c>
      <c r="B20" s="39">
        <f t="shared" ca="1" si="3"/>
        <v>13907111</v>
      </c>
      <c r="C20" s="39">
        <f t="shared" ca="1" si="3"/>
        <v>37082642</v>
      </c>
      <c r="D20" s="39">
        <f t="shared" ca="1" si="3"/>
        <v>19972477</v>
      </c>
      <c r="E20" s="39">
        <f t="shared" ca="1" si="3"/>
        <v>4208966</v>
      </c>
      <c r="G20" s="56">
        <f t="shared" ca="1" si="4"/>
        <v>70962230</v>
      </c>
      <c r="H20" s="56" t="str">
        <f t="shared" ca="1" si="5"/>
        <v/>
      </c>
      <c r="I20" t="str">
        <f t="shared" ca="1" si="6"/>
        <v/>
      </c>
    </row>
    <row r="21" spans="1:9" ht="21" customHeight="1" x14ac:dyDescent="0.2">
      <c r="A21" s="22">
        <f t="shared" si="7"/>
        <v>1978</v>
      </c>
      <c r="B21" s="39">
        <f t="shared" ca="1" si="3"/>
        <v>13769684</v>
      </c>
      <c r="C21" s="39">
        <f t="shared" ca="1" si="3"/>
        <v>37919119</v>
      </c>
      <c r="D21" s="39">
        <f t="shared" ca="1" si="3"/>
        <v>20067662</v>
      </c>
      <c r="E21" s="39">
        <f t="shared" ca="1" si="3"/>
        <v>5005439</v>
      </c>
      <c r="G21" s="56">
        <f t="shared" ca="1" si="4"/>
        <v>71756465</v>
      </c>
      <c r="H21" s="56" t="str">
        <f t="shared" ca="1" si="5"/>
        <v/>
      </c>
      <c r="I21" t="str">
        <f t="shared" ca="1" si="6"/>
        <v/>
      </c>
    </row>
    <row r="22" spans="1:9" ht="21" customHeight="1" x14ac:dyDescent="0.2">
      <c r="A22" s="22">
        <f t="shared" si="7"/>
        <v>1979</v>
      </c>
      <c r="B22" s="39">
        <f t="shared" ca="1" si="3"/>
        <v>15041652</v>
      </c>
      <c r="C22" s="39">
        <f t="shared" ca="1" si="3"/>
        <v>37075744</v>
      </c>
      <c r="D22" s="39">
        <f t="shared" ca="1" si="3"/>
        <v>20687615</v>
      </c>
      <c r="E22" s="39">
        <f t="shared" ca="1" si="3"/>
        <v>5122854</v>
      </c>
      <c r="G22" s="56">
        <f t="shared" ca="1" si="4"/>
        <v>72805011</v>
      </c>
      <c r="H22" s="56" t="str">
        <f t="shared" ca="1" si="5"/>
        <v/>
      </c>
      <c r="I22" t="str">
        <f t="shared" ca="1" si="6"/>
        <v/>
      </c>
    </row>
    <row r="23" spans="1:9" ht="21" customHeight="1" x14ac:dyDescent="0.2">
      <c r="A23" s="22">
        <f t="shared" si="7"/>
        <v>1980</v>
      </c>
      <c r="B23" s="39">
        <f t="shared" ca="1" si="3"/>
        <v>15460982</v>
      </c>
      <c r="C23" s="39">
        <f t="shared" ca="1" si="3"/>
        <v>34159533</v>
      </c>
      <c r="D23" s="39">
        <f t="shared" ca="1" si="3"/>
        <v>20383954</v>
      </c>
      <c r="E23" s="39">
        <f t="shared" ca="1" si="3"/>
        <v>5424534</v>
      </c>
      <c r="G23" s="56">
        <f t="shared" ca="1" si="4"/>
        <v>70004469</v>
      </c>
      <c r="H23" s="56" t="str">
        <f t="shared" ca="1" si="5"/>
        <v/>
      </c>
      <c r="I23" t="str">
        <f t="shared" ca="1" si="6"/>
        <v/>
      </c>
    </row>
    <row r="24" spans="1:9" ht="21" customHeight="1" x14ac:dyDescent="0.2">
      <c r="A24" s="22">
        <f t="shared" si="7"/>
        <v>1981</v>
      </c>
      <c r="B24" s="39">
        <f t="shared" ca="1" si="3"/>
        <v>15937724</v>
      </c>
      <c r="C24" s="39">
        <f t="shared" ca="1" si="3"/>
        <v>31884079</v>
      </c>
      <c r="D24" s="39">
        <f t="shared" ca="1" si="3"/>
        <v>19928435</v>
      </c>
      <c r="E24" s="39">
        <f t="shared" ca="1" si="3"/>
        <v>5417152</v>
      </c>
      <c r="G24" s="56">
        <f t="shared" ca="1" si="4"/>
        <v>67750238</v>
      </c>
      <c r="H24" s="56" t="str">
        <f t="shared" ca="1" si="5"/>
        <v/>
      </c>
      <c r="I24" t="str">
        <f t="shared" ca="1" si="6"/>
        <v/>
      </c>
    </row>
    <row r="25" spans="1:9" ht="21" customHeight="1" x14ac:dyDescent="0.2">
      <c r="A25" s="22">
        <f t="shared" si="7"/>
        <v>1982</v>
      </c>
      <c r="B25" s="39">
        <f t="shared" ca="1" si="3"/>
        <v>15269049</v>
      </c>
      <c r="C25" s="39">
        <f t="shared" ca="1" si="3"/>
        <v>30179518</v>
      </c>
      <c r="D25" s="39">
        <f t="shared" ca="1" si="3"/>
        <v>18515242</v>
      </c>
      <c r="E25" s="39">
        <f t="shared" ca="1" si="3"/>
        <v>5980929</v>
      </c>
      <c r="G25" s="56">
        <f t="shared" ca="1" si="4"/>
        <v>63963809</v>
      </c>
      <c r="H25" s="56" t="str">
        <f t="shared" ca="1" si="5"/>
        <v/>
      </c>
      <c r="I25" t="str">
        <f t="shared" ca="1" si="6"/>
        <v/>
      </c>
    </row>
    <row r="26" spans="1:9" ht="21" customHeight="1" x14ac:dyDescent="0.2">
      <c r="A26" s="22">
        <f t="shared" si="7"/>
        <v>1983</v>
      </c>
      <c r="B26" s="39">
        <f t="shared" ca="1" si="3"/>
        <v>15867060</v>
      </c>
      <c r="C26" s="39">
        <f t="shared" ca="1" si="3"/>
        <v>29997230</v>
      </c>
      <c r="D26" s="39">
        <f t="shared" ca="1" si="3"/>
        <v>17347750</v>
      </c>
      <c r="E26" s="39">
        <f t="shared" ca="1" si="3"/>
        <v>6495612</v>
      </c>
      <c r="G26" s="56">
        <f t="shared" ca="1" si="4"/>
        <v>63212040</v>
      </c>
      <c r="H26" s="56" t="str">
        <f t="shared" ca="1" si="5"/>
        <v/>
      </c>
      <c r="I26" t="str">
        <f t="shared" ca="1" si="6"/>
        <v/>
      </c>
    </row>
    <row r="27" spans="1:9" ht="21" customHeight="1" x14ac:dyDescent="0.2">
      <c r="A27" s="22">
        <f t="shared" si="7"/>
        <v>1984</v>
      </c>
      <c r="B27" s="39">
        <f t="shared" ca="1" si="3"/>
        <v>17013578</v>
      </c>
      <c r="C27" s="39">
        <f t="shared" ca="1" si="3"/>
        <v>30993084</v>
      </c>
      <c r="D27" s="39">
        <f t="shared" ca="1" si="3"/>
        <v>18502834</v>
      </c>
      <c r="E27" s="39">
        <f t="shared" ca="1" si="3"/>
        <v>6438347</v>
      </c>
      <c r="G27" s="56">
        <f t="shared" ca="1" si="4"/>
        <v>66509496</v>
      </c>
      <c r="H27" s="56" t="str">
        <f t="shared" ca="1" si="5"/>
        <v/>
      </c>
      <c r="I27" t="str">
        <f t="shared" ca="1" si="6"/>
        <v/>
      </c>
    </row>
    <row r="28" spans="1:9" ht="21" customHeight="1" x14ac:dyDescent="0.2">
      <c r="A28" s="22">
        <f t="shared" si="7"/>
        <v>1985</v>
      </c>
      <c r="B28" s="39">
        <f t="shared" ca="1" si="3"/>
        <v>17540071</v>
      </c>
      <c r="C28" s="39">
        <f t="shared" ca="1" si="3"/>
        <v>30867287</v>
      </c>
      <c r="D28" s="39">
        <f t="shared" ca="1" si="3"/>
        <v>17843043</v>
      </c>
      <c r="E28" s="39">
        <f t="shared" ca="1" si="3"/>
        <v>6084017</v>
      </c>
      <c r="G28" s="56">
        <f t="shared" ca="1" si="4"/>
        <v>66250401</v>
      </c>
      <c r="H28" s="56" t="str">
        <f t="shared" ca="1" si="5"/>
        <v/>
      </c>
      <c r="I28" t="str">
        <f t="shared" ca="1" si="6"/>
        <v/>
      </c>
    </row>
    <row r="29" spans="1:9" ht="21" customHeight="1" x14ac:dyDescent="0.2">
      <c r="A29" s="22">
        <f t="shared" si="7"/>
        <v>1986</v>
      </c>
      <c r="B29" s="39">
        <f t="shared" ref="B29:E64" ca="1" si="8">IF(ISERROR(VLOOKUP(B$2,INDIRECT(B$1),MATCH($A29,INDIRECT(B$1&amp;"_col"),),)),"",VLOOKUP(B$2,INDIRECT(B$1),MATCH($A29,INDIRECT(B$1&amp;"_col"),),))</f>
        <v>17240884</v>
      </c>
      <c r="C29" s="39">
        <f t="shared" ca="1" si="8"/>
        <v>32150914</v>
      </c>
      <c r="D29" s="39">
        <f t="shared" ca="1" si="8"/>
        <v>16718431</v>
      </c>
      <c r="E29" s="39">
        <f t="shared" ca="1" si="8"/>
        <v>6111140</v>
      </c>
      <c r="G29" s="56">
        <f t="shared" ca="1" si="4"/>
        <v>66110229</v>
      </c>
      <c r="H29" s="56" t="str">
        <f t="shared" ca="1" si="5"/>
        <v/>
      </c>
      <c r="I29" t="str">
        <f t="shared" ca="1" si="6"/>
        <v/>
      </c>
    </row>
    <row r="30" spans="1:9" ht="21" customHeight="1" x14ac:dyDescent="0.2">
      <c r="A30" s="22">
        <f t="shared" si="7"/>
        <v>1987</v>
      </c>
      <c r="B30" s="39">
        <f t="shared" ca="1" si="8"/>
        <v>17949877</v>
      </c>
      <c r="C30" s="39">
        <f t="shared" ca="1" si="8"/>
        <v>32818384</v>
      </c>
      <c r="D30" s="39">
        <f t="shared" ca="1" si="8"/>
        <v>17749685</v>
      </c>
      <c r="E30" s="39">
        <f t="shared" ca="1" si="8"/>
        <v>5624499</v>
      </c>
      <c r="G30" s="56">
        <f t="shared" ca="1" si="4"/>
        <v>68517946</v>
      </c>
      <c r="H30" s="56" t="str">
        <f t="shared" ca="1" si="5"/>
        <v/>
      </c>
      <c r="I30" t="str">
        <f t="shared" ca="1" si="6"/>
        <v/>
      </c>
    </row>
    <row r="31" spans="1:9" ht="21" customHeight="1" x14ac:dyDescent="0.2">
      <c r="A31" s="22">
        <f t="shared" si="7"/>
        <v>1988</v>
      </c>
      <c r="B31" s="39">
        <f t="shared" ca="1" si="8"/>
        <v>18885663</v>
      </c>
      <c r="C31" s="39">
        <f t="shared" ca="1" si="8"/>
        <v>34173609</v>
      </c>
      <c r="D31" s="39">
        <f t="shared" ca="1" si="8"/>
        <v>18562882</v>
      </c>
      <c r="E31" s="39">
        <f t="shared" ca="1" si="8"/>
        <v>5456754</v>
      </c>
      <c r="G31" s="56">
        <f t="shared" ca="1" si="4"/>
        <v>71622154</v>
      </c>
      <c r="H31" s="56" t="str">
        <f t="shared" ca="1" si="5"/>
        <v/>
      </c>
      <c r="I31" t="str">
        <f t="shared" ca="1" si="6"/>
        <v/>
      </c>
    </row>
    <row r="32" spans="1:9" ht="21" customHeight="1" x14ac:dyDescent="0.2">
      <c r="A32" s="22">
        <f t="shared" si="7"/>
        <v>1989</v>
      </c>
      <c r="B32" s="39">
        <f t="shared" ca="1" si="8"/>
        <v>19055165</v>
      </c>
      <c r="C32" s="39">
        <f t="shared" ca="1" si="8"/>
        <v>34164741</v>
      </c>
      <c r="D32" s="39">
        <f t="shared" ca="1" si="8"/>
        <v>19715929</v>
      </c>
      <c r="E32" s="39">
        <f t="shared" ca="1" si="8"/>
        <v>6234646</v>
      </c>
      <c r="G32" s="56">
        <f t="shared" ca="1" si="4"/>
        <v>72935835</v>
      </c>
      <c r="H32" s="56" t="str">
        <f t="shared" ca="1" si="5"/>
        <v/>
      </c>
      <c r="I32" t="str">
        <f t="shared" ca="1" si="6"/>
        <v/>
      </c>
    </row>
    <row r="33" spans="1:9" ht="21" customHeight="1" x14ac:dyDescent="0.2">
      <c r="A33" s="22">
        <f t="shared" si="7"/>
        <v>1990</v>
      </c>
      <c r="B33" s="39">
        <f t="shared" ca="1" si="8"/>
        <v>19167682</v>
      </c>
      <c r="C33" s="39">
        <f t="shared" ca="1" si="8"/>
        <v>33500896</v>
      </c>
      <c r="D33" s="39">
        <f t="shared" ca="1" si="8"/>
        <v>19752485</v>
      </c>
      <c r="E33" s="39">
        <f t="shared" ca="1" si="8"/>
        <v>6041875</v>
      </c>
      <c r="G33" s="56">
        <f t="shared" ca="1" si="4"/>
        <v>72421063</v>
      </c>
      <c r="H33" s="56" t="str">
        <f t="shared" ca="1" si="5"/>
        <v/>
      </c>
      <c r="I33" t="str">
        <f t="shared" ca="1" si="6"/>
        <v/>
      </c>
    </row>
    <row r="34" spans="1:9" ht="21" customHeight="1" x14ac:dyDescent="0.2">
      <c r="A34" s="22">
        <f t="shared" si="7"/>
        <v>1991</v>
      </c>
      <c r="B34" s="39">
        <f t="shared" ca="1" si="8"/>
        <v>18989140</v>
      </c>
      <c r="C34" s="39">
        <f t="shared" ca="1" si="8"/>
        <v>32790251</v>
      </c>
      <c r="D34" s="39">
        <f t="shared" ca="1" si="8"/>
        <v>20147768</v>
      </c>
      <c r="E34" s="39">
        <f t="shared" ca="1" si="8"/>
        <v>6067765</v>
      </c>
      <c r="G34" s="56">
        <f t="shared" ca="1" si="4"/>
        <v>71927159</v>
      </c>
      <c r="H34" s="56" t="str">
        <f t="shared" ca="1" si="5"/>
        <v/>
      </c>
      <c r="I34" t="str">
        <f t="shared" ca="1" si="6"/>
        <v/>
      </c>
    </row>
    <row r="35" spans="1:9" ht="21" customHeight="1" x14ac:dyDescent="0.2">
      <c r="A35" s="22">
        <f t="shared" si="7"/>
        <v>1992</v>
      </c>
      <c r="B35" s="39">
        <f t="shared" ca="1" si="8"/>
        <v>19117802</v>
      </c>
      <c r="C35" s="39">
        <f t="shared" ca="1" si="8"/>
        <v>33468926</v>
      </c>
      <c r="D35" s="39">
        <f t="shared" ca="1" si="8"/>
        <v>20843610</v>
      </c>
      <c r="E35" s="39">
        <f t="shared" ca="1" si="8"/>
        <v>5820528</v>
      </c>
      <c r="G35" s="56">
        <f t="shared" ca="1" si="4"/>
        <v>73430338</v>
      </c>
      <c r="H35" s="56" t="str">
        <f t="shared" ca="1" si="5"/>
        <v/>
      </c>
      <c r="I35" t="str">
        <f t="shared" ca="1" si="6"/>
        <v/>
      </c>
    </row>
    <row r="36" spans="1:9" ht="21" customHeight="1" x14ac:dyDescent="0.2">
      <c r="A36" s="22">
        <f t="shared" si="7"/>
        <v>1993</v>
      </c>
      <c r="B36" s="39">
        <f t="shared" ca="1" si="8"/>
        <v>19836126</v>
      </c>
      <c r="C36" s="39">
        <f t="shared" ca="1" si="8"/>
        <v>33686553</v>
      </c>
      <c r="D36" s="39">
        <f t="shared" ca="1" si="8"/>
        <v>21376406</v>
      </c>
      <c r="E36" s="39">
        <f t="shared" ca="1" si="8"/>
        <v>6079341</v>
      </c>
      <c r="G36" s="56">
        <f t="shared" ref="G36:G64" ca="1" si="9">SUM(B36:D36)</f>
        <v>74899085</v>
      </c>
      <c r="H36" s="56" t="str">
        <f t="shared" ref="H36:H64" ca="1" si="10">IF(ISERROR(VLOOKUP(A36,INDIRECT($H$1),MATCH($H$2,INDIRECT($H$1&amp;"_col"),),)),"",VLOOKUP(A36,INDIRECT($H$1),MATCH($H$2,INDIRECT($H$1&amp;"_col"),),))</f>
        <v/>
      </c>
      <c r="I36" t="str">
        <f t="shared" ref="I36:I64" ca="1" si="11">IF(ISERROR(H36/G36),"",H36/G36)</f>
        <v/>
      </c>
    </row>
    <row r="37" spans="1:9" ht="21" customHeight="1" x14ac:dyDescent="0.2">
      <c r="A37" s="22">
        <f t="shared" si="7"/>
        <v>1994</v>
      </c>
      <c r="B37" s="39">
        <f t="shared" ca="1" si="8"/>
        <v>19903559</v>
      </c>
      <c r="C37" s="39">
        <f t="shared" ca="1" si="8"/>
        <v>34564117</v>
      </c>
      <c r="D37" s="39">
        <f t="shared" ca="1" si="8"/>
        <v>21870095</v>
      </c>
      <c r="E37" s="39">
        <f t="shared" ca="1" si="8"/>
        <v>5987124</v>
      </c>
      <c r="G37" s="56">
        <f t="shared" ca="1" si="9"/>
        <v>76337771</v>
      </c>
      <c r="H37" s="56" t="str">
        <f t="shared" ca="1" si="10"/>
        <v/>
      </c>
      <c r="I37" t="str">
        <f t="shared" ca="1" si="11"/>
        <v/>
      </c>
    </row>
    <row r="38" spans="1:9" ht="21" customHeight="1" x14ac:dyDescent="0.2">
      <c r="A38" s="22">
        <f t="shared" si="7"/>
        <v>1995</v>
      </c>
      <c r="B38" s="39">
        <f t="shared" ca="1" si="8"/>
        <v>20098843</v>
      </c>
      <c r="C38" s="39">
        <f t="shared" ca="1" si="8"/>
        <v>34459757</v>
      </c>
      <c r="D38" s="39">
        <f t="shared" ca="1" si="8"/>
        <v>22832593</v>
      </c>
      <c r="E38" s="39">
        <f t="shared" ca="1" si="8"/>
        <v>6559334</v>
      </c>
      <c r="G38" s="56">
        <f t="shared" ca="1" si="9"/>
        <v>77391193</v>
      </c>
      <c r="H38" s="56" t="str">
        <f t="shared" ca="1" si="10"/>
        <v/>
      </c>
      <c r="I38" t="str">
        <f t="shared" ca="1" si="11"/>
        <v/>
      </c>
    </row>
    <row r="39" spans="1:9" ht="21" customHeight="1" x14ac:dyDescent="0.2">
      <c r="A39" s="22">
        <f t="shared" si="7"/>
        <v>1996</v>
      </c>
      <c r="B39" s="39">
        <f t="shared" ca="1" si="8"/>
        <v>21002157</v>
      </c>
      <c r="C39" s="39">
        <f t="shared" ca="1" si="8"/>
        <v>35674458</v>
      </c>
      <c r="D39" s="39">
        <f t="shared" ca="1" si="8"/>
        <v>23262444</v>
      </c>
      <c r="E39" s="39">
        <f t="shared" ca="1" si="8"/>
        <v>7012355</v>
      </c>
      <c r="G39" s="56">
        <f t="shared" ca="1" si="9"/>
        <v>79939059</v>
      </c>
      <c r="H39" s="56" t="str">
        <f t="shared" ca="1" si="10"/>
        <v/>
      </c>
      <c r="I39" t="str">
        <f t="shared" ca="1" si="11"/>
        <v/>
      </c>
    </row>
    <row r="40" spans="1:9" ht="21" customHeight="1" x14ac:dyDescent="0.2">
      <c r="A40" s="22">
        <f t="shared" si="7"/>
        <v>1997</v>
      </c>
      <c r="B40" s="39">
        <f t="shared" ca="1" si="8"/>
        <v>21443603</v>
      </c>
      <c r="C40" s="39">
        <f t="shared" ca="1" si="8"/>
        <v>36172956</v>
      </c>
      <c r="D40" s="39">
        <f t="shared" ca="1" si="8"/>
        <v>23477148</v>
      </c>
      <c r="E40" s="39">
        <f t="shared" ca="1" si="8"/>
        <v>7011598</v>
      </c>
      <c r="G40" s="56">
        <f t="shared" ca="1" si="9"/>
        <v>81093707</v>
      </c>
      <c r="H40" s="56" t="str">
        <f t="shared" ca="1" si="10"/>
        <v/>
      </c>
      <c r="I40" t="str">
        <f t="shared" ca="1" si="11"/>
        <v/>
      </c>
    </row>
    <row r="41" spans="1:9" ht="21" customHeight="1" x14ac:dyDescent="0.2">
      <c r="A41" s="22">
        <f t="shared" si="7"/>
        <v>1998</v>
      </c>
      <c r="B41" s="39">
        <f t="shared" ca="1" si="8"/>
        <v>21583324</v>
      </c>
      <c r="C41" s="39">
        <f t="shared" ca="1" si="8"/>
        <v>36838689</v>
      </c>
      <c r="D41" s="39">
        <f t="shared" ca="1" si="8"/>
        <v>23015631</v>
      </c>
      <c r="E41" s="39">
        <f t="shared" ca="1" si="8"/>
        <v>6491277</v>
      </c>
      <c r="G41" s="56">
        <f t="shared" ca="1" si="9"/>
        <v>81437644</v>
      </c>
      <c r="H41" s="56" t="str">
        <f t="shared" ca="1" si="10"/>
        <v/>
      </c>
      <c r="I41" t="str">
        <f t="shared" ca="1" si="11"/>
        <v/>
      </c>
    </row>
    <row r="42" spans="1:9" ht="21" customHeight="1" x14ac:dyDescent="0.2">
      <c r="A42" s="22">
        <f t="shared" si="7"/>
        <v>1999</v>
      </c>
      <c r="B42" s="39">
        <f t="shared" ca="1" si="8"/>
        <v>21582103</v>
      </c>
      <c r="C42" s="39">
        <f t="shared" ca="1" si="8"/>
        <v>37855980</v>
      </c>
      <c r="D42" s="39">
        <f t="shared" ca="1" si="8"/>
        <v>23025697</v>
      </c>
      <c r="E42" s="39">
        <f t="shared" ca="1" si="8"/>
        <v>6514657</v>
      </c>
      <c r="G42" s="56">
        <f t="shared" ca="1" si="9"/>
        <v>82463780</v>
      </c>
      <c r="H42" s="56" t="str">
        <f t="shared" ca="1" si="10"/>
        <v/>
      </c>
      <c r="I42" t="str">
        <f t="shared" ca="1" si="11"/>
        <v/>
      </c>
    </row>
    <row r="43" spans="1:9" ht="21" customHeight="1" x14ac:dyDescent="0.2">
      <c r="A43" s="22">
        <f t="shared" si="7"/>
        <v>2000</v>
      </c>
      <c r="B43" s="39">
        <f t="shared" ca="1" si="8"/>
        <v>22575538</v>
      </c>
      <c r="C43" s="39">
        <f t="shared" ca="1" si="8"/>
        <v>38293215</v>
      </c>
      <c r="D43" s="39">
        <f t="shared" ca="1" si="8"/>
        <v>23907237</v>
      </c>
      <c r="E43" s="39">
        <f t="shared" ca="1" si="8"/>
        <v>6104207</v>
      </c>
      <c r="G43" s="56">
        <f t="shared" ca="1" si="9"/>
        <v>84775990</v>
      </c>
      <c r="H43" s="56" t="str">
        <f t="shared" ca="1" si="10"/>
        <v/>
      </c>
      <c r="I43" t="str">
        <f t="shared" ca="1" si="11"/>
        <v/>
      </c>
    </row>
    <row r="44" spans="1:9" ht="21" customHeight="1" x14ac:dyDescent="0.2">
      <c r="A44" s="22">
        <f t="shared" si="7"/>
        <v>2001</v>
      </c>
      <c r="B44" s="39">
        <f t="shared" ca="1" si="8"/>
        <v>21906355</v>
      </c>
      <c r="C44" s="39">
        <f t="shared" ca="1" si="8"/>
        <v>38231372</v>
      </c>
      <c r="D44" s="39">
        <f t="shared" ca="1" si="8"/>
        <v>22835551</v>
      </c>
      <c r="E44" s="39">
        <f t="shared" ca="1" si="8"/>
        <v>5164253</v>
      </c>
      <c r="G44" s="56">
        <f t="shared" ca="1" si="9"/>
        <v>82973278</v>
      </c>
      <c r="H44" s="56" t="str">
        <f t="shared" ca="1" si="10"/>
        <v/>
      </c>
      <c r="I44" t="str">
        <f t="shared" ca="1" si="11"/>
        <v/>
      </c>
    </row>
    <row r="45" spans="1:9" ht="21" customHeight="1" x14ac:dyDescent="0.2">
      <c r="A45" s="22">
        <f t="shared" si="7"/>
        <v>2002</v>
      </c>
      <c r="B45" s="39">
        <f t="shared" ca="1" si="8"/>
        <v>21902852</v>
      </c>
      <c r="C45" s="39">
        <f t="shared" ca="1" si="8"/>
        <v>38293336</v>
      </c>
      <c r="D45" s="39">
        <f t="shared" ca="1" si="8"/>
        <v>23582195</v>
      </c>
      <c r="E45" s="39">
        <f t="shared" ca="1" si="8"/>
        <v>5726026</v>
      </c>
      <c r="G45" s="56">
        <f t="shared" ca="1" si="9"/>
        <v>83778383</v>
      </c>
      <c r="H45" s="56" t="str">
        <f t="shared" ca="1" si="10"/>
        <v/>
      </c>
      <c r="I45" t="str">
        <f t="shared" ca="1" si="11"/>
        <v/>
      </c>
    </row>
    <row r="46" spans="1:9" ht="21" customHeight="1" x14ac:dyDescent="0.2">
      <c r="A46" s="22">
        <f t="shared" si="7"/>
        <v>2003</v>
      </c>
      <c r="B46" s="39">
        <f t="shared" ca="1" si="8"/>
        <v>22322634</v>
      </c>
      <c r="C46" s="39">
        <f t="shared" ca="1" si="8"/>
        <v>38946820</v>
      </c>
      <c r="D46" s="39">
        <f t="shared" ca="1" si="8"/>
        <v>22891393</v>
      </c>
      <c r="E46" s="39">
        <f t="shared" ca="1" si="8"/>
        <v>5944059</v>
      </c>
      <c r="G46" s="56">
        <f t="shared" ca="1" si="9"/>
        <v>84160847</v>
      </c>
      <c r="H46" s="56" t="str">
        <f t="shared" ca="1" si="10"/>
        <v/>
      </c>
      <c r="I46" t="str">
        <f t="shared" ca="1" si="11"/>
        <v/>
      </c>
    </row>
    <row r="47" spans="1:9" ht="21" customHeight="1" x14ac:dyDescent="0.2">
      <c r="A47" s="22">
        <f t="shared" si="7"/>
        <v>2004</v>
      </c>
      <c r="B47" s="39">
        <f t="shared" ca="1" si="8"/>
        <v>22464302</v>
      </c>
      <c r="C47" s="39">
        <f t="shared" ca="1" si="8"/>
        <v>40441691</v>
      </c>
      <c r="D47" s="39">
        <f t="shared" ca="1" si="8"/>
        <v>22988315</v>
      </c>
      <c r="E47" s="39">
        <f t="shared" ca="1" si="8"/>
        <v>6074599</v>
      </c>
      <c r="G47" s="56">
        <f t="shared" ca="1" si="9"/>
        <v>85894308</v>
      </c>
      <c r="H47" s="56" t="str">
        <f t="shared" ca="1" si="10"/>
        <v/>
      </c>
      <c r="I47" t="str">
        <f t="shared" ca="1" si="11"/>
        <v/>
      </c>
    </row>
    <row r="48" spans="1:9" ht="21" customHeight="1" x14ac:dyDescent="0.2">
      <c r="A48" s="22">
        <f t="shared" si="7"/>
        <v>2005</v>
      </c>
      <c r="B48" s="39">
        <f t="shared" ca="1" si="8"/>
        <v>22793450</v>
      </c>
      <c r="C48" s="39">
        <f t="shared" ca="1" si="8"/>
        <v>40562424</v>
      </c>
      <c r="D48" s="39">
        <f t="shared" ca="1" si="8"/>
        <v>22631800</v>
      </c>
      <c r="E48" s="39">
        <f t="shared" ca="1" si="8"/>
        <v>6231821</v>
      </c>
      <c r="G48" s="56">
        <f t="shared" ca="1" si="9"/>
        <v>85987674</v>
      </c>
      <c r="H48" s="56" t="str">
        <f t="shared" ca="1" si="10"/>
        <v/>
      </c>
      <c r="I48" t="str">
        <f t="shared" ca="1" si="11"/>
        <v/>
      </c>
    </row>
    <row r="49" spans="1:9" ht="21" customHeight="1" x14ac:dyDescent="0.2">
      <c r="A49" s="22">
        <f t="shared" si="7"/>
        <v>2006</v>
      </c>
      <c r="B49" s="39">
        <f t="shared" ca="1" si="8"/>
        <v>22444214</v>
      </c>
      <c r="C49" s="39">
        <f t="shared" ca="1" si="8"/>
        <v>40195949</v>
      </c>
      <c r="D49" s="39">
        <f t="shared" ca="1" si="8"/>
        <v>22292657</v>
      </c>
      <c r="E49" s="39">
        <f t="shared" ca="1" si="8"/>
        <v>6636591</v>
      </c>
      <c r="G49" s="56">
        <f t="shared" ca="1" si="9"/>
        <v>84932820</v>
      </c>
      <c r="H49" s="56" t="str">
        <f t="shared" ca="1" si="10"/>
        <v/>
      </c>
      <c r="I49" t="str">
        <f t="shared" ca="1" si="11"/>
        <v/>
      </c>
    </row>
    <row r="50" spans="1:9" ht="21" customHeight="1" x14ac:dyDescent="0.2">
      <c r="A50" s="22">
        <f t="shared" si="7"/>
        <v>2007</v>
      </c>
      <c r="B50" s="39">
        <f t="shared" ca="1" si="8"/>
        <v>22747914</v>
      </c>
      <c r="C50" s="39">
        <f t="shared" ca="1" si="8"/>
        <v>39952373</v>
      </c>
      <c r="D50" s="39">
        <f t="shared" ca="1" si="8"/>
        <v>23735125</v>
      </c>
      <c r="E50" s="39">
        <f t="shared" ca="1" si="8"/>
        <v>6522719</v>
      </c>
      <c r="G50" s="56">
        <f t="shared" ca="1" si="9"/>
        <v>86435412</v>
      </c>
      <c r="H50" s="56" t="str">
        <f t="shared" ca="1" si="10"/>
        <v/>
      </c>
      <c r="I50" t="str">
        <f t="shared" ca="1" si="11"/>
        <v/>
      </c>
    </row>
    <row r="51" spans="1:9" ht="21" customHeight="1" x14ac:dyDescent="0.2">
      <c r="A51" s="22">
        <f t="shared" si="7"/>
        <v>2008</v>
      </c>
      <c r="B51" s="39">
        <f t="shared" ca="1" si="8"/>
        <v>22382816</v>
      </c>
      <c r="C51" s="39">
        <f t="shared" ca="1" si="8"/>
        <v>37591231</v>
      </c>
      <c r="D51" s="39">
        <f t="shared" ca="1" si="8"/>
        <v>23898175</v>
      </c>
      <c r="E51" s="39">
        <f t="shared" ca="1" si="8"/>
        <v>7174060</v>
      </c>
      <c r="G51" s="56">
        <f t="shared" ca="1" si="9"/>
        <v>83872222</v>
      </c>
      <c r="H51" s="56" t="str">
        <f t="shared" ca="1" si="10"/>
        <v/>
      </c>
      <c r="I51" t="str">
        <f t="shared" ca="1" si="11"/>
        <v/>
      </c>
    </row>
    <row r="52" spans="1:9" ht="21" customHeight="1" x14ac:dyDescent="0.2">
      <c r="A52" s="22">
        <f t="shared" si="7"/>
        <v>2009</v>
      </c>
      <c r="B52" s="39">
        <f t="shared" ca="1" si="8"/>
        <v>19691342</v>
      </c>
      <c r="C52" s="39">
        <f t="shared" ca="1" si="8"/>
        <v>35751836</v>
      </c>
      <c r="D52" s="39">
        <f t="shared" ca="1" si="8"/>
        <v>23487297</v>
      </c>
      <c r="E52" s="39">
        <f t="shared" ca="1" si="8"/>
        <v>7607468</v>
      </c>
      <c r="G52" s="56">
        <f t="shared" ca="1" si="9"/>
        <v>78930475</v>
      </c>
      <c r="H52" s="56" t="str">
        <f t="shared" ca="1" si="10"/>
        <v/>
      </c>
      <c r="I52" t="str">
        <f t="shared" ca="1" si="11"/>
        <v/>
      </c>
    </row>
    <row r="53" spans="1:9" ht="21" customHeight="1" x14ac:dyDescent="0.2">
      <c r="A53" s="22">
        <f t="shared" si="7"/>
        <v>2010</v>
      </c>
      <c r="B53" s="39">
        <f t="shared" ca="1" si="8"/>
        <v>20828382</v>
      </c>
      <c r="C53" s="39">
        <f t="shared" ca="1" si="8"/>
        <v>36426764</v>
      </c>
      <c r="D53" s="39">
        <f t="shared" ca="1" si="8"/>
        <v>24633507</v>
      </c>
      <c r="E53" s="39">
        <f t="shared" ca="1" si="8"/>
        <v>8265583</v>
      </c>
      <c r="G53" s="56">
        <f t="shared" ca="1" si="9"/>
        <v>81888653</v>
      </c>
      <c r="H53" s="56" t="str">
        <f t="shared" ca="1" si="10"/>
        <v/>
      </c>
      <c r="I53" t="str">
        <f t="shared" ca="1" si="11"/>
        <v/>
      </c>
    </row>
    <row r="54" spans="1:9" ht="21" customHeight="1" x14ac:dyDescent="0.2">
      <c r="A54" s="22">
        <f t="shared" si="7"/>
        <v>2011</v>
      </c>
      <c r="B54" s="39">
        <f t="shared" ca="1" si="8"/>
        <v>19663856</v>
      </c>
      <c r="C54" s="39">
        <f t="shared" ca="1" si="8"/>
        <v>35816167</v>
      </c>
      <c r="D54" s="39">
        <f t="shared" ca="1" si="8"/>
        <v>25014983</v>
      </c>
      <c r="E54" s="39">
        <f t="shared" ca="1" si="8"/>
        <v>9209646</v>
      </c>
      <c r="G54" s="56">
        <f t="shared" ca="1" si="9"/>
        <v>80495006</v>
      </c>
      <c r="H54" s="56" t="str">
        <f t="shared" ca="1" si="10"/>
        <v/>
      </c>
      <c r="I54" t="str">
        <f t="shared" ca="1" si="11"/>
        <v/>
      </c>
    </row>
    <row r="55" spans="1:9" ht="21" customHeight="1" x14ac:dyDescent="0.2">
      <c r="A55" s="22">
        <f t="shared" si="7"/>
        <v>2012</v>
      </c>
      <c r="B55" s="39">
        <f t="shared" ca="1" si="8"/>
        <v>17380923</v>
      </c>
      <c r="C55" s="39">
        <f t="shared" ca="1" si="8"/>
        <v>35011792</v>
      </c>
      <c r="D55" s="39">
        <f t="shared" ca="1" si="8"/>
        <v>26138351</v>
      </c>
      <c r="E55" s="39">
        <f t="shared" ca="1" si="8"/>
        <v>8852895</v>
      </c>
      <c r="G55" s="56">
        <f t="shared" ca="1" si="9"/>
        <v>78531066</v>
      </c>
      <c r="H55" s="56" t="str">
        <f t="shared" ca="1" si="10"/>
        <v/>
      </c>
      <c r="I55" t="str">
        <f t="shared" ca="1" si="11"/>
        <v/>
      </c>
    </row>
    <row r="56" spans="1:9" ht="21" customHeight="1" x14ac:dyDescent="0.2">
      <c r="A56" s="22">
        <f t="shared" si="7"/>
        <v>2013</v>
      </c>
      <c r="B56" s="39">
        <f t="shared" ca="1" si="8"/>
        <v>18038771</v>
      </c>
      <c r="C56" s="39">
        <f t="shared" ca="1" si="8"/>
        <v>35703034</v>
      </c>
      <c r="D56" s="39">
        <f t="shared" ca="1" si="8"/>
        <v>26844986</v>
      </c>
      <c r="E56" s="39">
        <f t="shared" ca="1" si="8"/>
        <v>9464268</v>
      </c>
      <c r="G56" s="56">
        <f t="shared" ca="1" si="9"/>
        <v>80586791</v>
      </c>
      <c r="H56" s="56" t="str">
        <f t="shared" ca="1" si="10"/>
        <v/>
      </c>
      <c r="I56" t="str">
        <f t="shared" ca="1" si="11"/>
        <v/>
      </c>
    </row>
    <row r="57" spans="1:9" ht="21" customHeight="1" x14ac:dyDescent="0.2">
      <c r="A57" s="22">
        <f t="shared" si="7"/>
        <v>2014</v>
      </c>
      <c r="B57" s="39">
        <f t="shared" ca="1" si="8"/>
        <v>17996577</v>
      </c>
      <c r="C57" s="39">
        <f t="shared" ca="1" si="8"/>
        <v>35978984</v>
      </c>
      <c r="D57" s="39">
        <f t="shared" ca="1" si="8"/>
        <v>27438655</v>
      </c>
      <c r="E57" s="39">
        <f t="shared" ca="1" si="8"/>
        <v>9761070</v>
      </c>
      <c r="G57" s="56">
        <f t="shared" ca="1" si="9"/>
        <v>81414216</v>
      </c>
      <c r="H57" s="56" t="str">
        <f t="shared" ca="1" si="10"/>
        <v/>
      </c>
      <c r="I57" t="str">
        <f t="shared" ca="1" si="11"/>
        <v/>
      </c>
    </row>
    <row r="58" spans="1:9" ht="21" customHeight="1" x14ac:dyDescent="0.2">
      <c r="A58" s="22">
        <f t="shared" si="7"/>
        <v>2015</v>
      </c>
      <c r="B58" s="39">
        <f t="shared" ca="1" si="8"/>
        <v>15548985</v>
      </c>
      <c r="C58" s="39">
        <f t="shared" ca="1" si="8"/>
        <v>36745991</v>
      </c>
      <c r="D58" s="39">
        <f t="shared" ca="1" si="8"/>
        <v>28241055</v>
      </c>
      <c r="E58" s="39">
        <f t="shared" ca="1" si="8"/>
        <v>9749471</v>
      </c>
      <c r="G58" s="56">
        <f t="shared" ca="1" si="9"/>
        <v>80536031</v>
      </c>
      <c r="H58" s="56" t="str">
        <f t="shared" ca="1" si="10"/>
        <v/>
      </c>
      <c r="I58" t="str">
        <f t="shared" ca="1" si="11"/>
        <v/>
      </c>
    </row>
    <row r="59" spans="1:9" ht="21" customHeight="1" x14ac:dyDescent="0.2">
      <c r="A59" s="22">
        <f t="shared" si="7"/>
        <v>2016</v>
      </c>
      <c r="B59" s="39">
        <f t="shared" ca="1" si="8"/>
        <v>14227138</v>
      </c>
      <c r="C59" s="39">
        <f t="shared" ca="1" si="8"/>
        <v>37198184</v>
      </c>
      <c r="D59" s="39">
        <f t="shared" ca="1" si="8"/>
        <v>28452762</v>
      </c>
      <c r="E59" s="39">
        <f t="shared" ca="1" si="8"/>
        <v>10408644</v>
      </c>
      <c r="G59" s="56">
        <f t="shared" ca="1" si="9"/>
        <v>79878084</v>
      </c>
      <c r="H59" s="56" t="str">
        <f t="shared" ca="1" si="10"/>
        <v/>
      </c>
      <c r="I59" t="str">
        <f t="shared" ca="1" si="11"/>
        <v/>
      </c>
    </row>
    <row r="60" spans="1:9" ht="21" customHeight="1" x14ac:dyDescent="0.2">
      <c r="A60" s="22">
        <f t="shared" si="7"/>
        <v>2017</v>
      </c>
      <c r="B60" s="39">
        <f t="shared" ca="1" si="8"/>
        <v>13839632</v>
      </c>
      <c r="C60" s="39">
        <f t="shared" ca="1" si="8"/>
        <v>37525050</v>
      </c>
      <c r="D60" s="39">
        <f t="shared" ca="1" si="8"/>
        <v>28125807</v>
      </c>
      <c r="E60" s="39">
        <f t="shared" ca="1" si="8"/>
        <v>11138359</v>
      </c>
      <c r="G60" s="56">
        <f t="shared" ca="1" si="9"/>
        <v>79490489</v>
      </c>
      <c r="H60" s="56" t="str">
        <f t="shared" ca="1" si="10"/>
        <v/>
      </c>
      <c r="I60" t="str">
        <f t="shared" ca="1" si="11"/>
        <v/>
      </c>
    </row>
    <row r="61" spans="1:9" ht="21" customHeight="1" x14ac:dyDescent="0.2">
      <c r="A61" s="22">
        <f t="shared" si="7"/>
        <v>2018</v>
      </c>
      <c r="B61" s="39">
        <f t="shared" ca="1" si="8"/>
        <v>13249958</v>
      </c>
      <c r="C61" s="39">
        <f t="shared" ca="1" si="8"/>
        <v>38351073</v>
      </c>
      <c r="D61" s="39">
        <f t="shared" ca="1" si="8"/>
        <v>31236226</v>
      </c>
      <c r="E61" s="39">
        <f t="shared" ca="1" si="8"/>
        <v>11369899</v>
      </c>
      <c r="G61" s="56">
        <f t="shared" ca="1" si="9"/>
        <v>82837257</v>
      </c>
      <c r="H61" s="56" t="str">
        <f t="shared" ca="1" si="10"/>
        <v/>
      </c>
      <c r="I61" t="str">
        <f t="shared" ca="1" si="11"/>
        <v/>
      </c>
    </row>
    <row r="62" spans="1:9" ht="21" customHeight="1" x14ac:dyDescent="0.2">
      <c r="A62" s="22">
        <f t="shared" si="7"/>
        <v>2019</v>
      </c>
      <c r="B62" s="39">
        <f t="shared" ca="1" si="8"/>
        <v>11314925</v>
      </c>
      <c r="C62" s="39">
        <f t="shared" ca="1" si="8"/>
        <v>38322652</v>
      </c>
      <c r="D62" s="39">
        <f t="shared" ca="1" si="8"/>
        <v>32300451</v>
      </c>
      <c r="E62" s="39">
        <f t="shared" ca="1" si="8"/>
        <v>11468314</v>
      </c>
      <c r="G62" s="56">
        <f t="shared" ca="1" si="9"/>
        <v>81938028</v>
      </c>
      <c r="H62" s="56" t="str">
        <f t="shared" ca="1" si="10"/>
        <v/>
      </c>
      <c r="I62" t="str">
        <f t="shared" ca="1" si="11"/>
        <v/>
      </c>
    </row>
    <row r="63" spans="1:9" ht="21" customHeight="1" x14ac:dyDescent="0.2">
      <c r="A63" s="22">
        <f t="shared" si="7"/>
        <v>2020</v>
      </c>
      <c r="B63" s="39">
        <f t="shared" ca="1" si="8"/>
        <v>9182696</v>
      </c>
      <c r="C63" s="39">
        <f t="shared" ca="1" si="8"/>
        <v>33637593</v>
      </c>
      <c r="D63" s="39">
        <f t="shared" ca="1" si="8"/>
        <v>31628748</v>
      </c>
      <c r="E63" s="39">
        <f t="shared" ca="1" si="8"/>
        <v>11518077</v>
      </c>
      <c r="G63" s="56">
        <f t="shared" ca="1" si="9"/>
        <v>74449037</v>
      </c>
      <c r="H63" s="56" t="str">
        <f t="shared" ca="1" si="10"/>
        <v/>
      </c>
      <c r="I63" t="str">
        <f t="shared" ca="1" si="11"/>
        <v/>
      </c>
    </row>
    <row r="64" spans="1:9" ht="21" customHeight="1" x14ac:dyDescent="0.2">
      <c r="A64" s="22">
        <f t="shared" si="7"/>
        <v>2021</v>
      </c>
      <c r="B64" s="39">
        <f t="shared" ca="1" si="8"/>
        <v>10547764</v>
      </c>
      <c r="C64" s="39">
        <f t="shared" ca="1" si="8"/>
        <v>36783544</v>
      </c>
      <c r="D64" s="39">
        <f t="shared" ca="1" si="8"/>
        <v>31725500</v>
      </c>
      <c r="E64" s="39">
        <f t="shared" ca="1" si="8"/>
        <v>12139977</v>
      </c>
      <c r="G64" s="56">
        <f t="shared" ca="1" si="9"/>
        <v>79056808</v>
      </c>
      <c r="H64" s="56" t="str">
        <f t="shared" ca="1" si="10"/>
        <v/>
      </c>
      <c r="I64" t="str">
        <f t="shared" ca="1" si="11"/>
        <v/>
      </c>
    </row>
    <row r="65" spans="1:1" ht="21" customHeight="1" x14ac:dyDescent="0.2">
      <c r="A65" s="22"/>
    </row>
    <row r="66" spans="1:1" ht="21" customHeight="1" x14ac:dyDescent="0.2">
      <c r="A66" s="22"/>
    </row>
    <row r="67" spans="1:1" ht="21" customHeight="1" x14ac:dyDescent="0.2"/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0047-C4C5-5D41-98E4-62E7DCEA30ED}">
  <dimension ref="A1:BC31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RowHeight="16" x14ac:dyDescent="0.2"/>
  <sheetData>
    <row r="1" spans="1:55" x14ac:dyDescent="0.2">
      <c r="A1" s="21" t="s">
        <v>1411</v>
      </c>
      <c r="B1" s="21" t="s">
        <v>1412</v>
      </c>
      <c r="C1" s="21" t="s">
        <v>6</v>
      </c>
      <c r="D1" s="21">
        <v>1970</v>
      </c>
      <c r="E1" s="21">
        <v>1971</v>
      </c>
      <c r="F1" s="21">
        <v>1972</v>
      </c>
      <c r="G1" s="21">
        <v>1973</v>
      </c>
      <c r="H1" s="21">
        <v>1974</v>
      </c>
      <c r="I1" s="21">
        <v>1975</v>
      </c>
      <c r="J1" s="21">
        <v>1976</v>
      </c>
      <c r="K1" s="21">
        <v>1977</v>
      </c>
      <c r="L1" s="21">
        <v>1978</v>
      </c>
      <c r="M1" s="21">
        <v>1979</v>
      </c>
      <c r="N1" s="21">
        <v>1980</v>
      </c>
      <c r="O1" s="21">
        <v>1981</v>
      </c>
      <c r="P1" s="21">
        <v>1982</v>
      </c>
      <c r="Q1" s="21">
        <v>1983</v>
      </c>
      <c r="R1" s="21">
        <v>1984</v>
      </c>
      <c r="S1" s="21">
        <v>1985</v>
      </c>
      <c r="T1" s="21">
        <v>1986</v>
      </c>
      <c r="U1" s="21">
        <v>1987</v>
      </c>
      <c r="V1" s="21">
        <v>1988</v>
      </c>
      <c r="W1" s="21">
        <v>1989</v>
      </c>
      <c r="X1" s="21">
        <v>1990</v>
      </c>
      <c r="Y1" s="21">
        <v>1991</v>
      </c>
      <c r="Z1" s="21">
        <v>1992</v>
      </c>
      <c r="AA1" s="21">
        <v>1993</v>
      </c>
      <c r="AB1" s="21">
        <v>1994</v>
      </c>
      <c r="AC1" s="21">
        <v>1995</v>
      </c>
      <c r="AD1" s="21">
        <v>1996</v>
      </c>
      <c r="AE1" s="21">
        <v>1997</v>
      </c>
      <c r="AF1" s="21">
        <v>1998</v>
      </c>
      <c r="AG1" s="21">
        <v>1999</v>
      </c>
      <c r="AH1" s="21">
        <v>2000</v>
      </c>
      <c r="AI1" s="21">
        <v>2001</v>
      </c>
      <c r="AJ1" s="21">
        <v>2002</v>
      </c>
      <c r="AK1" s="21">
        <v>2003</v>
      </c>
      <c r="AL1" s="21">
        <v>2004</v>
      </c>
      <c r="AM1" s="21">
        <v>2005</v>
      </c>
      <c r="AN1" s="21">
        <v>2006</v>
      </c>
      <c r="AO1" s="21">
        <v>2007</v>
      </c>
      <c r="AP1" s="21">
        <v>2008</v>
      </c>
      <c r="AQ1" s="21">
        <v>2009</v>
      </c>
      <c r="AR1" s="21">
        <v>2010</v>
      </c>
      <c r="AS1" s="21">
        <v>2011</v>
      </c>
      <c r="AT1" s="21">
        <v>2012</v>
      </c>
      <c r="AU1" s="21">
        <v>2013</v>
      </c>
      <c r="AV1" s="21">
        <v>2014</v>
      </c>
      <c r="AW1" s="21">
        <v>2015</v>
      </c>
      <c r="AX1" s="21">
        <v>2016</v>
      </c>
      <c r="AY1" s="21">
        <v>2017</v>
      </c>
      <c r="AZ1" s="21">
        <v>2018</v>
      </c>
      <c r="BA1" s="21">
        <v>2019</v>
      </c>
      <c r="BB1" s="21">
        <v>2020</v>
      </c>
      <c r="BC1" s="21">
        <v>2021</v>
      </c>
    </row>
    <row r="2" spans="1:55" x14ac:dyDescent="0.2">
      <c r="A2" s="21" t="s">
        <v>1413</v>
      </c>
      <c r="B2" s="21" t="s">
        <v>1414</v>
      </c>
      <c r="C2" s="21" t="s">
        <v>16</v>
      </c>
      <c r="D2" s="21">
        <v>0.68</v>
      </c>
      <c r="E2" s="21">
        <v>0.79</v>
      </c>
      <c r="F2" s="21">
        <v>0.82</v>
      </c>
      <c r="G2" s="21">
        <v>0.84</v>
      </c>
      <c r="H2" s="21">
        <v>1.6</v>
      </c>
      <c r="I2" s="21">
        <v>1.89</v>
      </c>
      <c r="J2" s="21">
        <v>1.86</v>
      </c>
      <c r="K2" s="21">
        <v>1.95</v>
      </c>
      <c r="L2" s="21">
        <v>2.13</v>
      </c>
      <c r="M2" s="21">
        <v>2.58</v>
      </c>
      <c r="N2" s="21">
        <v>3.68</v>
      </c>
      <c r="O2" s="21">
        <v>5.0199999999999996</v>
      </c>
      <c r="P2" s="21">
        <v>4.24</v>
      </c>
      <c r="Q2" s="21">
        <v>4.32</v>
      </c>
      <c r="R2" s="21">
        <v>4.54</v>
      </c>
      <c r="S2" s="21">
        <v>4.7699999999999996</v>
      </c>
      <c r="T2" s="21">
        <v>4.34</v>
      </c>
      <c r="U2" s="21">
        <v>3.56</v>
      </c>
      <c r="V2" s="21">
        <v>3.39</v>
      </c>
      <c r="W2" s="21">
        <v>2.95</v>
      </c>
      <c r="X2" s="21">
        <v>3.02</v>
      </c>
      <c r="Y2" s="21">
        <v>3.14</v>
      </c>
      <c r="Z2" s="21">
        <v>2.5</v>
      </c>
      <c r="AA2" s="21">
        <v>2.9</v>
      </c>
      <c r="AB2" s="21">
        <v>2.93</v>
      </c>
      <c r="AC2" s="21">
        <v>3.18</v>
      </c>
      <c r="AD2" s="21">
        <v>3.29</v>
      </c>
      <c r="AE2" s="21">
        <v>3.54</v>
      </c>
      <c r="AF2" s="21">
        <v>3.43</v>
      </c>
      <c r="AG2" s="21">
        <v>3.31</v>
      </c>
      <c r="AH2" s="21">
        <v>3.99</v>
      </c>
      <c r="AI2" s="21">
        <v>3.99</v>
      </c>
      <c r="AJ2" s="21">
        <v>4.12</v>
      </c>
      <c r="AK2" s="21">
        <v>4.6399999999999997</v>
      </c>
      <c r="AL2" s="21">
        <v>4.7699999999999996</v>
      </c>
      <c r="AM2" s="21">
        <v>5.27</v>
      </c>
      <c r="AN2" s="21">
        <v>6.7</v>
      </c>
      <c r="AO2" s="21">
        <v>7.23</v>
      </c>
      <c r="AP2" s="21">
        <v>8.07</v>
      </c>
      <c r="AQ2" s="21">
        <v>11.86</v>
      </c>
      <c r="AR2" s="21">
        <v>13.35</v>
      </c>
      <c r="AS2" s="21">
        <v>14.9</v>
      </c>
      <c r="AT2" s="21">
        <v>16.350000000000001</v>
      </c>
      <c r="AU2" s="21">
        <v>15.55</v>
      </c>
      <c r="AV2" s="21">
        <v>15.98</v>
      </c>
      <c r="AW2" s="21">
        <v>13.28</v>
      </c>
      <c r="AX2" s="21">
        <v>9.52</v>
      </c>
      <c r="AY2" s="21">
        <v>9.89</v>
      </c>
      <c r="AZ2" s="21">
        <v>12.89</v>
      </c>
      <c r="BA2" s="21">
        <v>13.72</v>
      </c>
      <c r="BB2" s="21">
        <v>12.04</v>
      </c>
      <c r="BC2" s="21">
        <v>13.44</v>
      </c>
    </row>
    <row r="3" spans="1:55" x14ac:dyDescent="0.2">
      <c r="A3" s="21" t="s">
        <v>1413</v>
      </c>
      <c r="B3" s="21" t="s">
        <v>1414</v>
      </c>
      <c r="C3" s="21" t="s">
        <v>20</v>
      </c>
      <c r="D3" s="21">
        <v>730.8</v>
      </c>
      <c r="E3" s="21">
        <v>878</v>
      </c>
      <c r="F3" s="21">
        <v>928.1</v>
      </c>
      <c r="G3" s="21">
        <v>1057.8</v>
      </c>
      <c r="H3" s="21">
        <v>1865.4</v>
      </c>
      <c r="I3" s="21">
        <v>1913.6</v>
      </c>
      <c r="J3" s="21">
        <v>1856</v>
      </c>
      <c r="K3" s="21">
        <v>2064.9</v>
      </c>
      <c r="L3" s="21">
        <v>2470.5</v>
      </c>
      <c r="M3" s="21">
        <v>2976.6</v>
      </c>
      <c r="N3" s="21">
        <v>3542.9</v>
      </c>
      <c r="O3" s="21">
        <v>4156.2</v>
      </c>
      <c r="P3" s="21">
        <v>3513.5</v>
      </c>
      <c r="Q3" s="21">
        <v>3901.5</v>
      </c>
      <c r="R3" s="21">
        <v>4500.8</v>
      </c>
      <c r="S3" s="21">
        <v>4915.5</v>
      </c>
      <c r="T3" s="21">
        <v>4716.8</v>
      </c>
      <c r="U3" s="21">
        <v>4017.7</v>
      </c>
      <c r="V3" s="21">
        <v>3847.5</v>
      </c>
      <c r="W3" s="21">
        <v>3228.3</v>
      </c>
      <c r="X3" s="21">
        <v>3529.1</v>
      </c>
      <c r="Y3" s="21">
        <v>3381.7</v>
      </c>
      <c r="Z3" s="21">
        <v>2755.2</v>
      </c>
      <c r="AA3" s="21">
        <v>3335.9</v>
      </c>
      <c r="AB3" s="21">
        <v>3437.5</v>
      </c>
      <c r="AC3" s="21">
        <v>3747.6</v>
      </c>
      <c r="AD3" s="21">
        <v>3870.4</v>
      </c>
      <c r="AE3" s="21">
        <v>4331.1000000000004</v>
      </c>
      <c r="AF3" s="21">
        <v>4335.1000000000004</v>
      </c>
      <c r="AG3" s="21">
        <v>4380.8</v>
      </c>
      <c r="AH3" s="21">
        <v>5091.1000000000004</v>
      </c>
      <c r="AI3" s="21">
        <v>5015.1000000000004</v>
      </c>
      <c r="AJ3" s="21">
        <v>5107.5</v>
      </c>
      <c r="AK3" s="21">
        <v>5660.9</v>
      </c>
      <c r="AL3" s="21">
        <v>6220.9</v>
      </c>
      <c r="AM3" s="21">
        <v>6969</v>
      </c>
      <c r="AN3" s="21">
        <v>8448.4</v>
      </c>
      <c r="AO3" s="21">
        <v>8656.9</v>
      </c>
      <c r="AP3" s="21">
        <v>8171.1</v>
      </c>
      <c r="AQ3" s="21">
        <v>10357.4</v>
      </c>
      <c r="AR3" s="21">
        <v>11715.4</v>
      </c>
      <c r="AS3" s="21">
        <v>12806.5</v>
      </c>
      <c r="AT3" s="21">
        <v>13519.2</v>
      </c>
      <c r="AU3" s="21">
        <v>12184.5</v>
      </c>
      <c r="AV3" s="21">
        <v>12667.5</v>
      </c>
      <c r="AW3" s="21">
        <v>11040.7</v>
      </c>
      <c r="AX3" s="21">
        <v>8128.3</v>
      </c>
      <c r="AY3" s="21">
        <v>8397.9</v>
      </c>
      <c r="AZ3" s="21">
        <v>10220.6</v>
      </c>
      <c r="BA3" s="21">
        <v>11574.4</v>
      </c>
      <c r="BB3" s="21">
        <v>10024.200000000001</v>
      </c>
      <c r="BC3" s="21">
        <v>12074.5</v>
      </c>
    </row>
    <row r="4" spans="1:55" x14ac:dyDescent="0.2">
      <c r="A4" s="21" t="s">
        <v>1413</v>
      </c>
      <c r="B4" s="21" t="s">
        <v>1414</v>
      </c>
      <c r="C4" s="21" t="s">
        <v>25</v>
      </c>
      <c r="D4" s="21">
        <v>0.68</v>
      </c>
      <c r="E4" s="21">
        <v>0.79</v>
      </c>
      <c r="F4" s="21">
        <v>0.82</v>
      </c>
      <c r="G4" s="21">
        <v>0.84</v>
      </c>
      <c r="H4" s="21">
        <v>1.6</v>
      </c>
      <c r="I4" s="21">
        <v>1.89</v>
      </c>
      <c r="J4" s="21">
        <v>1.86</v>
      </c>
      <c r="K4" s="21">
        <v>1.95</v>
      </c>
      <c r="L4" s="21">
        <v>2.13</v>
      </c>
      <c r="M4" s="21">
        <v>2.58</v>
      </c>
      <c r="N4" s="21">
        <v>3.68</v>
      </c>
      <c r="O4" s="21">
        <v>5.0199999999999996</v>
      </c>
      <c r="P4" s="21">
        <v>4.24</v>
      </c>
      <c r="Q4" s="21">
        <v>4.32</v>
      </c>
      <c r="R4" s="21">
        <v>4.54</v>
      </c>
      <c r="S4" s="21">
        <v>4.7699999999999996</v>
      </c>
      <c r="T4" s="21">
        <v>4.34</v>
      </c>
      <c r="U4" s="21">
        <v>3.56</v>
      </c>
      <c r="V4" s="21">
        <v>3.39</v>
      </c>
      <c r="W4" s="21">
        <v>2.95</v>
      </c>
      <c r="X4" s="21">
        <v>3.02</v>
      </c>
      <c r="Y4" s="21">
        <v>3.14</v>
      </c>
      <c r="Z4" s="21">
        <v>2.5</v>
      </c>
      <c r="AA4" s="21">
        <v>2.9</v>
      </c>
      <c r="AB4" s="21">
        <v>2.93</v>
      </c>
      <c r="AC4" s="21">
        <v>3.18</v>
      </c>
      <c r="AD4" s="21">
        <v>3.29</v>
      </c>
      <c r="AE4" s="21">
        <v>3.54</v>
      </c>
      <c r="AF4" s="21">
        <v>3.43</v>
      </c>
      <c r="AG4" s="21">
        <v>3.31</v>
      </c>
      <c r="AH4" s="21">
        <v>3.99</v>
      </c>
      <c r="AI4" s="21">
        <v>3.99</v>
      </c>
      <c r="AJ4" s="21">
        <v>4.12</v>
      </c>
      <c r="AK4" s="21">
        <v>4.6399999999999997</v>
      </c>
      <c r="AL4" s="21">
        <v>4.7699999999999996</v>
      </c>
      <c r="AM4" s="21">
        <v>5.27</v>
      </c>
      <c r="AN4" s="21">
        <v>6.7</v>
      </c>
      <c r="AO4" s="21">
        <v>7.23</v>
      </c>
      <c r="AP4" s="21">
        <v>8.07</v>
      </c>
      <c r="AQ4" s="21">
        <v>11.86</v>
      </c>
      <c r="AR4" s="21">
        <v>13.35</v>
      </c>
      <c r="AS4" s="21">
        <v>14.9</v>
      </c>
      <c r="AT4" s="21">
        <v>16.350000000000001</v>
      </c>
      <c r="AU4" s="21">
        <v>15.55</v>
      </c>
      <c r="AV4" s="21">
        <v>15.98</v>
      </c>
      <c r="AW4" s="21">
        <v>13.28</v>
      </c>
      <c r="AX4" s="21">
        <v>9.52</v>
      </c>
      <c r="AY4" s="21">
        <v>9.89</v>
      </c>
      <c r="AZ4" s="21">
        <v>12.89</v>
      </c>
      <c r="BA4" s="21">
        <v>13.72</v>
      </c>
      <c r="BB4" s="21">
        <v>12.04</v>
      </c>
      <c r="BC4" s="21">
        <v>13.44</v>
      </c>
    </row>
    <row r="5" spans="1:55" x14ac:dyDescent="0.2">
      <c r="A5" s="21" t="s">
        <v>1413</v>
      </c>
      <c r="B5" s="21" t="s">
        <v>1414</v>
      </c>
      <c r="C5" s="21" t="s">
        <v>28</v>
      </c>
      <c r="D5" s="21">
        <v>730.8</v>
      </c>
      <c r="E5" s="21">
        <v>878</v>
      </c>
      <c r="F5" s="21">
        <v>928.1</v>
      </c>
      <c r="G5" s="21">
        <v>1057.8</v>
      </c>
      <c r="H5" s="21">
        <v>1865.4</v>
      </c>
      <c r="I5" s="21">
        <v>1913.6</v>
      </c>
      <c r="J5" s="21">
        <v>1856</v>
      </c>
      <c r="K5" s="21">
        <v>2064.9</v>
      </c>
      <c r="L5" s="21">
        <v>2470.5</v>
      </c>
      <c r="M5" s="21">
        <v>2976.6</v>
      </c>
      <c r="N5" s="21">
        <v>3542.9</v>
      </c>
      <c r="O5" s="21">
        <v>4156.2</v>
      </c>
      <c r="P5" s="21">
        <v>3513.5</v>
      </c>
      <c r="Q5" s="21">
        <v>3901.5</v>
      </c>
      <c r="R5" s="21">
        <v>4500.8</v>
      </c>
      <c r="S5" s="21">
        <v>4915.5</v>
      </c>
      <c r="T5" s="21">
        <v>4716.8</v>
      </c>
      <c r="U5" s="21">
        <v>4017.7</v>
      </c>
      <c r="V5" s="21">
        <v>3847.5</v>
      </c>
      <c r="W5" s="21">
        <v>3228.3</v>
      </c>
      <c r="X5" s="21">
        <v>3529.1</v>
      </c>
      <c r="Y5" s="21">
        <v>3381.7</v>
      </c>
      <c r="Z5" s="21">
        <v>2755.2</v>
      </c>
      <c r="AA5" s="21">
        <v>3335.9</v>
      </c>
      <c r="AB5" s="21">
        <v>3437.5</v>
      </c>
      <c r="AC5" s="21">
        <v>3747.6</v>
      </c>
      <c r="AD5" s="21">
        <v>3870.4</v>
      </c>
      <c r="AE5" s="21">
        <v>4331.1000000000004</v>
      </c>
      <c r="AF5" s="21">
        <v>4335.1000000000004</v>
      </c>
      <c r="AG5" s="21">
        <v>4380.8</v>
      </c>
      <c r="AH5" s="21">
        <v>5091.1000000000004</v>
      </c>
      <c r="AI5" s="21">
        <v>5015.1000000000004</v>
      </c>
      <c r="AJ5" s="21">
        <v>5107.5</v>
      </c>
      <c r="AK5" s="21">
        <v>5660.9</v>
      </c>
      <c r="AL5" s="21">
        <v>6220.9</v>
      </c>
      <c r="AM5" s="21">
        <v>6969</v>
      </c>
      <c r="AN5" s="21">
        <v>8448.4</v>
      </c>
      <c r="AO5" s="21">
        <v>8656.9</v>
      </c>
      <c r="AP5" s="21">
        <v>8171.1</v>
      </c>
      <c r="AQ5" s="21">
        <v>10357.4</v>
      </c>
      <c r="AR5" s="21">
        <v>11715.4</v>
      </c>
      <c r="AS5" s="21">
        <v>12806.5</v>
      </c>
      <c r="AT5" s="21">
        <v>13519.2</v>
      </c>
      <c r="AU5" s="21">
        <v>12184.5</v>
      </c>
      <c r="AV5" s="21">
        <v>12667.5</v>
      </c>
      <c r="AW5" s="21">
        <v>11040.7</v>
      </c>
      <c r="AX5" s="21">
        <v>8128.3</v>
      </c>
      <c r="AY5" s="21">
        <v>8397.9</v>
      </c>
      <c r="AZ5" s="21">
        <v>10220.6</v>
      </c>
      <c r="BA5" s="21">
        <v>11574.4</v>
      </c>
      <c r="BB5" s="21">
        <v>10024.200000000001</v>
      </c>
      <c r="BC5" s="21">
        <v>12074.5</v>
      </c>
    </row>
    <row r="6" spans="1:55" x14ac:dyDescent="0.2">
      <c r="A6" s="21" t="s">
        <v>1413</v>
      </c>
      <c r="B6" s="21" t="s">
        <v>1414</v>
      </c>
      <c r="C6" s="21" t="s">
        <v>32</v>
      </c>
      <c r="D6" s="21">
        <v>0.68</v>
      </c>
      <c r="E6" s="21">
        <v>0.79</v>
      </c>
      <c r="F6" s="21">
        <v>0.82</v>
      </c>
      <c r="G6" s="21">
        <v>0.84</v>
      </c>
      <c r="H6" s="21">
        <v>1.6</v>
      </c>
      <c r="I6" s="21">
        <v>1.89</v>
      </c>
      <c r="J6" s="21">
        <v>1.86</v>
      </c>
      <c r="K6" s="21">
        <v>1.95</v>
      </c>
      <c r="L6" s="21">
        <v>2.13</v>
      </c>
      <c r="M6" s="21">
        <v>2.58</v>
      </c>
      <c r="N6" s="21">
        <v>3.68</v>
      </c>
      <c r="O6" s="21">
        <v>5.0199999999999996</v>
      </c>
      <c r="P6" s="21">
        <v>4.24</v>
      </c>
      <c r="Q6" s="21">
        <v>4.32</v>
      </c>
      <c r="R6" s="21">
        <v>4.54</v>
      </c>
      <c r="S6" s="21">
        <v>4.7699999999999996</v>
      </c>
      <c r="T6" s="21">
        <v>4.34</v>
      </c>
      <c r="U6" s="21">
        <v>3.56</v>
      </c>
      <c r="V6" s="21">
        <v>3.39</v>
      </c>
      <c r="W6" s="21">
        <v>2.95</v>
      </c>
      <c r="X6" s="21">
        <v>3.02</v>
      </c>
      <c r="Y6" s="21">
        <v>3.14</v>
      </c>
      <c r="Z6" s="21">
        <v>2.5</v>
      </c>
      <c r="AA6" s="21">
        <v>2.9</v>
      </c>
      <c r="AB6" s="21">
        <v>2.93</v>
      </c>
      <c r="AC6" s="21">
        <v>3.18</v>
      </c>
      <c r="AD6" s="21">
        <v>3.29</v>
      </c>
      <c r="AE6" s="21">
        <v>3.54</v>
      </c>
      <c r="AF6" s="21">
        <v>3.43</v>
      </c>
      <c r="AG6" s="21">
        <v>3.31</v>
      </c>
      <c r="AH6" s="21">
        <v>3.99</v>
      </c>
      <c r="AI6" s="21">
        <v>3.99</v>
      </c>
      <c r="AJ6" s="21">
        <v>4.12</v>
      </c>
      <c r="AK6" s="21">
        <v>4.6399999999999997</v>
      </c>
      <c r="AL6" s="21">
        <v>4.7699999999999996</v>
      </c>
      <c r="AM6" s="21">
        <v>5.27</v>
      </c>
      <c r="AN6" s="21">
        <v>6.7</v>
      </c>
      <c r="AO6" s="21">
        <v>7.23</v>
      </c>
      <c r="AP6" s="21">
        <v>8.07</v>
      </c>
      <c r="AQ6" s="21">
        <v>11.86</v>
      </c>
      <c r="AR6" s="21">
        <v>13.35</v>
      </c>
      <c r="AS6" s="21">
        <v>14.9</v>
      </c>
      <c r="AT6" s="21">
        <v>16.350000000000001</v>
      </c>
      <c r="AU6" s="21">
        <v>15.55</v>
      </c>
      <c r="AV6" s="21">
        <v>15.98</v>
      </c>
      <c r="AW6" s="21">
        <v>13.28</v>
      </c>
      <c r="AX6" s="21">
        <v>9.52</v>
      </c>
      <c r="AY6" s="21">
        <v>9.89</v>
      </c>
      <c r="AZ6" s="21">
        <v>12.89</v>
      </c>
      <c r="BA6" s="21">
        <v>13.72</v>
      </c>
      <c r="BB6" s="21">
        <v>12.04</v>
      </c>
      <c r="BC6" s="21">
        <v>13.44</v>
      </c>
    </row>
    <row r="7" spans="1:55" x14ac:dyDescent="0.2">
      <c r="A7" s="21" t="s">
        <v>1413</v>
      </c>
      <c r="B7" s="21" t="s">
        <v>1414</v>
      </c>
      <c r="C7" s="21" t="s">
        <v>35</v>
      </c>
      <c r="D7" s="21">
        <v>730.8</v>
      </c>
      <c r="E7" s="21">
        <v>878</v>
      </c>
      <c r="F7" s="21">
        <v>928.1</v>
      </c>
      <c r="G7" s="21">
        <v>1057.8</v>
      </c>
      <c r="H7" s="21">
        <v>1865.4</v>
      </c>
      <c r="I7" s="21">
        <v>1913.6</v>
      </c>
      <c r="J7" s="21">
        <v>1856</v>
      </c>
      <c r="K7" s="21">
        <v>2064.9</v>
      </c>
      <c r="L7" s="21">
        <v>2470.5</v>
      </c>
      <c r="M7" s="21">
        <v>2976.6</v>
      </c>
      <c r="N7" s="21">
        <v>3542.9</v>
      </c>
      <c r="O7" s="21">
        <v>4156.2</v>
      </c>
      <c r="P7" s="21">
        <v>3513.5</v>
      </c>
      <c r="Q7" s="21">
        <v>3901.5</v>
      </c>
      <c r="R7" s="21">
        <v>4500.8</v>
      </c>
      <c r="S7" s="21">
        <v>4915.5</v>
      </c>
      <c r="T7" s="21">
        <v>4716.8</v>
      </c>
      <c r="U7" s="21">
        <v>4017.7</v>
      </c>
      <c r="V7" s="21">
        <v>3847.5</v>
      </c>
      <c r="W7" s="21">
        <v>3228.3</v>
      </c>
      <c r="X7" s="21">
        <v>3529.1</v>
      </c>
      <c r="Y7" s="21">
        <v>3381.7</v>
      </c>
      <c r="Z7" s="21">
        <v>2755.2</v>
      </c>
      <c r="AA7" s="21">
        <v>3335.9</v>
      </c>
      <c r="AB7" s="21">
        <v>3437.5</v>
      </c>
      <c r="AC7" s="21">
        <v>3747.6</v>
      </c>
      <c r="AD7" s="21">
        <v>3870.4</v>
      </c>
      <c r="AE7" s="21">
        <v>4331.1000000000004</v>
      </c>
      <c r="AF7" s="21">
        <v>4335.1000000000004</v>
      </c>
      <c r="AG7" s="21">
        <v>4380.8</v>
      </c>
      <c r="AH7" s="21">
        <v>5091.1000000000004</v>
      </c>
      <c r="AI7" s="21">
        <v>5015.1000000000004</v>
      </c>
      <c r="AJ7" s="21">
        <v>5107.5</v>
      </c>
      <c r="AK7" s="21">
        <v>5660.9</v>
      </c>
      <c r="AL7" s="21">
        <v>6220.9</v>
      </c>
      <c r="AM7" s="21">
        <v>6969</v>
      </c>
      <c r="AN7" s="21">
        <v>8448.4</v>
      </c>
      <c r="AO7" s="21">
        <v>8656.9</v>
      </c>
      <c r="AP7" s="21">
        <v>8171.1</v>
      </c>
      <c r="AQ7" s="21">
        <v>10357.4</v>
      </c>
      <c r="AR7" s="21">
        <v>11715.4</v>
      </c>
      <c r="AS7" s="21">
        <v>12806.5</v>
      </c>
      <c r="AT7" s="21">
        <v>13519.2</v>
      </c>
      <c r="AU7" s="21">
        <v>12184.5</v>
      </c>
      <c r="AV7" s="21">
        <v>12667.5</v>
      </c>
      <c r="AW7" s="21">
        <v>11040.7</v>
      </c>
      <c r="AX7" s="21">
        <v>8128.3</v>
      </c>
      <c r="AY7" s="21">
        <v>8397.9</v>
      </c>
      <c r="AZ7" s="21">
        <v>10220.6</v>
      </c>
      <c r="BA7" s="21">
        <v>11574.4</v>
      </c>
      <c r="BB7" s="21">
        <v>10024.200000000001</v>
      </c>
      <c r="BC7" s="21">
        <v>12074.5</v>
      </c>
    </row>
    <row r="8" spans="1:55" x14ac:dyDescent="0.2">
      <c r="A8" s="21" t="s">
        <v>1413</v>
      </c>
      <c r="B8" s="21" t="s">
        <v>1414</v>
      </c>
      <c r="C8" s="21" t="s">
        <v>39</v>
      </c>
      <c r="D8" s="21">
        <v>2.17</v>
      </c>
      <c r="E8" s="21">
        <v>2.21</v>
      </c>
      <c r="F8" s="21">
        <v>2.19</v>
      </c>
      <c r="G8" s="21">
        <v>2.36</v>
      </c>
      <c r="H8" s="21">
        <v>3.23</v>
      </c>
      <c r="I8" s="21">
        <v>3.45</v>
      </c>
      <c r="J8" s="21">
        <v>3.59</v>
      </c>
      <c r="K8" s="21">
        <v>3.97</v>
      </c>
      <c r="L8" s="21">
        <v>4.29</v>
      </c>
      <c r="M8" s="21">
        <v>5.73</v>
      </c>
      <c r="N8" s="21">
        <v>9.02</v>
      </c>
      <c r="O8" s="21">
        <v>10.84</v>
      </c>
      <c r="P8" s="21">
        <v>10.92</v>
      </c>
      <c r="Q8" s="21">
        <v>10.44</v>
      </c>
      <c r="R8" s="21">
        <v>10.27</v>
      </c>
      <c r="S8" s="21">
        <v>9.99</v>
      </c>
      <c r="T8" s="21">
        <v>8.41</v>
      </c>
      <c r="U8" s="21">
        <v>7.55</v>
      </c>
      <c r="V8" s="21">
        <v>7.41</v>
      </c>
      <c r="W8" s="21">
        <v>8.2799999999999994</v>
      </c>
      <c r="X8" s="21">
        <v>9.32</v>
      </c>
      <c r="Y8" s="21">
        <v>8.7100000000000009</v>
      </c>
      <c r="Z8" s="21">
        <v>8.5399999999999991</v>
      </c>
      <c r="AA8" s="21">
        <v>8.24</v>
      </c>
      <c r="AB8" s="21">
        <v>7.96</v>
      </c>
      <c r="AC8" s="21">
        <v>8.36</v>
      </c>
      <c r="AD8" s="21">
        <v>9.2899999999999991</v>
      </c>
      <c r="AE8" s="21">
        <v>9.39</v>
      </c>
      <c r="AF8" s="21">
        <v>8.11</v>
      </c>
      <c r="AG8" s="21">
        <v>8.81</v>
      </c>
      <c r="AH8" s="21">
        <v>10.87</v>
      </c>
      <c r="AI8" s="21">
        <v>11.01</v>
      </c>
      <c r="AJ8" s="21">
        <v>10.72</v>
      </c>
      <c r="AK8" s="21">
        <v>12.42</v>
      </c>
      <c r="AL8" s="21">
        <v>15.13</v>
      </c>
      <c r="AM8" s="21">
        <v>18.559999999999999</v>
      </c>
      <c r="AN8" s="21">
        <v>22.31</v>
      </c>
      <c r="AO8" s="21">
        <v>23.7</v>
      </c>
      <c r="AP8" s="21">
        <v>27.23</v>
      </c>
      <c r="AQ8" s="21">
        <v>20.32</v>
      </c>
      <c r="AR8" s="21">
        <v>25.19</v>
      </c>
      <c r="AS8" s="21">
        <v>31.64</v>
      </c>
      <c r="AT8" s="21">
        <v>33.04</v>
      </c>
      <c r="AU8" s="21">
        <v>32.71</v>
      </c>
      <c r="AV8" s="21">
        <v>33.159999999999997</v>
      </c>
      <c r="AW8" s="21">
        <v>24.86</v>
      </c>
      <c r="AX8" s="21">
        <v>21.62</v>
      </c>
      <c r="AY8" s="21">
        <v>24.13</v>
      </c>
      <c r="AZ8" s="21">
        <v>27.04</v>
      </c>
      <c r="BA8" s="21">
        <v>25.57</v>
      </c>
      <c r="BB8" s="21">
        <v>22.34</v>
      </c>
      <c r="BC8" s="21">
        <v>28.86</v>
      </c>
    </row>
    <row r="9" spans="1:55" x14ac:dyDescent="0.2">
      <c r="A9" s="21" t="s">
        <v>1413</v>
      </c>
      <c r="B9" s="21" t="s">
        <v>1414</v>
      </c>
      <c r="C9" s="21" t="s">
        <v>42</v>
      </c>
      <c r="D9" s="21">
        <v>218</v>
      </c>
      <c r="E9" s="21">
        <v>199.8</v>
      </c>
      <c r="F9" s="21">
        <v>187.5</v>
      </c>
      <c r="G9" s="21">
        <v>196.8</v>
      </c>
      <c r="H9" s="21">
        <v>264.7</v>
      </c>
      <c r="I9" s="21">
        <v>244.7</v>
      </c>
      <c r="J9" s="21">
        <v>241.9</v>
      </c>
      <c r="K9" s="21">
        <v>279.10000000000002</v>
      </c>
      <c r="L9" s="21">
        <v>306.8</v>
      </c>
      <c r="M9" s="21">
        <v>403.1</v>
      </c>
      <c r="N9" s="21">
        <v>580.29999999999995</v>
      </c>
      <c r="O9" s="21">
        <v>610</v>
      </c>
      <c r="P9" s="21">
        <v>512.79999999999995</v>
      </c>
      <c r="Q9" s="21">
        <v>497.8</v>
      </c>
      <c r="R9" s="21">
        <v>450.5</v>
      </c>
      <c r="S9" s="21">
        <v>502.9</v>
      </c>
      <c r="T9" s="21">
        <v>495.7</v>
      </c>
      <c r="U9" s="21">
        <v>344.4</v>
      </c>
      <c r="V9" s="21">
        <v>363.2</v>
      </c>
      <c r="W9" s="21">
        <v>394</v>
      </c>
      <c r="X9" s="21">
        <v>419.1</v>
      </c>
      <c r="Y9" s="21">
        <v>363.4</v>
      </c>
      <c r="Z9" s="21">
        <v>350.8</v>
      </c>
      <c r="AA9" s="21">
        <v>316.3</v>
      </c>
      <c r="AB9" s="21">
        <v>303.7</v>
      </c>
      <c r="AC9" s="21">
        <v>331</v>
      </c>
      <c r="AD9" s="21">
        <v>346.9</v>
      </c>
      <c r="AE9" s="21">
        <v>372.6</v>
      </c>
      <c r="AF9" s="21">
        <v>288</v>
      </c>
      <c r="AG9" s="21">
        <v>345.1</v>
      </c>
      <c r="AH9" s="21">
        <v>394.3</v>
      </c>
      <c r="AI9" s="21">
        <v>384.6</v>
      </c>
      <c r="AJ9" s="21">
        <v>361.5</v>
      </c>
      <c r="AK9" s="21">
        <v>375.4</v>
      </c>
      <c r="AL9" s="21">
        <v>472.8</v>
      </c>
      <c r="AM9" s="21">
        <v>656.5</v>
      </c>
      <c r="AN9" s="21">
        <v>746.4</v>
      </c>
      <c r="AO9" s="21">
        <v>748.8</v>
      </c>
      <c r="AP9" s="21">
        <v>770.2</v>
      </c>
      <c r="AQ9" s="21">
        <v>539.6</v>
      </c>
      <c r="AR9" s="21">
        <v>681.4</v>
      </c>
      <c r="AS9" s="21">
        <v>856.1</v>
      </c>
      <c r="AT9" s="21">
        <v>829.7</v>
      </c>
      <c r="AU9" s="21">
        <v>731.4</v>
      </c>
      <c r="AV9" s="21">
        <v>719.5</v>
      </c>
      <c r="AW9" s="21">
        <v>525.6</v>
      </c>
      <c r="AX9" s="21">
        <v>442.5</v>
      </c>
      <c r="AY9" s="21">
        <v>505.5</v>
      </c>
      <c r="AZ9" s="21">
        <v>605.5</v>
      </c>
      <c r="BA9" s="21">
        <v>598</v>
      </c>
      <c r="BB9" s="21">
        <v>451.3</v>
      </c>
      <c r="BC9" s="21">
        <v>622</v>
      </c>
    </row>
    <row r="10" spans="1:55" x14ac:dyDescent="0.2">
      <c r="A10" s="21" t="s">
        <v>1413</v>
      </c>
      <c r="B10" s="21" t="s">
        <v>1414</v>
      </c>
      <c r="C10" s="21" t="s">
        <v>46</v>
      </c>
      <c r="D10" s="21">
        <v>2.17</v>
      </c>
      <c r="E10" s="21">
        <v>2.21</v>
      </c>
      <c r="F10" s="21">
        <v>2.19</v>
      </c>
      <c r="G10" s="21">
        <v>2.36</v>
      </c>
      <c r="H10" s="21">
        <v>3.23</v>
      </c>
      <c r="I10" s="21">
        <v>3.45</v>
      </c>
      <c r="J10" s="21">
        <v>3.59</v>
      </c>
      <c r="K10" s="21">
        <v>3.97</v>
      </c>
      <c r="L10" s="21">
        <v>4.29</v>
      </c>
      <c r="M10" s="21">
        <v>5.73</v>
      </c>
      <c r="N10" s="21">
        <v>9.02</v>
      </c>
      <c r="O10" s="21">
        <v>10.84</v>
      </c>
      <c r="P10" s="21">
        <v>10.92</v>
      </c>
      <c r="Q10" s="21">
        <v>10.44</v>
      </c>
      <c r="R10" s="21">
        <v>10.27</v>
      </c>
      <c r="S10" s="21">
        <v>9.99</v>
      </c>
      <c r="T10" s="21">
        <v>8.41</v>
      </c>
      <c r="U10" s="21">
        <v>7.55</v>
      </c>
      <c r="V10" s="21">
        <v>7.41</v>
      </c>
      <c r="W10" s="21">
        <v>8.2799999999999994</v>
      </c>
      <c r="X10" s="21">
        <v>9.32</v>
      </c>
      <c r="Y10" s="21">
        <v>8.7100000000000009</v>
      </c>
      <c r="Z10" s="21">
        <v>8.5399999999999991</v>
      </c>
      <c r="AA10" s="21">
        <v>8.24</v>
      </c>
      <c r="AB10" s="21">
        <v>7.96</v>
      </c>
      <c r="AC10" s="21">
        <v>8.36</v>
      </c>
      <c r="AD10" s="21">
        <v>9.2899999999999991</v>
      </c>
      <c r="AE10" s="21">
        <v>9.39</v>
      </c>
      <c r="AF10" s="21">
        <v>8.11</v>
      </c>
      <c r="AG10" s="21">
        <v>8.81</v>
      </c>
      <c r="AH10" s="21">
        <v>10.87</v>
      </c>
      <c r="AI10" s="21">
        <v>11.01</v>
      </c>
      <c r="AJ10" s="21">
        <v>10.72</v>
      </c>
      <c r="AK10" s="21">
        <v>12.42</v>
      </c>
      <c r="AL10" s="21">
        <v>15.13</v>
      </c>
      <c r="AM10" s="21">
        <v>18.559999999999999</v>
      </c>
      <c r="AN10" s="21">
        <v>22.31</v>
      </c>
      <c r="AO10" s="21">
        <v>23.7</v>
      </c>
      <c r="AP10" s="21">
        <v>27.23</v>
      </c>
      <c r="AQ10" s="21">
        <v>20.32</v>
      </c>
      <c r="AR10" s="21">
        <v>25.19</v>
      </c>
      <c r="AS10" s="21">
        <v>31.64</v>
      </c>
      <c r="AT10" s="21">
        <v>33.04</v>
      </c>
      <c r="AU10" s="21">
        <v>32.71</v>
      </c>
      <c r="AV10" s="21">
        <v>33.159999999999997</v>
      </c>
      <c r="AW10" s="21">
        <v>24.86</v>
      </c>
      <c r="AX10" s="21">
        <v>21.62</v>
      </c>
      <c r="AY10" s="21">
        <v>24.13</v>
      </c>
      <c r="AZ10" s="21">
        <v>27.04</v>
      </c>
      <c r="BA10" s="21">
        <v>25.57</v>
      </c>
      <c r="BB10" s="21">
        <v>22.34</v>
      </c>
      <c r="BC10" s="21">
        <v>28.86</v>
      </c>
    </row>
    <row r="11" spans="1:55" x14ac:dyDescent="0.2">
      <c r="A11" s="21" t="s">
        <v>1413</v>
      </c>
      <c r="B11" s="21" t="s">
        <v>1414</v>
      </c>
      <c r="C11" s="21" t="s">
        <v>49</v>
      </c>
      <c r="D11" s="21">
        <v>218</v>
      </c>
      <c r="E11" s="21">
        <v>199.8</v>
      </c>
      <c r="F11" s="21">
        <v>187.5</v>
      </c>
      <c r="G11" s="21">
        <v>196.8</v>
      </c>
      <c r="H11" s="21">
        <v>264.7</v>
      </c>
      <c r="I11" s="21">
        <v>244.7</v>
      </c>
      <c r="J11" s="21">
        <v>241.9</v>
      </c>
      <c r="K11" s="21">
        <v>279.10000000000002</v>
      </c>
      <c r="L11" s="21">
        <v>306.8</v>
      </c>
      <c r="M11" s="21">
        <v>403.1</v>
      </c>
      <c r="N11" s="21">
        <v>580.29999999999995</v>
      </c>
      <c r="O11" s="21">
        <v>610</v>
      </c>
      <c r="P11" s="21">
        <v>512.79999999999995</v>
      </c>
      <c r="Q11" s="21">
        <v>497.8</v>
      </c>
      <c r="R11" s="21">
        <v>450.5</v>
      </c>
      <c r="S11" s="21">
        <v>502.9</v>
      </c>
      <c r="T11" s="21">
        <v>495.7</v>
      </c>
      <c r="U11" s="21">
        <v>344.4</v>
      </c>
      <c r="V11" s="21">
        <v>363.2</v>
      </c>
      <c r="W11" s="21">
        <v>394</v>
      </c>
      <c r="X11" s="21">
        <v>419.1</v>
      </c>
      <c r="Y11" s="21">
        <v>363.4</v>
      </c>
      <c r="Z11" s="21">
        <v>350.8</v>
      </c>
      <c r="AA11" s="21">
        <v>316.3</v>
      </c>
      <c r="AB11" s="21">
        <v>303.7</v>
      </c>
      <c r="AC11" s="21">
        <v>331</v>
      </c>
      <c r="AD11" s="21">
        <v>346.9</v>
      </c>
      <c r="AE11" s="21">
        <v>372.6</v>
      </c>
      <c r="AF11" s="21">
        <v>288</v>
      </c>
      <c r="AG11" s="21">
        <v>345.1</v>
      </c>
      <c r="AH11" s="21">
        <v>394.3</v>
      </c>
      <c r="AI11" s="21">
        <v>384.6</v>
      </c>
      <c r="AJ11" s="21">
        <v>361.5</v>
      </c>
      <c r="AK11" s="21">
        <v>375.4</v>
      </c>
      <c r="AL11" s="21">
        <v>472.8</v>
      </c>
      <c r="AM11" s="21">
        <v>656.5</v>
      </c>
      <c r="AN11" s="21">
        <v>746.4</v>
      </c>
      <c r="AO11" s="21">
        <v>748.8</v>
      </c>
      <c r="AP11" s="21">
        <v>770.2</v>
      </c>
      <c r="AQ11" s="21">
        <v>539.6</v>
      </c>
      <c r="AR11" s="21">
        <v>681.4</v>
      </c>
      <c r="AS11" s="21">
        <v>856.1</v>
      </c>
      <c r="AT11" s="21">
        <v>829.7</v>
      </c>
      <c r="AU11" s="21">
        <v>731.4</v>
      </c>
      <c r="AV11" s="21">
        <v>719.5</v>
      </c>
      <c r="AW11" s="21">
        <v>525.6</v>
      </c>
      <c r="AX11" s="21">
        <v>442.5</v>
      </c>
      <c r="AY11" s="21">
        <v>505.5</v>
      </c>
      <c r="AZ11" s="21">
        <v>605.5</v>
      </c>
      <c r="BA11" s="21">
        <v>598</v>
      </c>
      <c r="BB11" s="21">
        <v>451.3</v>
      </c>
      <c r="BC11" s="21">
        <v>622</v>
      </c>
    </row>
    <row r="12" spans="1:55" x14ac:dyDescent="0.2">
      <c r="A12" s="21" t="s">
        <v>1413</v>
      </c>
      <c r="B12" s="21" t="s">
        <v>1414</v>
      </c>
      <c r="C12" s="21" t="s">
        <v>53</v>
      </c>
      <c r="D12" s="21">
        <v>2.17</v>
      </c>
      <c r="E12" s="21">
        <v>2.21</v>
      </c>
      <c r="F12" s="21">
        <v>2.19</v>
      </c>
      <c r="G12" s="21">
        <v>2.36</v>
      </c>
      <c r="H12" s="21">
        <v>3.23</v>
      </c>
      <c r="I12" s="21">
        <v>3.45</v>
      </c>
      <c r="J12" s="21">
        <v>3.59</v>
      </c>
      <c r="K12" s="21">
        <v>3.97</v>
      </c>
      <c r="L12" s="21">
        <v>4.29</v>
      </c>
      <c r="M12" s="21">
        <v>5.73</v>
      </c>
      <c r="N12" s="21">
        <v>9.02</v>
      </c>
      <c r="O12" s="21">
        <v>10.84</v>
      </c>
      <c r="P12" s="21">
        <v>10.92</v>
      </c>
      <c r="Q12" s="21">
        <v>10.44</v>
      </c>
      <c r="R12" s="21">
        <v>10.27</v>
      </c>
      <c r="S12" s="21">
        <v>9.99</v>
      </c>
      <c r="T12" s="21">
        <v>8.41</v>
      </c>
      <c r="U12" s="21">
        <v>7.55</v>
      </c>
      <c r="V12" s="21">
        <v>7.41</v>
      </c>
      <c r="W12" s="21">
        <v>8.2799999999999994</v>
      </c>
      <c r="X12" s="21">
        <v>9.32</v>
      </c>
      <c r="Y12" s="21">
        <v>8.7100000000000009</v>
      </c>
      <c r="Z12" s="21">
        <v>8.5399999999999991</v>
      </c>
      <c r="AA12" s="21">
        <v>8.24</v>
      </c>
      <c r="AB12" s="21">
        <v>7.96</v>
      </c>
      <c r="AC12" s="21">
        <v>8.36</v>
      </c>
      <c r="AD12" s="21">
        <v>9.2899999999999991</v>
      </c>
      <c r="AE12" s="21">
        <v>9.39</v>
      </c>
      <c r="AF12" s="21">
        <v>8.11</v>
      </c>
      <c r="AG12" s="21">
        <v>8.81</v>
      </c>
      <c r="AH12" s="21">
        <v>10.87</v>
      </c>
      <c r="AI12" s="21">
        <v>11.01</v>
      </c>
      <c r="AJ12" s="21">
        <v>10.72</v>
      </c>
      <c r="AK12" s="21">
        <v>12.42</v>
      </c>
      <c r="AL12" s="21">
        <v>15.13</v>
      </c>
      <c r="AM12" s="21">
        <v>18.559999999999999</v>
      </c>
      <c r="AN12" s="21">
        <v>22.31</v>
      </c>
      <c r="AO12" s="21">
        <v>23.7</v>
      </c>
      <c r="AP12" s="21">
        <v>27.23</v>
      </c>
      <c r="AQ12" s="21">
        <v>20.32</v>
      </c>
      <c r="AR12" s="21">
        <v>25.19</v>
      </c>
      <c r="AS12" s="21">
        <v>31.64</v>
      </c>
      <c r="AT12" s="21">
        <v>33.04</v>
      </c>
      <c r="AU12" s="21">
        <v>32.71</v>
      </c>
      <c r="AV12" s="21">
        <v>33.159999999999997</v>
      </c>
      <c r="AW12" s="21">
        <v>24.86</v>
      </c>
      <c r="AX12" s="21">
        <v>21.62</v>
      </c>
      <c r="AY12" s="21">
        <v>24.13</v>
      </c>
      <c r="AZ12" s="21">
        <v>27.04</v>
      </c>
      <c r="BA12" s="21">
        <v>25.57</v>
      </c>
      <c r="BB12" s="21">
        <v>22.34</v>
      </c>
      <c r="BC12" s="21">
        <v>28.86</v>
      </c>
    </row>
    <row r="13" spans="1:55" x14ac:dyDescent="0.2">
      <c r="A13" s="21" t="s">
        <v>1413</v>
      </c>
      <c r="B13" s="21" t="s">
        <v>1414</v>
      </c>
      <c r="C13" s="21" t="s">
        <v>56</v>
      </c>
      <c r="D13" s="21">
        <v>218</v>
      </c>
      <c r="E13" s="21">
        <v>199.8</v>
      </c>
      <c r="F13" s="21">
        <v>187.5</v>
      </c>
      <c r="G13" s="21">
        <v>196.8</v>
      </c>
      <c r="H13" s="21">
        <v>264.7</v>
      </c>
      <c r="I13" s="21">
        <v>244.7</v>
      </c>
      <c r="J13" s="21">
        <v>241.9</v>
      </c>
      <c r="K13" s="21">
        <v>279.10000000000002</v>
      </c>
      <c r="L13" s="21">
        <v>306.8</v>
      </c>
      <c r="M13" s="21">
        <v>403.1</v>
      </c>
      <c r="N13" s="21">
        <v>580.29999999999995</v>
      </c>
      <c r="O13" s="21">
        <v>610</v>
      </c>
      <c r="P13" s="21">
        <v>512.79999999999995</v>
      </c>
      <c r="Q13" s="21">
        <v>497.8</v>
      </c>
      <c r="R13" s="21">
        <v>450.5</v>
      </c>
      <c r="S13" s="21">
        <v>502.9</v>
      </c>
      <c r="T13" s="21">
        <v>495.7</v>
      </c>
      <c r="U13" s="21">
        <v>344.4</v>
      </c>
      <c r="V13" s="21">
        <v>363.2</v>
      </c>
      <c r="W13" s="21">
        <v>394</v>
      </c>
      <c r="X13" s="21">
        <v>419.1</v>
      </c>
      <c r="Y13" s="21">
        <v>363.4</v>
      </c>
      <c r="Z13" s="21">
        <v>350.8</v>
      </c>
      <c r="AA13" s="21">
        <v>316.3</v>
      </c>
      <c r="AB13" s="21">
        <v>303.7</v>
      </c>
      <c r="AC13" s="21">
        <v>331</v>
      </c>
      <c r="AD13" s="21">
        <v>346.9</v>
      </c>
      <c r="AE13" s="21">
        <v>372.6</v>
      </c>
      <c r="AF13" s="21">
        <v>288</v>
      </c>
      <c r="AG13" s="21">
        <v>345.1</v>
      </c>
      <c r="AH13" s="21">
        <v>394.3</v>
      </c>
      <c r="AI13" s="21">
        <v>384.6</v>
      </c>
      <c r="AJ13" s="21">
        <v>361.5</v>
      </c>
      <c r="AK13" s="21">
        <v>375.4</v>
      </c>
      <c r="AL13" s="21">
        <v>472.8</v>
      </c>
      <c r="AM13" s="21">
        <v>656.5</v>
      </c>
      <c r="AN13" s="21">
        <v>746.4</v>
      </c>
      <c r="AO13" s="21">
        <v>748.8</v>
      </c>
      <c r="AP13" s="21">
        <v>770.2</v>
      </c>
      <c r="AQ13" s="21">
        <v>539.6</v>
      </c>
      <c r="AR13" s="21">
        <v>681.4</v>
      </c>
      <c r="AS13" s="21">
        <v>856.1</v>
      </c>
      <c r="AT13" s="21">
        <v>829.7</v>
      </c>
      <c r="AU13" s="21">
        <v>731.4</v>
      </c>
      <c r="AV13" s="21">
        <v>719.5</v>
      </c>
      <c r="AW13" s="21">
        <v>525.6</v>
      </c>
      <c r="AX13" s="21">
        <v>442.5</v>
      </c>
      <c r="AY13" s="21">
        <v>505.5</v>
      </c>
      <c r="AZ13" s="21">
        <v>605.5</v>
      </c>
      <c r="BA13" s="21">
        <v>598</v>
      </c>
      <c r="BB13" s="21">
        <v>451.3</v>
      </c>
      <c r="BC13" s="21">
        <v>622</v>
      </c>
    </row>
    <row r="14" spans="1:55" x14ac:dyDescent="0.2">
      <c r="A14" s="21" t="s">
        <v>1413</v>
      </c>
      <c r="B14" s="21" t="s">
        <v>1414</v>
      </c>
      <c r="C14" s="21" t="s">
        <v>116</v>
      </c>
      <c r="D14" s="21">
        <v>1.27</v>
      </c>
      <c r="E14" s="21">
        <v>1.2</v>
      </c>
      <c r="F14" s="21">
        <v>1.01</v>
      </c>
      <c r="G14" s="21">
        <v>0.96</v>
      </c>
      <c r="H14" s="21">
        <v>1.37</v>
      </c>
      <c r="I14" s="21">
        <v>2.37</v>
      </c>
      <c r="J14" s="21">
        <v>2.0499999999999998</v>
      </c>
      <c r="K14" s="21">
        <v>2.3199999999999998</v>
      </c>
      <c r="L14" s="21">
        <v>2.87</v>
      </c>
      <c r="M14" s="21">
        <v>2.2599999999999998</v>
      </c>
      <c r="N14" s="21">
        <v>2.54</v>
      </c>
      <c r="O14" s="21">
        <v>2.5499999999999998</v>
      </c>
      <c r="P14" s="21">
        <v>2.4900000000000002</v>
      </c>
      <c r="Q14" s="21">
        <v>2.76</v>
      </c>
      <c r="R14" s="21">
        <v>2.68</v>
      </c>
      <c r="S14" s="21">
        <v>2.76</v>
      </c>
      <c r="T14" s="21">
        <v>2.63</v>
      </c>
      <c r="U14" s="21">
        <v>3.37</v>
      </c>
      <c r="V14" s="21">
        <v>2.85</v>
      </c>
      <c r="W14" s="21">
        <v>2.98</v>
      </c>
      <c r="X14" s="21">
        <v>3.53</v>
      </c>
      <c r="Y14" s="21">
        <v>2.86</v>
      </c>
      <c r="Z14" s="21">
        <v>2.78</v>
      </c>
      <c r="AA14" s="21">
        <v>2.88</v>
      </c>
      <c r="AB14" s="21">
        <v>2.46</v>
      </c>
      <c r="AC14" s="21">
        <v>2.71</v>
      </c>
      <c r="AD14" s="21">
        <v>2.2000000000000002</v>
      </c>
      <c r="AE14" s="21">
        <v>2.64</v>
      </c>
      <c r="AF14" s="21">
        <v>3.73</v>
      </c>
      <c r="AG14" s="21">
        <v>3.88</v>
      </c>
      <c r="AH14" s="21">
        <v>3.64</v>
      </c>
      <c r="AI14" s="21">
        <v>3.27</v>
      </c>
      <c r="AJ14" s="21">
        <v>3.25</v>
      </c>
      <c r="AK14" s="21">
        <v>3.88</v>
      </c>
      <c r="AL14" s="21">
        <v>3.28</v>
      </c>
      <c r="AM14" s="21">
        <v>3.39</v>
      </c>
      <c r="AN14" s="21">
        <v>3.19</v>
      </c>
      <c r="AO14" s="21">
        <v>3.66</v>
      </c>
      <c r="AP14" s="21">
        <v>4.33</v>
      </c>
      <c r="AQ14" s="21">
        <v>4.17</v>
      </c>
      <c r="AR14" s="21">
        <v>6.74</v>
      </c>
      <c r="AS14" s="21">
        <v>8.75</v>
      </c>
      <c r="AT14" s="21">
        <v>8.65</v>
      </c>
      <c r="AU14" s="21">
        <v>8.91</v>
      </c>
      <c r="AV14" s="21">
        <v>9.94</v>
      </c>
      <c r="AW14" s="21">
        <v>9.2799999999999994</v>
      </c>
      <c r="AX14" s="21">
        <v>8.75</v>
      </c>
      <c r="AY14" s="21">
        <v>9.32</v>
      </c>
      <c r="AZ14" s="21">
        <v>10.53</v>
      </c>
      <c r="BA14" s="21">
        <v>11.29</v>
      </c>
      <c r="BB14" s="21">
        <v>10.56</v>
      </c>
      <c r="BC14" s="21">
        <v>10.1</v>
      </c>
    </row>
    <row r="15" spans="1:55" x14ac:dyDescent="0.2">
      <c r="A15" s="21" t="s">
        <v>1413</v>
      </c>
      <c r="B15" s="21" t="s">
        <v>1414</v>
      </c>
      <c r="C15" s="21" t="s">
        <v>120</v>
      </c>
      <c r="D15" s="21">
        <v>78.3</v>
      </c>
      <c r="E15" s="21">
        <v>44.8</v>
      </c>
      <c r="F15" s="21">
        <v>30.7</v>
      </c>
      <c r="G15" s="21">
        <v>33.1</v>
      </c>
      <c r="H15" s="21">
        <v>43.6</v>
      </c>
      <c r="I15" s="21">
        <v>74.7</v>
      </c>
      <c r="J15" s="21">
        <v>66.7</v>
      </c>
      <c r="K15" s="21">
        <v>71.5</v>
      </c>
      <c r="L15" s="21">
        <v>49.3</v>
      </c>
      <c r="M15" s="21">
        <v>80.8</v>
      </c>
      <c r="N15" s="21">
        <v>130.4</v>
      </c>
      <c r="O15" s="21">
        <v>74</v>
      </c>
      <c r="P15" s="21">
        <v>61.4</v>
      </c>
      <c r="Q15" s="21">
        <v>45.6</v>
      </c>
      <c r="R15" s="21">
        <v>69.5</v>
      </c>
      <c r="S15" s="21">
        <v>76.8</v>
      </c>
      <c r="T15" s="21">
        <v>65.5</v>
      </c>
      <c r="U15" s="21">
        <v>48</v>
      </c>
      <c r="V15" s="21">
        <v>77.099999999999994</v>
      </c>
      <c r="W15" s="21">
        <v>80.2</v>
      </c>
      <c r="X15" s="21">
        <v>50.1</v>
      </c>
      <c r="Y15" s="21">
        <v>56.1</v>
      </c>
      <c r="Z15" s="21">
        <v>48.5</v>
      </c>
      <c r="AA15" s="21">
        <v>76</v>
      </c>
      <c r="AB15" s="21">
        <v>60.1</v>
      </c>
      <c r="AC15" s="21">
        <v>91.2</v>
      </c>
      <c r="AD15" s="21">
        <v>88.4</v>
      </c>
      <c r="AE15" s="21">
        <v>82.9</v>
      </c>
      <c r="AF15" s="21">
        <v>104.3</v>
      </c>
      <c r="AG15" s="21">
        <v>86.3</v>
      </c>
      <c r="AH15" s="21">
        <v>103.4</v>
      </c>
      <c r="AI15" s="21">
        <v>109.1</v>
      </c>
      <c r="AJ15" s="21">
        <v>63.8</v>
      </c>
      <c r="AK15" s="21">
        <v>69.5</v>
      </c>
      <c r="AL15" s="21">
        <v>107.4</v>
      </c>
      <c r="AM15" s="21">
        <v>147</v>
      </c>
      <c r="AN15" s="21">
        <v>127.8</v>
      </c>
      <c r="AO15" s="21">
        <v>131</v>
      </c>
      <c r="AP15" s="21">
        <v>210.4</v>
      </c>
      <c r="AQ15" s="21">
        <v>135.19999999999999</v>
      </c>
      <c r="AR15" s="21">
        <v>244.7</v>
      </c>
      <c r="AS15" s="21">
        <v>210.4</v>
      </c>
      <c r="AT15" s="21">
        <v>209.1</v>
      </c>
      <c r="AU15" s="21">
        <v>185.5</v>
      </c>
      <c r="AV15" s="21">
        <v>233.2</v>
      </c>
      <c r="AW15" s="21">
        <v>197.1</v>
      </c>
      <c r="AX15" s="21">
        <v>216.9</v>
      </c>
      <c r="AY15" s="21">
        <v>280.2</v>
      </c>
      <c r="AZ15" s="21">
        <v>300.60000000000002</v>
      </c>
      <c r="BA15" s="21">
        <v>270.8</v>
      </c>
      <c r="BB15" s="21">
        <v>178.9</v>
      </c>
      <c r="BC15" s="21">
        <v>521.1</v>
      </c>
    </row>
    <row r="16" spans="1:55" x14ac:dyDescent="0.2">
      <c r="A16" s="21" t="s">
        <v>1413</v>
      </c>
      <c r="B16" s="21" t="s">
        <v>1414</v>
      </c>
      <c r="C16" s="21" t="s">
        <v>124</v>
      </c>
      <c r="D16" s="21">
        <v>0.93</v>
      </c>
      <c r="E16" s="21">
        <v>1.17</v>
      </c>
      <c r="F16" s="21">
        <v>1.01</v>
      </c>
      <c r="G16" s="21">
        <v>1.47</v>
      </c>
      <c r="H16" s="21">
        <v>2.2000000000000002</v>
      </c>
      <c r="I16" s="21">
        <v>3.47</v>
      </c>
      <c r="J16" s="21">
        <v>3.41</v>
      </c>
      <c r="K16" s="21">
        <v>3.06</v>
      </c>
      <c r="L16" s="21">
        <v>2.9</v>
      </c>
      <c r="M16" s="21">
        <v>3.45</v>
      </c>
      <c r="N16" s="21">
        <v>3.19</v>
      </c>
      <c r="O16" s="21">
        <v>3.28</v>
      </c>
      <c r="P16" s="21">
        <v>3.1</v>
      </c>
      <c r="Q16" s="21">
        <v>2.25</v>
      </c>
      <c r="R16" s="21">
        <v>3.27</v>
      </c>
      <c r="S16" s="21">
        <v>2.99</v>
      </c>
      <c r="T16" s="21">
        <v>3.11</v>
      </c>
      <c r="U16" s="21">
        <v>2.4</v>
      </c>
      <c r="V16" s="21">
        <v>2.9</v>
      </c>
      <c r="W16" s="21">
        <v>3.79</v>
      </c>
      <c r="X16" s="21">
        <v>3.8</v>
      </c>
      <c r="Y16" s="21">
        <v>3.41</v>
      </c>
      <c r="Z16" s="21">
        <v>3.35</v>
      </c>
      <c r="AA16" s="21">
        <v>3.22</v>
      </c>
      <c r="AB16" s="21">
        <v>3.31</v>
      </c>
      <c r="AC16" s="21">
        <v>3.43</v>
      </c>
      <c r="AD16" s="21">
        <v>3.87</v>
      </c>
      <c r="AE16" s="21">
        <v>3.25</v>
      </c>
      <c r="AF16" s="21">
        <v>3.07</v>
      </c>
      <c r="AG16" s="21">
        <v>2.83</v>
      </c>
      <c r="AH16" s="21">
        <v>2.66</v>
      </c>
      <c r="AI16" s="21">
        <v>3.04</v>
      </c>
      <c r="AJ16" s="21">
        <v>3.04</v>
      </c>
      <c r="AK16" s="21">
        <v>3.49</v>
      </c>
      <c r="AL16" s="21">
        <v>7.23</v>
      </c>
      <c r="AM16" s="21">
        <v>8.92</v>
      </c>
      <c r="AN16" s="21">
        <v>6.31</v>
      </c>
      <c r="AO16" s="21">
        <v>7.84</v>
      </c>
      <c r="AP16" s="21">
        <v>18.760000000000002</v>
      </c>
      <c r="AQ16" s="21">
        <v>10.82</v>
      </c>
      <c r="AR16" s="21">
        <v>13.37</v>
      </c>
      <c r="AS16" s="21">
        <v>15.71</v>
      </c>
      <c r="AT16" s="21">
        <v>13.64</v>
      </c>
      <c r="AU16" s="21">
        <v>8.5500000000000007</v>
      </c>
      <c r="AV16" s="21">
        <v>4.7300000000000004</v>
      </c>
      <c r="AW16" s="21">
        <v>5.9</v>
      </c>
      <c r="AX16" s="21">
        <v>5.78</v>
      </c>
      <c r="AY16" s="21">
        <v>7.11</v>
      </c>
      <c r="AZ16" s="21">
        <v>10.66</v>
      </c>
      <c r="BA16" s="21">
        <v>12.34</v>
      </c>
      <c r="BB16" s="21">
        <v>10.220000000000001</v>
      </c>
      <c r="BC16" s="21">
        <v>10.8</v>
      </c>
    </row>
    <row r="17" spans="1:55" x14ac:dyDescent="0.2">
      <c r="A17" s="21" t="s">
        <v>1413</v>
      </c>
      <c r="B17" s="21" t="s">
        <v>1414</v>
      </c>
      <c r="C17" s="21" t="s">
        <v>127</v>
      </c>
      <c r="D17" s="21">
        <v>3.5</v>
      </c>
      <c r="E17" s="21">
        <v>5</v>
      </c>
      <c r="F17" s="21">
        <v>4.5999999999999996</v>
      </c>
      <c r="G17" s="21">
        <v>39.9</v>
      </c>
      <c r="H17" s="21">
        <v>193.1</v>
      </c>
      <c r="I17" s="21">
        <v>156.5</v>
      </c>
      <c r="J17" s="21">
        <v>111</v>
      </c>
      <c r="K17" s="21">
        <v>138.69999999999999</v>
      </c>
      <c r="L17" s="21">
        <v>411</v>
      </c>
      <c r="M17" s="21">
        <v>340.1</v>
      </c>
      <c r="N17" s="21">
        <v>52.1</v>
      </c>
      <c r="O17" s="21">
        <v>42.8</v>
      </c>
      <c r="P17" s="21">
        <v>9.1999999999999993</v>
      </c>
      <c r="Q17" s="21">
        <v>2</v>
      </c>
      <c r="R17" s="21">
        <v>47.1</v>
      </c>
      <c r="S17" s="21">
        <v>42.9</v>
      </c>
      <c r="T17" s="21">
        <v>25.4</v>
      </c>
      <c r="U17" s="21">
        <v>54.9</v>
      </c>
      <c r="V17" s="21">
        <v>193.5</v>
      </c>
      <c r="W17" s="21">
        <v>217.4</v>
      </c>
      <c r="X17" s="21">
        <v>72.099999999999994</v>
      </c>
      <c r="Y17" s="21">
        <v>100.1</v>
      </c>
      <c r="Z17" s="21">
        <v>174.4</v>
      </c>
      <c r="AA17" s="21">
        <v>172.3</v>
      </c>
      <c r="AB17" s="21">
        <v>274.3</v>
      </c>
      <c r="AC17" s="21">
        <v>325.10000000000002</v>
      </c>
      <c r="AD17" s="21">
        <v>244</v>
      </c>
      <c r="AE17" s="21">
        <v>253.1</v>
      </c>
      <c r="AF17" s="21">
        <v>292.2</v>
      </c>
      <c r="AG17" s="21">
        <v>226.4</v>
      </c>
      <c r="AH17" s="21">
        <v>249.3</v>
      </c>
      <c r="AI17" s="21">
        <v>190.6</v>
      </c>
      <c r="AJ17" s="21">
        <v>244.3</v>
      </c>
      <c r="AK17" s="21">
        <v>238.7</v>
      </c>
      <c r="AL17" s="21">
        <v>1232</v>
      </c>
      <c r="AM17" s="21">
        <v>780.4</v>
      </c>
      <c r="AN17" s="21">
        <v>636.29999999999995</v>
      </c>
      <c r="AO17" s="21">
        <v>478.4</v>
      </c>
      <c r="AP17" s="21">
        <v>1675.9</v>
      </c>
      <c r="AQ17" s="21">
        <v>93</v>
      </c>
      <c r="AR17" s="21">
        <v>402.7</v>
      </c>
      <c r="AS17" s="21">
        <v>552.20000000000005</v>
      </c>
      <c r="AT17" s="21">
        <v>383.8</v>
      </c>
      <c r="AU17" s="21">
        <v>29.2</v>
      </c>
      <c r="AV17" s="21">
        <v>9</v>
      </c>
      <c r="AW17" s="21">
        <v>20.5</v>
      </c>
      <c r="AX17" s="21">
        <v>32.700000000000003</v>
      </c>
      <c r="AY17" s="21">
        <v>10.3</v>
      </c>
      <c r="AZ17" s="21">
        <v>30.9</v>
      </c>
      <c r="BA17" s="21">
        <v>35.4</v>
      </c>
      <c r="BB17" s="21">
        <v>41</v>
      </c>
      <c r="BC17" s="21">
        <v>31.4</v>
      </c>
    </row>
    <row r="18" spans="1:55" x14ac:dyDescent="0.2">
      <c r="A18" s="21" t="s">
        <v>1413</v>
      </c>
      <c r="B18" s="21" t="s">
        <v>1414</v>
      </c>
      <c r="C18" s="21" t="s">
        <v>132</v>
      </c>
      <c r="D18" s="21">
        <v>-74.8</v>
      </c>
      <c r="E18" s="21">
        <v>-39.799999999999997</v>
      </c>
      <c r="F18" s="21">
        <v>-26.1</v>
      </c>
      <c r="G18" s="21">
        <v>6.8</v>
      </c>
      <c r="H18" s="21">
        <v>149.6</v>
      </c>
      <c r="I18" s="21">
        <v>81.8</v>
      </c>
      <c r="J18" s="21">
        <v>44.3</v>
      </c>
      <c r="K18" s="21">
        <v>67.2</v>
      </c>
      <c r="L18" s="21">
        <v>361.7</v>
      </c>
      <c r="M18" s="21">
        <v>259.3</v>
      </c>
      <c r="N18" s="21">
        <v>-78.3</v>
      </c>
      <c r="O18" s="21">
        <v>-31.2</v>
      </c>
      <c r="P18" s="21">
        <v>-52.2</v>
      </c>
      <c r="Q18" s="21">
        <v>-43.7</v>
      </c>
      <c r="R18" s="21">
        <v>-22.4</v>
      </c>
      <c r="S18" s="21">
        <v>-33.9</v>
      </c>
      <c r="T18" s="21">
        <v>-40.1</v>
      </c>
      <c r="U18" s="21">
        <v>6.9</v>
      </c>
      <c r="V18" s="21">
        <v>116.4</v>
      </c>
      <c r="W18" s="21">
        <v>137.19999999999999</v>
      </c>
      <c r="X18" s="21">
        <v>22</v>
      </c>
      <c r="Y18" s="21">
        <v>44</v>
      </c>
      <c r="Z18" s="21">
        <v>125.9</v>
      </c>
      <c r="AA18" s="21">
        <v>96.4</v>
      </c>
      <c r="AB18" s="21">
        <v>214.2</v>
      </c>
      <c r="AC18" s="21">
        <v>233.8</v>
      </c>
      <c r="AD18" s="21">
        <v>155.6</v>
      </c>
      <c r="AE18" s="21">
        <v>170.2</v>
      </c>
      <c r="AF18" s="21">
        <v>187.9</v>
      </c>
      <c r="AG18" s="21">
        <v>140</v>
      </c>
      <c r="AH18" s="21">
        <v>145.9</v>
      </c>
      <c r="AI18" s="21">
        <v>81.5</v>
      </c>
      <c r="AJ18" s="21">
        <v>180.5</v>
      </c>
      <c r="AK18" s="21">
        <v>169.1</v>
      </c>
      <c r="AL18" s="21">
        <v>1124.5999999999999</v>
      </c>
      <c r="AM18" s="21">
        <v>633.4</v>
      </c>
      <c r="AN18" s="21">
        <v>508.5</v>
      </c>
      <c r="AO18" s="21">
        <v>347.3</v>
      </c>
      <c r="AP18" s="21">
        <v>1465.5</v>
      </c>
      <c r="AQ18" s="21">
        <v>-42.2</v>
      </c>
      <c r="AR18" s="21">
        <v>158</v>
      </c>
      <c r="AS18" s="21">
        <v>341.8</v>
      </c>
      <c r="AT18" s="21">
        <v>174.7</v>
      </c>
      <c r="AU18" s="21">
        <v>-156.4</v>
      </c>
      <c r="AV18" s="21">
        <v>-224.2</v>
      </c>
      <c r="AW18" s="21">
        <v>-176.6</v>
      </c>
      <c r="AX18" s="21">
        <v>-184.2</v>
      </c>
      <c r="AY18" s="21">
        <v>-269.8</v>
      </c>
      <c r="AZ18" s="21">
        <v>-269.7</v>
      </c>
      <c r="BA18" s="21">
        <v>-235.4</v>
      </c>
      <c r="BB18" s="21">
        <v>-137.9</v>
      </c>
      <c r="BC18" s="21">
        <v>-489.7</v>
      </c>
    </row>
    <row r="19" spans="1:55" x14ac:dyDescent="0.2">
      <c r="A19" s="21" t="s">
        <v>1413</v>
      </c>
      <c r="B19" s="21" t="s">
        <v>1414</v>
      </c>
      <c r="C19" s="21" t="s">
        <v>136</v>
      </c>
      <c r="D19" s="21">
        <v>0.41</v>
      </c>
      <c r="E19" s="21">
        <v>0.46</v>
      </c>
      <c r="F19" s="21">
        <v>0.48</v>
      </c>
      <c r="G19" s="21">
        <v>0.5</v>
      </c>
      <c r="H19" s="21">
        <v>0.96</v>
      </c>
      <c r="I19" s="21">
        <v>1.26</v>
      </c>
      <c r="J19" s="21">
        <v>1.21</v>
      </c>
      <c r="K19" s="21">
        <v>1.27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</row>
    <row r="20" spans="1:55" x14ac:dyDescent="0.2">
      <c r="A20" s="21" t="s">
        <v>1413</v>
      </c>
      <c r="B20" s="21" t="s">
        <v>1414</v>
      </c>
      <c r="C20" s="21" t="s">
        <v>142</v>
      </c>
      <c r="D20" s="21">
        <v>2.8</v>
      </c>
      <c r="E20" s="21">
        <v>2.2000000000000002</v>
      </c>
      <c r="F20" s="21">
        <v>1.8</v>
      </c>
      <c r="G20" s="21">
        <v>1.3</v>
      </c>
      <c r="H20" s="21">
        <v>1.7</v>
      </c>
      <c r="I20" s="21">
        <v>0.7</v>
      </c>
      <c r="J20" s="21">
        <v>0.3</v>
      </c>
      <c r="K20" s="21">
        <v>0.3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</row>
    <row r="21" spans="1:55" x14ac:dyDescent="0.2">
      <c r="A21" s="21" t="s">
        <v>1413</v>
      </c>
      <c r="B21" s="21" t="s">
        <v>1414</v>
      </c>
      <c r="C21" s="21" t="s">
        <v>146</v>
      </c>
      <c r="D21" s="21">
        <v>0.44</v>
      </c>
      <c r="E21" s="21">
        <v>0.48</v>
      </c>
      <c r="F21" s="21">
        <v>0.51</v>
      </c>
      <c r="G21" s="21">
        <v>0.52</v>
      </c>
      <c r="H21" s="21">
        <v>1</v>
      </c>
      <c r="I21" s="21">
        <v>1.31</v>
      </c>
      <c r="J21" s="21">
        <v>1.23</v>
      </c>
      <c r="K21" s="21">
        <v>1.3</v>
      </c>
      <c r="L21" s="21">
        <v>1.39</v>
      </c>
      <c r="M21" s="21">
        <v>1.46</v>
      </c>
      <c r="N21" s="21">
        <v>1.53</v>
      </c>
      <c r="O21" s="21">
        <v>1.79</v>
      </c>
      <c r="P21" s="21">
        <v>1.87</v>
      </c>
      <c r="Q21" s="21">
        <v>1.74</v>
      </c>
      <c r="R21" s="21">
        <v>1.77</v>
      </c>
      <c r="S21" s="21">
        <v>1.73</v>
      </c>
      <c r="T21" s="21">
        <v>1.65</v>
      </c>
      <c r="U21" s="21">
        <v>1.52</v>
      </c>
      <c r="V21" s="21">
        <v>1.52</v>
      </c>
      <c r="W21" s="21">
        <v>1.5</v>
      </c>
      <c r="X21" s="21">
        <v>1.61</v>
      </c>
      <c r="Y21" s="21">
        <v>1.57</v>
      </c>
      <c r="Z21" s="21">
        <v>1.58</v>
      </c>
      <c r="AA21" s="21">
        <v>1.59</v>
      </c>
      <c r="AB21" s="21">
        <v>1.55</v>
      </c>
      <c r="AC21" s="21">
        <v>1.54</v>
      </c>
      <c r="AD21" s="21">
        <v>1.49</v>
      </c>
      <c r="AE21" s="21">
        <v>1.5</v>
      </c>
      <c r="AF21" s="21">
        <v>1.49</v>
      </c>
      <c r="AG21" s="21">
        <v>1.49</v>
      </c>
      <c r="AH21" s="21">
        <v>1.43</v>
      </c>
      <c r="AI21" s="21">
        <v>1.55</v>
      </c>
      <c r="AJ21" s="21">
        <v>1.6</v>
      </c>
      <c r="AK21" s="21">
        <v>1.55</v>
      </c>
      <c r="AL21" s="21">
        <v>1.78</v>
      </c>
      <c r="AM21" s="21">
        <v>2.16</v>
      </c>
      <c r="AN21" s="21">
        <v>2.3199999999999998</v>
      </c>
      <c r="AO21" s="21">
        <v>2.36</v>
      </c>
      <c r="AP21" s="21">
        <v>3.75</v>
      </c>
      <c r="AQ21" s="21">
        <v>4.25</v>
      </c>
      <c r="AR21" s="21">
        <v>3.73</v>
      </c>
      <c r="AS21" s="21">
        <v>3.99</v>
      </c>
      <c r="AT21" s="21">
        <v>4.3899999999999997</v>
      </c>
      <c r="AU21" s="21">
        <v>4.18</v>
      </c>
      <c r="AV21" s="21">
        <v>4.03</v>
      </c>
      <c r="AW21" s="21">
        <v>4.1900000000000004</v>
      </c>
      <c r="AX21" s="21">
        <v>4.67</v>
      </c>
      <c r="AY21" s="21">
        <v>5.0599999999999996</v>
      </c>
      <c r="AZ21" s="21">
        <v>5.17</v>
      </c>
      <c r="BA21" s="21">
        <v>5.4</v>
      </c>
      <c r="BB21" s="21">
        <v>6</v>
      </c>
      <c r="BC21" s="21">
        <v>5.93</v>
      </c>
    </row>
    <row r="22" spans="1:55" x14ac:dyDescent="0.2">
      <c r="A22" s="21" t="s">
        <v>1413</v>
      </c>
      <c r="B22" s="21" t="s">
        <v>1414</v>
      </c>
      <c r="C22" s="21" t="s">
        <v>149</v>
      </c>
      <c r="D22" s="21">
        <v>72.400000000000006</v>
      </c>
      <c r="E22" s="21">
        <v>84.9</v>
      </c>
      <c r="F22" s="21">
        <v>77.8</v>
      </c>
      <c r="G22" s="21">
        <v>83.7</v>
      </c>
      <c r="H22" s="21">
        <v>172.9</v>
      </c>
      <c r="I22" s="21">
        <v>191.4</v>
      </c>
      <c r="J22" s="21">
        <v>176.8</v>
      </c>
      <c r="K22" s="21">
        <v>192.4</v>
      </c>
      <c r="L22" s="21">
        <v>229.3</v>
      </c>
      <c r="M22" s="21">
        <v>220.8</v>
      </c>
      <c r="N22" s="21">
        <v>179.1</v>
      </c>
      <c r="O22" s="21">
        <v>245.5</v>
      </c>
      <c r="P22" s="21">
        <v>290.89999999999998</v>
      </c>
      <c r="Q22" s="21">
        <v>282.39999999999998</v>
      </c>
      <c r="R22" s="21">
        <v>299.89999999999998</v>
      </c>
      <c r="S22" s="21">
        <v>238.1</v>
      </c>
      <c r="T22" s="21">
        <v>224.3</v>
      </c>
      <c r="U22" s="21">
        <v>193.1</v>
      </c>
      <c r="V22" s="21">
        <v>199.6</v>
      </c>
      <c r="W22" s="21">
        <v>173.4</v>
      </c>
      <c r="X22" s="21">
        <v>199.8</v>
      </c>
      <c r="Y22" s="21">
        <v>180.8</v>
      </c>
      <c r="Z22" s="21">
        <v>184.6</v>
      </c>
      <c r="AA22" s="21">
        <v>185.3</v>
      </c>
      <c r="AB22" s="21">
        <v>181.5</v>
      </c>
      <c r="AC22" s="21">
        <v>178.6</v>
      </c>
      <c r="AD22" s="21">
        <v>178.8</v>
      </c>
      <c r="AE22" s="21">
        <v>192.6</v>
      </c>
      <c r="AF22" s="21">
        <v>149.6</v>
      </c>
      <c r="AG22" s="21">
        <v>151.5</v>
      </c>
      <c r="AH22" s="21">
        <v>122.7</v>
      </c>
      <c r="AI22" s="21">
        <v>136.5</v>
      </c>
      <c r="AJ22" s="21">
        <v>140.9</v>
      </c>
      <c r="AK22" s="21">
        <v>128.6</v>
      </c>
      <c r="AL22" s="21">
        <v>183</v>
      </c>
      <c r="AM22" s="21">
        <v>207</v>
      </c>
      <c r="AN22" s="21">
        <v>149</v>
      </c>
      <c r="AO22" s="21">
        <v>166.2</v>
      </c>
      <c r="AP22" s="21">
        <v>301.8</v>
      </c>
      <c r="AQ22" s="21">
        <v>311.10000000000002</v>
      </c>
      <c r="AR22" s="21">
        <v>259.39999999999998</v>
      </c>
      <c r="AS22" s="21">
        <v>246.2</v>
      </c>
      <c r="AT22" s="21">
        <v>191.6</v>
      </c>
      <c r="AU22" s="21">
        <v>173.2</v>
      </c>
      <c r="AV22" s="21">
        <v>163.1</v>
      </c>
      <c r="AW22" s="21">
        <v>130.30000000000001</v>
      </c>
      <c r="AX22" s="21">
        <v>112.3</v>
      </c>
      <c r="AY22" s="21">
        <v>105.3</v>
      </c>
      <c r="AZ22" s="21">
        <v>97</v>
      </c>
      <c r="BA22" s="21">
        <v>90.3</v>
      </c>
      <c r="BB22" s="21">
        <v>86.9</v>
      </c>
      <c r="BC22" s="21">
        <v>86.9</v>
      </c>
    </row>
    <row r="23" spans="1:55" x14ac:dyDescent="0.2">
      <c r="A23" s="21" t="s">
        <v>1413</v>
      </c>
      <c r="B23" s="21" t="s">
        <v>1414</v>
      </c>
      <c r="C23" s="21" t="s">
        <v>153</v>
      </c>
      <c r="D23" s="21">
        <v>0.31</v>
      </c>
      <c r="E23" s="21">
        <v>0.36</v>
      </c>
      <c r="F23" s="21">
        <v>0.38</v>
      </c>
      <c r="G23" s="21">
        <v>0.41</v>
      </c>
      <c r="H23" s="21">
        <v>0.71</v>
      </c>
      <c r="I23" s="21">
        <v>0.82</v>
      </c>
      <c r="J23" s="21">
        <v>0.85</v>
      </c>
      <c r="K23" s="21">
        <v>0.95</v>
      </c>
      <c r="L23" s="21">
        <v>1.1200000000000001</v>
      </c>
      <c r="M23" s="21">
        <v>1.22</v>
      </c>
      <c r="N23" s="21">
        <v>1.35</v>
      </c>
      <c r="O23" s="21">
        <v>1.53</v>
      </c>
      <c r="P23" s="21">
        <v>1.65</v>
      </c>
      <c r="Q23" s="21">
        <v>1.66</v>
      </c>
      <c r="R23" s="21">
        <v>1.66</v>
      </c>
      <c r="S23" s="21">
        <v>1.65</v>
      </c>
      <c r="T23" s="21">
        <v>1.58</v>
      </c>
      <c r="U23" s="21">
        <v>1.51</v>
      </c>
      <c r="V23" s="21">
        <v>1.47</v>
      </c>
      <c r="W23" s="21">
        <v>1.45</v>
      </c>
      <c r="X23" s="21">
        <v>1.46</v>
      </c>
      <c r="Y23" s="21">
        <v>1.45</v>
      </c>
      <c r="Z23" s="21">
        <v>1.41</v>
      </c>
      <c r="AA23" s="21">
        <v>1.39</v>
      </c>
      <c r="AB23" s="21">
        <v>1.36</v>
      </c>
      <c r="AC23" s="21">
        <v>1.32</v>
      </c>
      <c r="AD23" s="21">
        <v>1.29</v>
      </c>
      <c r="AE23" s="21">
        <v>1.28</v>
      </c>
      <c r="AF23" s="21">
        <v>1.26</v>
      </c>
      <c r="AG23" s="21">
        <v>1.23</v>
      </c>
      <c r="AH23" s="21">
        <v>1.21</v>
      </c>
      <c r="AI23" s="21">
        <v>1.25</v>
      </c>
      <c r="AJ23" s="21">
        <v>1.25</v>
      </c>
      <c r="AK23" s="21">
        <v>1.27</v>
      </c>
      <c r="AL23" s="21">
        <v>1.35</v>
      </c>
      <c r="AM23" s="21">
        <v>1.53</v>
      </c>
      <c r="AN23" s="21">
        <v>1.68</v>
      </c>
      <c r="AO23" s="21">
        <v>1.78</v>
      </c>
      <c r="AP23" s="21">
        <v>2.09</v>
      </c>
      <c r="AQ23" s="21">
        <v>2.21</v>
      </c>
      <c r="AR23" s="21">
        <v>2.2799999999999998</v>
      </c>
      <c r="AS23" s="21">
        <v>2.38</v>
      </c>
      <c r="AT23" s="21">
        <v>2.39</v>
      </c>
      <c r="AU23" s="21">
        <v>2.36</v>
      </c>
      <c r="AV23" s="21">
        <v>2.37</v>
      </c>
      <c r="AW23" s="21">
        <v>2.23</v>
      </c>
      <c r="AX23" s="21">
        <v>2.14</v>
      </c>
      <c r="AY23" s="21">
        <v>2.08</v>
      </c>
      <c r="AZ23" s="21">
        <v>2.0699999999999998</v>
      </c>
      <c r="BA23" s="21">
        <v>2.06</v>
      </c>
      <c r="BB23" s="21">
        <v>1.96</v>
      </c>
      <c r="BC23" s="21">
        <v>2.0699999999999998</v>
      </c>
    </row>
    <row r="24" spans="1:55" x14ac:dyDescent="0.2">
      <c r="A24" s="21" t="s">
        <v>1413</v>
      </c>
      <c r="B24" s="21" t="s">
        <v>1414</v>
      </c>
      <c r="C24" s="21" t="s">
        <v>158</v>
      </c>
      <c r="D24" s="21">
        <v>2237.1999999999998</v>
      </c>
      <c r="E24" s="21">
        <v>2636.8</v>
      </c>
      <c r="F24" s="21">
        <v>2977.1</v>
      </c>
      <c r="G24" s="21">
        <v>3517.6</v>
      </c>
      <c r="H24" s="21">
        <v>6059.9</v>
      </c>
      <c r="I24" s="21">
        <v>7178.4</v>
      </c>
      <c r="J24" s="21">
        <v>8283.6</v>
      </c>
      <c r="K24" s="21">
        <v>9717.7999999999993</v>
      </c>
      <c r="L24" s="21">
        <v>11472.2</v>
      </c>
      <c r="M24" s="21">
        <v>13805.9</v>
      </c>
      <c r="N24" s="21">
        <v>16449.7</v>
      </c>
      <c r="O24" s="21">
        <v>19365</v>
      </c>
      <c r="P24" s="21">
        <v>20640.599999999999</v>
      </c>
      <c r="Q24" s="21">
        <v>21872.799999999999</v>
      </c>
      <c r="R24" s="21">
        <v>23165.5</v>
      </c>
      <c r="S24" s="21">
        <v>24056.2</v>
      </c>
      <c r="T24" s="21">
        <v>22754.799999999999</v>
      </c>
      <c r="U24" s="21">
        <v>22785</v>
      </c>
      <c r="V24" s="21">
        <v>23290.2</v>
      </c>
      <c r="W24" s="21">
        <v>23376</v>
      </c>
      <c r="X24" s="21">
        <v>23670.5</v>
      </c>
      <c r="Y24" s="21">
        <v>23536.1</v>
      </c>
      <c r="Z24" s="21">
        <v>23270.400000000001</v>
      </c>
      <c r="AA24" s="21">
        <v>23904.400000000001</v>
      </c>
      <c r="AB24" s="21">
        <v>23416.1</v>
      </c>
      <c r="AC24" s="21">
        <v>23138.2</v>
      </c>
      <c r="AD24" s="21">
        <v>23862.2</v>
      </c>
      <c r="AE24" s="21">
        <v>24155.7</v>
      </c>
      <c r="AF24" s="21">
        <v>24140.3</v>
      </c>
      <c r="AG24" s="21">
        <v>23666.2</v>
      </c>
      <c r="AH24" s="21">
        <v>24423.9</v>
      </c>
      <c r="AI24" s="21">
        <v>24459.9</v>
      </c>
      <c r="AJ24" s="21">
        <v>24810.9</v>
      </c>
      <c r="AK24" s="21">
        <v>25683.8</v>
      </c>
      <c r="AL24" s="21">
        <v>27473.599999999999</v>
      </c>
      <c r="AM24" s="21">
        <v>31682.2</v>
      </c>
      <c r="AN24" s="21">
        <v>34422.800000000003</v>
      </c>
      <c r="AO24" s="21">
        <v>37072.800000000003</v>
      </c>
      <c r="AP24" s="21">
        <v>42900.3</v>
      </c>
      <c r="AQ24" s="21">
        <v>40194.5</v>
      </c>
      <c r="AR24" s="21">
        <v>43596.4</v>
      </c>
      <c r="AS24" s="21">
        <v>42856.3</v>
      </c>
      <c r="AT24" s="21">
        <v>37814.699999999997</v>
      </c>
      <c r="AU24" s="21">
        <v>38751.300000000003</v>
      </c>
      <c r="AV24" s="21">
        <v>38993.4</v>
      </c>
      <c r="AW24" s="21">
        <v>31585.3</v>
      </c>
      <c r="AX24" s="21">
        <v>27786.9</v>
      </c>
      <c r="AY24" s="21">
        <v>26191.8</v>
      </c>
      <c r="AZ24" s="21">
        <v>24971.3</v>
      </c>
      <c r="BA24" s="21">
        <v>20947.7</v>
      </c>
      <c r="BB24" s="21">
        <v>16167.2</v>
      </c>
      <c r="BC24" s="21">
        <v>19612.400000000001</v>
      </c>
    </row>
    <row r="25" spans="1:55" x14ac:dyDescent="0.2">
      <c r="A25" s="21" t="s">
        <v>1413</v>
      </c>
      <c r="B25" s="21" t="s">
        <v>1414</v>
      </c>
      <c r="C25" s="21" t="s">
        <v>166</v>
      </c>
      <c r="D25" s="21">
        <v>0.45</v>
      </c>
      <c r="E25" s="21">
        <v>0.5</v>
      </c>
      <c r="F25" s="21">
        <v>0.55000000000000004</v>
      </c>
      <c r="G25" s="21">
        <v>0.63</v>
      </c>
      <c r="H25" s="21">
        <v>1.22</v>
      </c>
      <c r="I25" s="21">
        <v>1.5</v>
      </c>
      <c r="J25" s="21">
        <v>1.5</v>
      </c>
      <c r="K25" s="21">
        <v>1.56</v>
      </c>
      <c r="L25" s="21">
        <v>1.73</v>
      </c>
      <c r="M25" s="21">
        <v>1.75</v>
      </c>
      <c r="N25" s="21">
        <v>1.87</v>
      </c>
      <c r="O25" s="21">
        <v>2.06</v>
      </c>
      <c r="P25" s="21">
        <v>2.09</v>
      </c>
      <c r="Q25" s="21">
        <v>1.91</v>
      </c>
      <c r="R25" s="21">
        <v>1.89</v>
      </c>
      <c r="S25" s="21">
        <v>1.83</v>
      </c>
      <c r="T25" s="21">
        <v>1.72</v>
      </c>
      <c r="U25" s="21">
        <v>1.6</v>
      </c>
      <c r="V25" s="21">
        <v>1.62</v>
      </c>
      <c r="W25" s="21">
        <v>1.61</v>
      </c>
      <c r="X25" s="21">
        <v>1.62</v>
      </c>
      <c r="Y25" s="21">
        <v>1.63</v>
      </c>
      <c r="Z25" s="21">
        <v>1.62</v>
      </c>
      <c r="AA25" s="21">
        <v>1.58</v>
      </c>
      <c r="AB25" s="21">
        <v>1.57</v>
      </c>
      <c r="AC25" s="21">
        <v>1.58</v>
      </c>
      <c r="AD25" s="21">
        <v>1.57</v>
      </c>
      <c r="AE25" s="21">
        <v>1.58</v>
      </c>
      <c r="AF25" s="21">
        <v>1.53</v>
      </c>
      <c r="AG25" s="21">
        <v>1.53</v>
      </c>
      <c r="AH25" s="21">
        <v>1.5</v>
      </c>
      <c r="AI25" s="21">
        <v>1.58</v>
      </c>
      <c r="AJ25" s="21">
        <v>1.69</v>
      </c>
      <c r="AK25" s="21">
        <v>1.67</v>
      </c>
      <c r="AL25" s="21">
        <v>1.92</v>
      </c>
      <c r="AM25" s="21">
        <v>2.4700000000000002</v>
      </c>
      <c r="AN25" s="21">
        <v>2.72</v>
      </c>
      <c r="AO25" s="21">
        <v>2.82</v>
      </c>
      <c r="AP25" s="21">
        <v>3.38</v>
      </c>
      <c r="AQ25" s="21">
        <v>3.69</v>
      </c>
      <c r="AR25" s="21">
        <v>3.93</v>
      </c>
      <c r="AS25" s="21">
        <v>4.55</v>
      </c>
      <c r="AT25" s="21">
        <v>4.59</v>
      </c>
      <c r="AU25" s="21">
        <v>4.0999999999999996</v>
      </c>
      <c r="AV25" s="21">
        <v>3.74</v>
      </c>
      <c r="AW25" s="21">
        <v>3.53</v>
      </c>
      <c r="AX25" s="21">
        <v>3.15</v>
      </c>
      <c r="AY25" s="21">
        <v>3.37</v>
      </c>
      <c r="AZ25" s="21">
        <v>3.53</v>
      </c>
      <c r="BA25" s="21">
        <v>3.89</v>
      </c>
      <c r="BB25" s="21">
        <v>3.51</v>
      </c>
      <c r="BC25" s="21">
        <v>3.47</v>
      </c>
    </row>
    <row r="26" spans="1:55" x14ac:dyDescent="0.2">
      <c r="A26" s="21" t="s">
        <v>1413</v>
      </c>
      <c r="B26" s="21" t="s">
        <v>1414</v>
      </c>
      <c r="C26" s="21" t="s">
        <v>169</v>
      </c>
      <c r="D26" s="21">
        <v>2082.1999999999998</v>
      </c>
      <c r="E26" s="21">
        <v>1970.8</v>
      </c>
      <c r="F26" s="21">
        <v>2211.8000000000002</v>
      </c>
      <c r="G26" s="21">
        <v>2527.4</v>
      </c>
      <c r="H26" s="21">
        <v>4703.8999999999996</v>
      </c>
      <c r="I26" s="21">
        <v>5497.8</v>
      </c>
      <c r="J26" s="21">
        <v>5448.3</v>
      </c>
      <c r="K26" s="21">
        <v>5359.9</v>
      </c>
      <c r="L26" s="21">
        <v>5721.9</v>
      </c>
      <c r="M26" s="21">
        <v>6247.4</v>
      </c>
      <c r="N26" s="21">
        <v>5888.1</v>
      </c>
      <c r="O26" s="21">
        <v>6441</v>
      </c>
      <c r="P26" s="21">
        <v>5301</v>
      </c>
      <c r="Q26" s="21">
        <v>4734.7</v>
      </c>
      <c r="R26" s="21">
        <v>5363</v>
      </c>
      <c r="S26" s="21">
        <v>5066.1000000000004</v>
      </c>
      <c r="T26" s="21">
        <v>4552.8999999999996</v>
      </c>
      <c r="U26" s="21">
        <v>4254</v>
      </c>
      <c r="V26" s="21">
        <v>4572.8</v>
      </c>
      <c r="W26" s="21">
        <v>4464.5</v>
      </c>
      <c r="X26" s="21">
        <v>4455.3999999999996</v>
      </c>
      <c r="Y26" s="21">
        <v>4225.5</v>
      </c>
      <c r="Z26" s="21">
        <v>4063.5</v>
      </c>
      <c r="AA26" s="21">
        <v>3945.2</v>
      </c>
      <c r="AB26" s="21">
        <v>3927.6</v>
      </c>
      <c r="AC26" s="21">
        <v>3936.5</v>
      </c>
      <c r="AD26" s="21">
        <v>3828.9</v>
      </c>
      <c r="AE26" s="21">
        <v>3775.4</v>
      </c>
      <c r="AF26" s="21">
        <v>3454.5</v>
      </c>
      <c r="AG26" s="21">
        <v>3343.5</v>
      </c>
      <c r="AH26" s="21">
        <v>3388.8</v>
      </c>
      <c r="AI26" s="21">
        <v>3467.2</v>
      </c>
      <c r="AJ26" s="21">
        <v>3418</v>
      </c>
      <c r="AK26" s="21">
        <v>3410.7</v>
      </c>
      <c r="AL26" s="21">
        <v>3936.1</v>
      </c>
      <c r="AM26" s="21">
        <v>4824.3999999999996</v>
      </c>
      <c r="AN26" s="21">
        <v>5200.2</v>
      </c>
      <c r="AO26" s="21">
        <v>5253.4</v>
      </c>
      <c r="AP26" s="21">
        <v>6050.4</v>
      </c>
      <c r="AQ26" s="21">
        <v>5136.3</v>
      </c>
      <c r="AR26" s="21">
        <v>6388.8</v>
      </c>
      <c r="AS26" s="21">
        <v>7131</v>
      </c>
      <c r="AT26" s="21">
        <v>6958.1</v>
      </c>
      <c r="AU26" s="21">
        <v>6335.8</v>
      </c>
      <c r="AV26" s="21">
        <v>5716</v>
      </c>
      <c r="AW26" s="21">
        <v>4862.5</v>
      </c>
      <c r="AX26" s="21">
        <v>3795.1</v>
      </c>
      <c r="AY26" s="21">
        <v>4029</v>
      </c>
      <c r="AZ26" s="21">
        <v>4158.8999999999996</v>
      </c>
      <c r="BA26" s="21">
        <v>4348.8</v>
      </c>
      <c r="BB26" s="21">
        <v>3295.5</v>
      </c>
      <c r="BC26" s="21">
        <v>3596.5</v>
      </c>
    </row>
    <row r="27" spans="1:55" x14ac:dyDescent="0.2">
      <c r="A27" s="21" t="s">
        <v>1413</v>
      </c>
      <c r="B27" s="21" t="s">
        <v>1414</v>
      </c>
      <c r="C27" s="21" t="s">
        <v>171</v>
      </c>
      <c r="D27" s="21">
        <v>4651642</v>
      </c>
      <c r="E27" s="21">
        <v>3941556</v>
      </c>
      <c r="F27" s="21">
        <v>3987727</v>
      </c>
      <c r="G27" s="21">
        <v>4036545</v>
      </c>
      <c r="H27" s="21">
        <v>3850012</v>
      </c>
      <c r="I27" s="21">
        <v>3653780</v>
      </c>
      <c r="J27" s="21">
        <v>3637824</v>
      </c>
      <c r="K27" s="21">
        <v>3439122</v>
      </c>
      <c r="L27" s="21">
        <v>3299060</v>
      </c>
      <c r="M27" s="21">
        <v>3578551</v>
      </c>
      <c r="N27" s="21">
        <v>3152167</v>
      </c>
      <c r="O27" s="21">
        <v>3122123</v>
      </c>
      <c r="P27" s="21">
        <v>2534824</v>
      </c>
      <c r="Q27" s="21">
        <v>2485092</v>
      </c>
      <c r="R27" s="21">
        <v>2835316</v>
      </c>
      <c r="S27" s="21">
        <v>2769411</v>
      </c>
      <c r="T27" s="21">
        <v>2640598</v>
      </c>
      <c r="U27" s="21">
        <v>2664440</v>
      </c>
      <c r="V27" s="21">
        <v>2826581</v>
      </c>
      <c r="W27" s="21">
        <v>2769683</v>
      </c>
      <c r="X27" s="21">
        <v>2750618</v>
      </c>
      <c r="Y27" s="21">
        <v>2596679</v>
      </c>
      <c r="Z27" s="21">
        <v>2508461</v>
      </c>
      <c r="AA27" s="21">
        <v>2496131</v>
      </c>
      <c r="AB27" s="21">
        <v>2503400</v>
      </c>
      <c r="AC27" s="21">
        <v>2496866</v>
      </c>
      <c r="AD27" s="21">
        <v>2434692</v>
      </c>
      <c r="AE27" s="21">
        <v>2392649</v>
      </c>
      <c r="AF27" s="21">
        <v>2253611</v>
      </c>
      <c r="AG27" s="21">
        <v>2186795</v>
      </c>
      <c r="AH27" s="21">
        <v>2258518</v>
      </c>
      <c r="AI27" s="21">
        <v>2192595</v>
      </c>
      <c r="AJ27" s="21">
        <v>2019347</v>
      </c>
      <c r="AK27" s="21">
        <v>2043046</v>
      </c>
      <c r="AL27" s="21">
        <v>2045411</v>
      </c>
      <c r="AM27" s="21">
        <v>1953003</v>
      </c>
      <c r="AN27" s="21">
        <v>1912699</v>
      </c>
      <c r="AO27" s="21">
        <v>1863538</v>
      </c>
      <c r="AP27" s="21">
        <v>1790789</v>
      </c>
      <c r="AQ27" s="21">
        <v>1393528</v>
      </c>
      <c r="AR27" s="21">
        <v>1624738</v>
      </c>
      <c r="AS27" s="21">
        <v>1565990</v>
      </c>
      <c r="AT27" s="21">
        <v>1515297</v>
      </c>
      <c r="AU27" s="21">
        <v>1546394</v>
      </c>
      <c r="AV27" s="21">
        <v>1528509</v>
      </c>
      <c r="AW27" s="21">
        <v>1379275</v>
      </c>
      <c r="AX27" s="21">
        <v>1206183</v>
      </c>
      <c r="AY27" s="21">
        <v>1196427</v>
      </c>
      <c r="AZ27" s="21">
        <v>1178166</v>
      </c>
      <c r="BA27" s="21">
        <v>1116741</v>
      </c>
      <c r="BB27" s="21">
        <v>939074</v>
      </c>
      <c r="BC27" s="21">
        <v>1036702</v>
      </c>
    </row>
    <row r="28" spans="1:55" x14ac:dyDescent="0.2">
      <c r="A28" s="21" t="s">
        <v>1413</v>
      </c>
      <c r="B28" s="21" t="s">
        <v>1414</v>
      </c>
      <c r="C28" s="21" t="s">
        <v>175</v>
      </c>
      <c r="D28" s="21">
        <v>0.45</v>
      </c>
      <c r="E28" s="21">
        <v>0.52</v>
      </c>
      <c r="F28" s="21">
        <v>0.59</v>
      </c>
      <c r="G28" s="21">
        <v>0.68</v>
      </c>
      <c r="H28" s="21">
        <v>1.36</v>
      </c>
      <c r="I28" s="21">
        <v>1.65</v>
      </c>
      <c r="J28" s="21">
        <v>1.65</v>
      </c>
      <c r="K28" s="21">
        <v>1.72</v>
      </c>
      <c r="L28" s="21">
        <v>1.94</v>
      </c>
      <c r="M28" s="21">
        <v>1.89</v>
      </c>
      <c r="N28" s="21">
        <v>2.1</v>
      </c>
      <c r="O28" s="21">
        <v>2.34</v>
      </c>
      <c r="P28" s="21">
        <v>2.4300000000000002</v>
      </c>
      <c r="Q28" s="21">
        <v>2.14</v>
      </c>
      <c r="R28" s="21">
        <v>2.09</v>
      </c>
      <c r="S28" s="21">
        <v>2.0299999999999998</v>
      </c>
      <c r="T28" s="21">
        <v>1.9</v>
      </c>
      <c r="U28" s="21">
        <v>1.74</v>
      </c>
      <c r="V28" s="21">
        <v>1.79</v>
      </c>
      <c r="W28" s="21">
        <v>1.78</v>
      </c>
      <c r="X28" s="21">
        <v>1.79</v>
      </c>
      <c r="Y28" s="21">
        <v>1.83</v>
      </c>
      <c r="Z28" s="21">
        <v>1.83</v>
      </c>
      <c r="AA28" s="21">
        <v>1.79</v>
      </c>
      <c r="AB28" s="21">
        <v>1.73</v>
      </c>
      <c r="AC28" s="21">
        <v>1.76</v>
      </c>
      <c r="AD28" s="21">
        <v>1.77</v>
      </c>
      <c r="AE28" s="21">
        <v>1.79</v>
      </c>
      <c r="AF28" s="21">
        <v>1.69</v>
      </c>
      <c r="AG28" s="21">
        <v>1.69</v>
      </c>
      <c r="AH28" s="21">
        <v>1.67</v>
      </c>
      <c r="AI28" s="21">
        <v>1.74</v>
      </c>
      <c r="AJ28" s="21">
        <v>1.94</v>
      </c>
      <c r="AK28" s="21">
        <v>1.93</v>
      </c>
      <c r="AL28" s="21">
        <v>2.31</v>
      </c>
      <c r="AM28" s="21">
        <v>3.19</v>
      </c>
      <c r="AN28" s="21">
        <v>3.54</v>
      </c>
      <c r="AO28" s="21">
        <v>3.64</v>
      </c>
      <c r="AP28" s="21">
        <v>4.49</v>
      </c>
      <c r="AQ28" s="21">
        <v>5.43</v>
      </c>
      <c r="AR28" s="21">
        <v>5.84</v>
      </c>
      <c r="AS28" s="21">
        <v>6.89</v>
      </c>
      <c r="AT28" s="21">
        <v>6.59</v>
      </c>
      <c r="AU28" s="21">
        <v>5.43</v>
      </c>
      <c r="AV28" s="21">
        <v>4.6100000000000003</v>
      </c>
      <c r="AW28" s="21">
        <v>4.16</v>
      </c>
      <c r="AX28" s="21">
        <v>3.56</v>
      </c>
      <c r="AY28" s="21">
        <v>4.1100000000000003</v>
      </c>
      <c r="AZ28" s="21">
        <v>4.4000000000000004</v>
      </c>
      <c r="BA28" s="21">
        <v>5.01</v>
      </c>
      <c r="BB28" s="21">
        <v>4.43</v>
      </c>
      <c r="BC28" s="21">
        <v>4.17</v>
      </c>
    </row>
    <row r="29" spans="1:55" x14ac:dyDescent="0.2">
      <c r="A29" s="21" t="s">
        <v>1413</v>
      </c>
      <c r="B29" s="21" t="s">
        <v>1414</v>
      </c>
      <c r="C29" s="21" t="s">
        <v>181</v>
      </c>
      <c r="D29" s="21">
        <v>1174.9000000000001</v>
      </c>
      <c r="E29" s="21">
        <v>1162.8</v>
      </c>
      <c r="F29" s="21">
        <v>1379.1</v>
      </c>
      <c r="G29" s="21">
        <v>1723.8</v>
      </c>
      <c r="H29" s="21">
        <v>3283.7</v>
      </c>
      <c r="I29" s="21">
        <v>3691.7</v>
      </c>
      <c r="J29" s="21">
        <v>3739.7</v>
      </c>
      <c r="K29" s="21">
        <v>3579.1</v>
      </c>
      <c r="L29" s="21">
        <v>3702.5</v>
      </c>
      <c r="M29" s="21">
        <v>3920.2</v>
      </c>
      <c r="N29" s="21">
        <v>3753.4</v>
      </c>
      <c r="O29" s="21">
        <v>3831.3</v>
      </c>
      <c r="P29" s="21">
        <v>2661.1</v>
      </c>
      <c r="Q29" s="21">
        <v>2128.4</v>
      </c>
      <c r="R29" s="21">
        <v>2461.1</v>
      </c>
      <c r="S29" s="21">
        <v>2228.5</v>
      </c>
      <c r="T29" s="21">
        <v>1825.1</v>
      </c>
      <c r="U29" s="21">
        <v>1717.7</v>
      </c>
      <c r="V29" s="21">
        <v>2005.6</v>
      </c>
      <c r="W29" s="21">
        <v>1933.7</v>
      </c>
      <c r="X29" s="21">
        <v>1862</v>
      </c>
      <c r="Y29" s="21">
        <v>1659.8</v>
      </c>
      <c r="Z29" s="21">
        <v>1586.9</v>
      </c>
      <c r="AA29" s="21">
        <v>1505.5</v>
      </c>
      <c r="AB29" s="21">
        <v>1472.9</v>
      </c>
      <c r="AC29" s="21">
        <v>1557.6</v>
      </c>
      <c r="AD29" s="21">
        <v>1507.1</v>
      </c>
      <c r="AE29" s="21">
        <v>1452.9</v>
      </c>
      <c r="AF29" s="21">
        <v>1303.5</v>
      </c>
      <c r="AG29" s="21">
        <v>1306.5</v>
      </c>
      <c r="AH29" s="21">
        <v>1327.4</v>
      </c>
      <c r="AI29" s="21">
        <v>1246.7</v>
      </c>
      <c r="AJ29" s="21">
        <v>1257.7</v>
      </c>
      <c r="AK29" s="21">
        <v>1282.8</v>
      </c>
      <c r="AL29" s="21">
        <v>1499</v>
      </c>
      <c r="AM29" s="21">
        <v>1963.5</v>
      </c>
      <c r="AN29" s="21">
        <v>2132</v>
      </c>
      <c r="AO29" s="21">
        <v>2175.1</v>
      </c>
      <c r="AP29" s="21">
        <v>2606.1999999999998</v>
      </c>
      <c r="AQ29" s="21">
        <v>2191.6999999999998</v>
      </c>
      <c r="AR29" s="21">
        <v>3239</v>
      </c>
      <c r="AS29" s="21">
        <v>3885.4</v>
      </c>
      <c r="AT29" s="21">
        <v>3915.6</v>
      </c>
      <c r="AU29" s="21">
        <v>3345.9</v>
      </c>
      <c r="AV29" s="21">
        <v>2795.5</v>
      </c>
      <c r="AW29" s="21">
        <v>2340</v>
      </c>
      <c r="AX29" s="21">
        <v>1677.6</v>
      </c>
      <c r="AY29" s="21">
        <v>2069.1999999999998</v>
      </c>
      <c r="AZ29" s="21">
        <v>2305.6999999999998</v>
      </c>
      <c r="BA29" s="21">
        <v>2578.1999999999998</v>
      </c>
      <c r="BB29" s="21">
        <v>1830.2</v>
      </c>
      <c r="BC29" s="21">
        <v>2103.1999999999998</v>
      </c>
    </row>
    <row r="30" spans="1:55" x14ac:dyDescent="0.2">
      <c r="A30" s="21" t="s">
        <v>1413</v>
      </c>
      <c r="B30" s="21" t="s">
        <v>1414</v>
      </c>
      <c r="C30" s="21" t="s">
        <v>185</v>
      </c>
      <c r="D30" s="21">
        <v>0.44</v>
      </c>
      <c r="E30" s="21">
        <v>0.47</v>
      </c>
      <c r="F30" s="21">
        <v>0.51</v>
      </c>
      <c r="G30" s="21">
        <v>0.53</v>
      </c>
      <c r="H30" s="21">
        <v>0.99</v>
      </c>
      <c r="I30" s="21">
        <v>1.28</v>
      </c>
      <c r="J30" s="21">
        <v>1.25</v>
      </c>
      <c r="K30" s="21">
        <v>1.31</v>
      </c>
      <c r="L30" s="21">
        <v>1.46</v>
      </c>
      <c r="M30" s="21">
        <v>1.55</v>
      </c>
      <c r="N30" s="21">
        <v>1.56</v>
      </c>
      <c r="O30" s="21">
        <v>1.75</v>
      </c>
      <c r="P30" s="21">
        <v>1.84</v>
      </c>
      <c r="Q30" s="21">
        <v>1.75</v>
      </c>
      <c r="R30" s="21">
        <v>1.75</v>
      </c>
      <c r="S30" s="21">
        <v>1.7</v>
      </c>
      <c r="T30" s="21">
        <v>1.62</v>
      </c>
      <c r="U30" s="21">
        <v>1.51</v>
      </c>
      <c r="V30" s="21">
        <v>1.51</v>
      </c>
      <c r="W30" s="21">
        <v>1.5</v>
      </c>
      <c r="X30" s="21">
        <v>1.52</v>
      </c>
      <c r="Y30" s="21">
        <v>1.52</v>
      </c>
      <c r="Z30" s="21">
        <v>1.51</v>
      </c>
      <c r="AA30" s="21">
        <v>1.47</v>
      </c>
      <c r="AB30" s="21">
        <v>1.49</v>
      </c>
      <c r="AC30" s="21">
        <v>1.48</v>
      </c>
      <c r="AD30" s="21">
        <v>1.46</v>
      </c>
      <c r="AE30" s="21">
        <v>1.47</v>
      </c>
      <c r="AF30" s="21">
        <v>1.45</v>
      </c>
      <c r="AG30" s="21">
        <v>1.44</v>
      </c>
      <c r="AH30" s="21">
        <v>1.41</v>
      </c>
      <c r="AI30" s="21">
        <v>1.5</v>
      </c>
      <c r="AJ30" s="21">
        <v>1.58</v>
      </c>
      <c r="AK30" s="21">
        <v>1.54</v>
      </c>
      <c r="AL30" s="21">
        <v>1.75</v>
      </c>
      <c r="AM30" s="21">
        <v>2.14</v>
      </c>
      <c r="AN30" s="21">
        <v>2.34</v>
      </c>
      <c r="AO30" s="21">
        <v>2.4300000000000002</v>
      </c>
      <c r="AP30" s="21">
        <v>2.85</v>
      </c>
      <c r="AQ30" s="21">
        <v>2.97</v>
      </c>
      <c r="AR30" s="21">
        <v>2.94</v>
      </c>
      <c r="AS30" s="21">
        <v>3.24</v>
      </c>
      <c r="AT30" s="21">
        <v>3.3</v>
      </c>
      <c r="AU30" s="21">
        <v>3.22</v>
      </c>
      <c r="AV30" s="21">
        <v>3.17</v>
      </c>
      <c r="AW30" s="21">
        <v>3.09</v>
      </c>
      <c r="AX30" s="21">
        <v>2.88</v>
      </c>
      <c r="AY30" s="21">
        <v>2.83</v>
      </c>
      <c r="AZ30" s="21">
        <v>2.84</v>
      </c>
      <c r="BA30" s="21">
        <v>2.94</v>
      </c>
      <c r="BB30" s="21">
        <v>2.79</v>
      </c>
      <c r="BC30" s="21">
        <v>2.8</v>
      </c>
    </row>
    <row r="31" spans="1:55" x14ac:dyDescent="0.2">
      <c r="A31" s="21" t="s">
        <v>1413</v>
      </c>
      <c r="B31" s="21" t="s">
        <v>1414</v>
      </c>
      <c r="C31" s="21" t="s">
        <v>190</v>
      </c>
      <c r="D31" s="21">
        <v>907.3</v>
      </c>
      <c r="E31" s="21">
        <v>808</v>
      </c>
      <c r="F31" s="21">
        <v>832.8</v>
      </c>
      <c r="G31" s="21">
        <v>803.6</v>
      </c>
      <c r="H31" s="21">
        <v>1420.3</v>
      </c>
      <c r="I31" s="21">
        <v>1806.1</v>
      </c>
      <c r="J31" s="21">
        <v>1708.5</v>
      </c>
      <c r="K31" s="21">
        <v>1780.8</v>
      </c>
      <c r="L31" s="21">
        <v>2019.4</v>
      </c>
      <c r="M31" s="21">
        <v>2327.1999999999998</v>
      </c>
      <c r="N31" s="21">
        <v>2134.6</v>
      </c>
      <c r="O31" s="21">
        <v>2609.8000000000002</v>
      </c>
      <c r="P31" s="21">
        <v>2639.9</v>
      </c>
      <c r="Q31" s="21">
        <v>2606.3000000000002</v>
      </c>
      <c r="R31" s="21">
        <v>2901.9</v>
      </c>
      <c r="S31" s="21">
        <v>2837.7</v>
      </c>
      <c r="T31" s="21">
        <v>2727.7</v>
      </c>
      <c r="U31" s="21">
        <v>2536.3000000000002</v>
      </c>
      <c r="V31" s="21">
        <v>2567.1999999999998</v>
      </c>
      <c r="W31" s="21">
        <v>2530.8000000000002</v>
      </c>
      <c r="X31" s="21">
        <v>2593.4</v>
      </c>
      <c r="Y31" s="21">
        <v>2565.6999999999998</v>
      </c>
      <c r="Z31" s="21">
        <v>2476.6</v>
      </c>
      <c r="AA31" s="21">
        <v>2439.8000000000002</v>
      </c>
      <c r="AB31" s="21">
        <v>2454.6999999999998</v>
      </c>
      <c r="AC31" s="21">
        <v>2378.9</v>
      </c>
      <c r="AD31" s="21">
        <v>2321.9</v>
      </c>
      <c r="AE31" s="21">
        <v>2322.5</v>
      </c>
      <c r="AF31" s="21">
        <v>2151</v>
      </c>
      <c r="AG31" s="21">
        <v>2037.1</v>
      </c>
      <c r="AH31" s="21">
        <v>2061.4</v>
      </c>
      <c r="AI31" s="21">
        <v>2220.5</v>
      </c>
      <c r="AJ31" s="21">
        <v>2160.3000000000002</v>
      </c>
      <c r="AK31" s="21">
        <v>2128</v>
      </c>
      <c r="AL31" s="21">
        <v>2437.1999999999998</v>
      </c>
      <c r="AM31" s="21">
        <v>2860.9</v>
      </c>
      <c r="AN31" s="21">
        <v>3068.1</v>
      </c>
      <c r="AO31" s="21">
        <v>3078.3</v>
      </c>
      <c r="AP31" s="21">
        <v>3444.2</v>
      </c>
      <c r="AQ31" s="21">
        <v>2944.6</v>
      </c>
      <c r="AR31" s="21">
        <v>3149.8</v>
      </c>
      <c r="AS31" s="21">
        <v>3245.5</v>
      </c>
      <c r="AT31" s="21">
        <v>3042.5</v>
      </c>
      <c r="AU31" s="21">
        <v>2990</v>
      </c>
      <c r="AV31" s="21">
        <v>2920.5</v>
      </c>
      <c r="AW31" s="21">
        <v>2522.5</v>
      </c>
      <c r="AX31" s="21">
        <v>2117.5</v>
      </c>
      <c r="AY31" s="21">
        <v>1959.8</v>
      </c>
      <c r="AZ31" s="21">
        <v>1853.3</v>
      </c>
      <c r="BA31" s="21">
        <v>1770.7</v>
      </c>
      <c r="BB31" s="21">
        <v>1465.3</v>
      </c>
      <c r="BC31" s="21">
        <v>1493.4</v>
      </c>
    </row>
    <row r="32" spans="1:55" x14ac:dyDescent="0.2">
      <c r="A32" s="21" t="s">
        <v>1413</v>
      </c>
      <c r="B32" s="21" t="s">
        <v>1414</v>
      </c>
      <c r="C32" s="21" t="s">
        <v>192</v>
      </c>
      <c r="D32" s="21">
        <v>2067520</v>
      </c>
      <c r="E32" s="21">
        <v>1712350</v>
      </c>
      <c r="F32" s="21">
        <v>1637745</v>
      </c>
      <c r="G32" s="21">
        <v>1516565</v>
      </c>
      <c r="H32" s="21">
        <v>1434878</v>
      </c>
      <c r="I32" s="21">
        <v>1414830</v>
      </c>
      <c r="J32" s="21">
        <v>1369346</v>
      </c>
      <c r="K32" s="21">
        <v>1356715</v>
      </c>
      <c r="L32" s="21">
        <v>1386463</v>
      </c>
      <c r="M32" s="21">
        <v>1505996</v>
      </c>
      <c r="N32" s="21">
        <v>1366451</v>
      </c>
      <c r="O32" s="21">
        <v>1487325</v>
      </c>
      <c r="P32" s="21">
        <v>1438623</v>
      </c>
      <c r="Q32" s="21">
        <v>1492675</v>
      </c>
      <c r="R32" s="21">
        <v>1655579</v>
      </c>
      <c r="S32" s="21">
        <v>1669216</v>
      </c>
      <c r="T32" s="21">
        <v>1679572</v>
      </c>
      <c r="U32" s="21">
        <v>1676161</v>
      </c>
      <c r="V32" s="21">
        <v>1704021</v>
      </c>
      <c r="W32" s="21">
        <v>1684041</v>
      </c>
      <c r="X32" s="21">
        <v>1708772</v>
      </c>
      <c r="Y32" s="21">
        <v>1689420</v>
      </c>
      <c r="Z32" s="21">
        <v>1641064</v>
      </c>
      <c r="AA32" s="21">
        <v>1656681</v>
      </c>
      <c r="AB32" s="21">
        <v>1652760</v>
      </c>
      <c r="AC32" s="21">
        <v>1612167</v>
      </c>
      <c r="AD32" s="21">
        <v>1584978</v>
      </c>
      <c r="AE32" s="21">
        <v>1583209</v>
      </c>
      <c r="AF32" s="21">
        <v>1480519</v>
      </c>
      <c r="AG32" s="21">
        <v>1415917</v>
      </c>
      <c r="AH32" s="21">
        <v>1464838</v>
      </c>
      <c r="AI32" s="21">
        <v>1477466</v>
      </c>
      <c r="AJ32" s="21">
        <v>1370569</v>
      </c>
      <c r="AK32" s="21">
        <v>1378043</v>
      </c>
      <c r="AL32" s="21">
        <v>1396244</v>
      </c>
      <c r="AM32" s="21">
        <v>1337005</v>
      </c>
      <c r="AN32" s="21">
        <v>1309669</v>
      </c>
      <c r="AO32" s="21">
        <v>1265607</v>
      </c>
      <c r="AP32" s="21">
        <v>1210591</v>
      </c>
      <c r="AQ32" s="21">
        <v>990106</v>
      </c>
      <c r="AR32" s="21">
        <v>1069991</v>
      </c>
      <c r="AS32" s="21">
        <v>1001993</v>
      </c>
      <c r="AT32" s="21">
        <v>921059</v>
      </c>
      <c r="AU32" s="21">
        <v>929972</v>
      </c>
      <c r="AV32" s="21">
        <v>922490</v>
      </c>
      <c r="AW32" s="21">
        <v>817211</v>
      </c>
      <c r="AX32" s="21">
        <v>734557</v>
      </c>
      <c r="AY32" s="21">
        <v>693560</v>
      </c>
      <c r="AZ32" s="21">
        <v>653633</v>
      </c>
      <c r="BA32" s="21">
        <v>602203</v>
      </c>
      <c r="BB32" s="21">
        <v>525654</v>
      </c>
      <c r="BC32" s="21">
        <v>532548</v>
      </c>
    </row>
    <row r="33" spans="1:55" x14ac:dyDescent="0.2">
      <c r="A33" s="21" t="s">
        <v>1413</v>
      </c>
      <c r="B33" s="21" t="s">
        <v>1414</v>
      </c>
      <c r="C33" s="21" t="s">
        <v>201</v>
      </c>
      <c r="D33" s="21">
        <v>1.1399999999999999</v>
      </c>
      <c r="E33" s="21">
        <v>1.22</v>
      </c>
      <c r="F33" s="21">
        <v>1.27</v>
      </c>
      <c r="G33" s="21">
        <v>1.2</v>
      </c>
      <c r="H33" s="21">
        <v>2.2000000000000002</v>
      </c>
      <c r="I33" s="21">
        <v>2.4500000000000002</v>
      </c>
      <c r="J33" s="21">
        <v>2.41</v>
      </c>
      <c r="K33" s="21">
        <v>2.5299999999999998</v>
      </c>
      <c r="L33" s="21">
        <v>2.59</v>
      </c>
      <c r="M33" s="21">
        <v>2.69</v>
      </c>
      <c r="N33" s="21">
        <v>2.9</v>
      </c>
      <c r="O33" s="21">
        <v>3.56</v>
      </c>
      <c r="P33" s="21">
        <v>3.65</v>
      </c>
      <c r="Q33" s="21">
        <v>3.16</v>
      </c>
      <c r="R33" s="21">
        <v>3.4</v>
      </c>
      <c r="S33" s="21">
        <v>3.26</v>
      </c>
      <c r="T33" s="21">
        <v>3.12</v>
      </c>
      <c r="U33" s="21">
        <v>2.74</v>
      </c>
      <c r="V33" s="21">
        <v>2.61</v>
      </c>
      <c r="W33" s="21">
        <v>2.64</v>
      </c>
      <c r="X33" s="21">
        <v>3.01</v>
      </c>
      <c r="Y33" s="21">
        <v>3.1</v>
      </c>
      <c r="Z33" s="21">
        <v>2.89</v>
      </c>
      <c r="AA33" s="21">
        <v>3.02</v>
      </c>
      <c r="AB33" s="21">
        <v>2.67</v>
      </c>
      <c r="AC33" s="21">
        <v>2.58</v>
      </c>
      <c r="AD33" s="21">
        <v>2.5299999999999998</v>
      </c>
      <c r="AE33" s="21">
        <v>2.48</v>
      </c>
      <c r="AF33" s="21">
        <v>2.46</v>
      </c>
      <c r="AG33" s="21">
        <v>2.37</v>
      </c>
      <c r="AH33" s="21">
        <v>2.2400000000000002</v>
      </c>
      <c r="AI33" s="21">
        <v>2.93</v>
      </c>
      <c r="AJ33" s="21">
        <v>2.59</v>
      </c>
      <c r="AK33" s="21">
        <v>2.46</v>
      </c>
      <c r="AL33" s="21">
        <v>3.03</v>
      </c>
      <c r="AM33" s="21">
        <v>3.46</v>
      </c>
      <c r="AN33" s="21">
        <v>3.51</v>
      </c>
      <c r="AO33" s="21">
        <v>3.5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</row>
    <row r="34" spans="1:55" x14ac:dyDescent="0.2">
      <c r="A34" s="21" t="s">
        <v>1413</v>
      </c>
      <c r="B34" s="21" t="s">
        <v>1414</v>
      </c>
      <c r="C34" s="21" t="s">
        <v>204</v>
      </c>
      <c r="D34" s="21">
        <v>235.6</v>
      </c>
      <c r="E34" s="21">
        <v>207.3</v>
      </c>
      <c r="F34" s="21">
        <v>146.6</v>
      </c>
      <c r="G34" s="21">
        <v>112.5</v>
      </c>
      <c r="H34" s="21">
        <v>179.9</v>
      </c>
      <c r="I34" s="21">
        <v>152.80000000000001</v>
      </c>
      <c r="J34" s="21">
        <v>141.9</v>
      </c>
      <c r="K34" s="21">
        <v>145.19999999999999</v>
      </c>
      <c r="L34" s="21">
        <v>127.5</v>
      </c>
      <c r="M34" s="21">
        <v>101.6</v>
      </c>
      <c r="N34" s="21">
        <v>89.9</v>
      </c>
      <c r="O34" s="21">
        <v>107.1</v>
      </c>
      <c r="P34" s="21">
        <v>116.3</v>
      </c>
      <c r="Q34" s="21">
        <v>97.4</v>
      </c>
      <c r="R34" s="21">
        <v>134.80000000000001</v>
      </c>
      <c r="S34" s="21">
        <v>126.6</v>
      </c>
      <c r="T34" s="21">
        <v>126.5</v>
      </c>
      <c r="U34" s="21">
        <v>104</v>
      </c>
      <c r="V34" s="21">
        <v>96.6</v>
      </c>
      <c r="W34" s="21">
        <v>80.900000000000006</v>
      </c>
      <c r="X34" s="21">
        <v>93</v>
      </c>
      <c r="Y34" s="21">
        <v>78.599999999999994</v>
      </c>
      <c r="Z34" s="21">
        <v>74</v>
      </c>
      <c r="AA34" s="21">
        <v>77.099999999999994</v>
      </c>
      <c r="AB34" s="21">
        <v>55.1</v>
      </c>
      <c r="AC34" s="21">
        <v>44.8</v>
      </c>
      <c r="AD34" s="21">
        <v>41.5</v>
      </c>
      <c r="AE34" s="21">
        <v>39.4</v>
      </c>
      <c r="AF34" s="21">
        <v>30.6</v>
      </c>
      <c r="AG34" s="21">
        <v>32.799999999999997</v>
      </c>
      <c r="AH34" s="21">
        <v>23.8</v>
      </c>
      <c r="AI34" s="21">
        <v>31.9</v>
      </c>
      <c r="AJ34" s="21">
        <v>31</v>
      </c>
      <c r="AK34" s="21">
        <v>30.5</v>
      </c>
      <c r="AL34" s="21">
        <v>34.6</v>
      </c>
      <c r="AM34" s="21">
        <v>28.8</v>
      </c>
      <c r="AN34" s="21">
        <v>22.3</v>
      </c>
      <c r="AO34" s="21">
        <v>27.4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</row>
    <row r="35" spans="1:55" x14ac:dyDescent="0.2">
      <c r="A35" s="21" t="s">
        <v>1413</v>
      </c>
      <c r="B35" s="21" t="s">
        <v>1414</v>
      </c>
      <c r="C35" s="21" t="s">
        <v>206</v>
      </c>
      <c r="D35" s="21">
        <v>11872</v>
      </c>
      <c r="E35" s="21">
        <v>9525</v>
      </c>
      <c r="F35" s="21">
        <v>7951</v>
      </c>
      <c r="G35" s="21">
        <v>7712</v>
      </c>
      <c r="H35" s="21">
        <v>4994</v>
      </c>
      <c r="I35" s="21">
        <v>3861</v>
      </c>
      <c r="J35" s="21">
        <v>4316</v>
      </c>
      <c r="K35" s="21">
        <v>3789</v>
      </c>
      <c r="L35" s="21">
        <v>3389</v>
      </c>
      <c r="M35" s="21">
        <v>4337</v>
      </c>
      <c r="N35" s="21">
        <v>3188</v>
      </c>
      <c r="O35" s="21">
        <v>25614</v>
      </c>
      <c r="P35" s="21">
        <v>9128</v>
      </c>
      <c r="Q35" s="21">
        <v>4233</v>
      </c>
      <c r="R35" s="21">
        <v>7782</v>
      </c>
      <c r="S35" s="21">
        <v>7779</v>
      </c>
      <c r="T35" s="21">
        <v>5691</v>
      </c>
      <c r="U35" s="21">
        <v>5532</v>
      </c>
      <c r="V35" s="21">
        <v>4743</v>
      </c>
      <c r="W35" s="21">
        <v>4256</v>
      </c>
      <c r="X35" s="21">
        <v>3282</v>
      </c>
      <c r="Y35" s="21">
        <v>3755</v>
      </c>
      <c r="Z35" s="21">
        <v>3332</v>
      </c>
      <c r="AA35" s="21">
        <v>3491</v>
      </c>
      <c r="AB35" s="21">
        <v>3296</v>
      </c>
      <c r="AC35" s="21">
        <v>3201</v>
      </c>
      <c r="AD35" s="21">
        <v>3451</v>
      </c>
      <c r="AE35" s="21">
        <v>3452</v>
      </c>
      <c r="AF35" s="21">
        <v>878</v>
      </c>
      <c r="AG35" s="21">
        <v>772</v>
      </c>
      <c r="AH35" s="21">
        <v>806</v>
      </c>
      <c r="AI35" s="21">
        <v>979</v>
      </c>
      <c r="AJ35" s="21">
        <v>772</v>
      </c>
      <c r="AK35" s="21">
        <v>1001</v>
      </c>
      <c r="AL35" s="21">
        <v>891</v>
      </c>
      <c r="AM35" s="21">
        <v>951</v>
      </c>
      <c r="AN35" s="21">
        <v>817</v>
      </c>
      <c r="AO35" s="21">
        <v>923</v>
      </c>
      <c r="AP35" s="21">
        <v>1001</v>
      </c>
      <c r="AQ35" s="21">
        <v>798</v>
      </c>
      <c r="AR35" s="21">
        <v>688</v>
      </c>
      <c r="AS35" s="21">
        <v>720</v>
      </c>
      <c r="AT35" s="21">
        <v>716</v>
      </c>
      <c r="AU35" s="21">
        <v>467</v>
      </c>
      <c r="AV35" s="21">
        <v>375</v>
      </c>
      <c r="AW35" s="21">
        <v>404</v>
      </c>
      <c r="AX35" s="21">
        <v>279</v>
      </c>
      <c r="AY35" s="21">
        <v>178</v>
      </c>
      <c r="AZ35" s="21">
        <v>0</v>
      </c>
      <c r="BA35" s="21">
        <v>0</v>
      </c>
      <c r="BB35" s="21">
        <v>0</v>
      </c>
      <c r="BC35" s="21">
        <v>0</v>
      </c>
    </row>
    <row r="36" spans="1:55" x14ac:dyDescent="0.2">
      <c r="A36" s="21" t="s">
        <v>1413</v>
      </c>
      <c r="B36" s="21" t="s">
        <v>1414</v>
      </c>
      <c r="C36" s="21" t="s">
        <v>208</v>
      </c>
      <c r="D36" s="21">
        <v>12257023</v>
      </c>
      <c r="E36" s="21">
        <v>11593677</v>
      </c>
      <c r="F36" s="21">
        <v>12101579</v>
      </c>
      <c r="G36" s="21">
        <v>12952408</v>
      </c>
      <c r="H36" s="21">
        <v>12646015</v>
      </c>
      <c r="I36" s="21">
        <v>12651752</v>
      </c>
      <c r="J36" s="21">
        <v>13571574</v>
      </c>
      <c r="K36" s="21">
        <v>13903322</v>
      </c>
      <c r="L36" s="21">
        <v>13766294</v>
      </c>
      <c r="M36" s="21">
        <v>15037315</v>
      </c>
      <c r="N36" s="21">
        <v>15457794</v>
      </c>
      <c r="O36" s="21">
        <v>15912110</v>
      </c>
      <c r="P36" s="21">
        <v>15259921</v>
      </c>
      <c r="Q36" s="21">
        <v>15862827</v>
      </c>
      <c r="R36" s="21">
        <v>17005796</v>
      </c>
      <c r="S36" s="21">
        <v>17532292</v>
      </c>
      <c r="T36" s="21">
        <v>17235192</v>
      </c>
      <c r="U36" s="21">
        <v>17944345</v>
      </c>
      <c r="V36" s="21">
        <v>18880920</v>
      </c>
      <c r="W36" s="21">
        <v>19050909</v>
      </c>
      <c r="X36" s="21">
        <v>19164401</v>
      </c>
      <c r="Y36" s="21">
        <v>18985385</v>
      </c>
      <c r="Z36" s="21">
        <v>19114470</v>
      </c>
      <c r="AA36" s="21">
        <v>19832635</v>
      </c>
      <c r="AB36" s="21">
        <v>19900262</v>
      </c>
      <c r="AC36" s="21">
        <v>20095650</v>
      </c>
      <c r="AD36" s="21">
        <v>20998706</v>
      </c>
      <c r="AE36" s="21">
        <v>21440151</v>
      </c>
      <c r="AF36" s="21">
        <v>21582446</v>
      </c>
      <c r="AG36" s="21">
        <v>21581331</v>
      </c>
      <c r="AH36" s="21">
        <v>22574732</v>
      </c>
      <c r="AI36" s="21">
        <v>21905376</v>
      </c>
      <c r="AJ36" s="21">
        <v>21902080</v>
      </c>
      <c r="AK36" s="21">
        <v>22321633</v>
      </c>
      <c r="AL36" s="21">
        <v>22463411</v>
      </c>
      <c r="AM36" s="21">
        <v>22792499</v>
      </c>
      <c r="AN36" s="21">
        <v>22443397</v>
      </c>
      <c r="AO36" s="21">
        <v>22746990</v>
      </c>
      <c r="AP36" s="21">
        <v>22381815</v>
      </c>
      <c r="AQ36" s="21">
        <v>19690543</v>
      </c>
      <c r="AR36" s="21">
        <v>20827694</v>
      </c>
      <c r="AS36" s="21">
        <v>19663136</v>
      </c>
      <c r="AT36" s="21">
        <v>17380208</v>
      </c>
      <c r="AU36" s="21">
        <v>18038304</v>
      </c>
      <c r="AV36" s="21">
        <v>17996202</v>
      </c>
      <c r="AW36" s="21">
        <v>15548581</v>
      </c>
      <c r="AX36" s="21">
        <v>14226859</v>
      </c>
      <c r="AY36" s="21">
        <v>13839453</v>
      </c>
      <c r="AZ36" s="21">
        <v>13249958</v>
      </c>
      <c r="BA36" s="21">
        <v>11314925</v>
      </c>
      <c r="BB36" s="21">
        <v>9182696</v>
      </c>
      <c r="BC36" s="21">
        <v>10547764</v>
      </c>
    </row>
    <row r="37" spans="1:55" x14ac:dyDescent="0.2">
      <c r="A37" s="21" t="s">
        <v>1413</v>
      </c>
      <c r="B37" s="21" t="s">
        <v>1414</v>
      </c>
      <c r="C37" s="21" t="s">
        <v>212</v>
      </c>
      <c r="D37" s="21">
        <v>0.38</v>
      </c>
      <c r="E37" s="21">
        <v>0.42</v>
      </c>
      <c r="F37" s="21">
        <v>0.45</v>
      </c>
      <c r="G37" s="21">
        <v>0.48</v>
      </c>
      <c r="H37" s="21">
        <v>0.88</v>
      </c>
      <c r="I37" s="21">
        <v>1.03</v>
      </c>
      <c r="J37" s="21">
        <v>1.04</v>
      </c>
      <c r="K37" s="21">
        <v>1.1100000000000001</v>
      </c>
      <c r="L37" s="21">
        <v>1.27</v>
      </c>
      <c r="M37" s="21">
        <v>1.36</v>
      </c>
      <c r="N37" s="21">
        <v>1.46</v>
      </c>
      <c r="O37" s="21">
        <v>1.64</v>
      </c>
      <c r="P37" s="21">
        <v>1.73</v>
      </c>
      <c r="Q37" s="21">
        <v>1.7</v>
      </c>
      <c r="R37" s="21">
        <v>1.7</v>
      </c>
      <c r="S37" s="21">
        <v>1.68</v>
      </c>
      <c r="T37" s="21">
        <v>1.6</v>
      </c>
      <c r="U37" s="21">
        <v>1.52</v>
      </c>
      <c r="V37" s="21">
        <v>1.49</v>
      </c>
      <c r="W37" s="21">
        <v>1.47</v>
      </c>
      <c r="X37" s="21">
        <v>1.48</v>
      </c>
      <c r="Y37" s="21">
        <v>1.48</v>
      </c>
      <c r="Z37" s="21">
        <v>1.44</v>
      </c>
      <c r="AA37" s="21">
        <v>1.42</v>
      </c>
      <c r="AB37" s="21">
        <v>1.39</v>
      </c>
      <c r="AC37" s="21">
        <v>1.36</v>
      </c>
      <c r="AD37" s="21">
        <v>1.33</v>
      </c>
      <c r="AE37" s="21">
        <v>1.31</v>
      </c>
      <c r="AF37" s="21">
        <v>1.29</v>
      </c>
      <c r="AG37" s="21">
        <v>1.26</v>
      </c>
      <c r="AH37" s="21">
        <v>1.24</v>
      </c>
      <c r="AI37" s="21">
        <v>1.28</v>
      </c>
      <c r="AJ37" s="21">
        <v>1.3</v>
      </c>
      <c r="AK37" s="21">
        <v>1.31</v>
      </c>
      <c r="AL37" s="21">
        <v>1.41</v>
      </c>
      <c r="AM37" s="21">
        <v>1.61</v>
      </c>
      <c r="AN37" s="21">
        <v>1.77</v>
      </c>
      <c r="AO37" s="21">
        <v>1.87</v>
      </c>
      <c r="AP37" s="21">
        <v>2.2000000000000002</v>
      </c>
      <c r="AQ37" s="21">
        <v>2.3199999999999998</v>
      </c>
      <c r="AR37" s="21">
        <v>2.41</v>
      </c>
      <c r="AS37" s="21">
        <v>2.5499999999999998</v>
      </c>
      <c r="AT37" s="21">
        <v>2.59</v>
      </c>
      <c r="AU37" s="21">
        <v>2.5099999999999998</v>
      </c>
      <c r="AV37" s="21">
        <v>2.4900000000000002</v>
      </c>
      <c r="AW37" s="21">
        <v>2.35</v>
      </c>
      <c r="AX37" s="21">
        <v>2.23</v>
      </c>
      <c r="AY37" s="21">
        <v>2.19</v>
      </c>
      <c r="AZ37" s="21">
        <v>2.21</v>
      </c>
      <c r="BA37" s="21">
        <v>2.2400000000000002</v>
      </c>
      <c r="BB37" s="21">
        <v>2.13</v>
      </c>
      <c r="BC37" s="21">
        <v>2.21</v>
      </c>
    </row>
    <row r="38" spans="1:55" x14ac:dyDescent="0.2">
      <c r="A38" s="21" t="s">
        <v>1413</v>
      </c>
      <c r="B38" s="21" t="s">
        <v>1414</v>
      </c>
      <c r="C38" s="21" t="s">
        <v>215</v>
      </c>
      <c r="D38" s="21">
        <v>4630.3</v>
      </c>
      <c r="E38" s="21">
        <v>4901.8999999999996</v>
      </c>
      <c r="F38" s="21">
        <v>5415</v>
      </c>
      <c r="G38" s="21">
        <v>6242.6</v>
      </c>
      <c r="H38" s="21">
        <v>11118.4</v>
      </c>
      <c r="I38" s="21">
        <v>13021.1</v>
      </c>
      <c r="J38" s="21">
        <v>14050.8</v>
      </c>
      <c r="K38" s="21">
        <v>15415.7</v>
      </c>
      <c r="L38" s="21">
        <v>17550.900000000001</v>
      </c>
      <c r="M38" s="21">
        <v>20375.7</v>
      </c>
      <c r="N38" s="21">
        <v>22606.7</v>
      </c>
      <c r="O38" s="21">
        <v>26158.6</v>
      </c>
      <c r="P38" s="21">
        <v>26348.9</v>
      </c>
      <c r="Q38" s="21">
        <v>26987.3</v>
      </c>
      <c r="R38" s="21">
        <v>28963.200000000001</v>
      </c>
      <c r="S38" s="21">
        <v>29487</v>
      </c>
      <c r="T38" s="21">
        <v>27658.400000000001</v>
      </c>
      <c r="U38" s="21">
        <v>27336.1</v>
      </c>
      <c r="V38" s="21">
        <v>28159.1</v>
      </c>
      <c r="W38" s="21">
        <v>28094.7</v>
      </c>
      <c r="X38" s="21">
        <v>28418.799999999999</v>
      </c>
      <c r="Y38" s="21">
        <v>28021</v>
      </c>
      <c r="Z38" s="21">
        <v>27592.400000000001</v>
      </c>
      <c r="AA38" s="21">
        <v>28112.1</v>
      </c>
      <c r="AB38" s="21">
        <v>27580.3</v>
      </c>
      <c r="AC38" s="21">
        <v>27298.1</v>
      </c>
      <c r="AD38" s="21">
        <v>27911.3</v>
      </c>
      <c r="AE38" s="21">
        <v>28163.1</v>
      </c>
      <c r="AF38" s="21">
        <v>27775</v>
      </c>
      <c r="AG38" s="21">
        <v>27194.1</v>
      </c>
      <c r="AH38" s="21">
        <v>27959.1</v>
      </c>
      <c r="AI38" s="21">
        <v>28095.5</v>
      </c>
      <c r="AJ38" s="21">
        <v>28400.9</v>
      </c>
      <c r="AK38" s="21">
        <v>29253.599999999999</v>
      </c>
      <c r="AL38" s="21">
        <v>31627.3</v>
      </c>
      <c r="AM38" s="21">
        <v>36742.400000000001</v>
      </c>
      <c r="AN38" s="21">
        <v>39794.300000000003</v>
      </c>
      <c r="AO38" s="21">
        <v>42519.9</v>
      </c>
      <c r="AP38" s="21">
        <v>49252.5</v>
      </c>
      <c r="AQ38" s="21">
        <v>45642</v>
      </c>
      <c r="AR38" s="21">
        <v>50244.6</v>
      </c>
      <c r="AS38" s="21">
        <v>50233.4</v>
      </c>
      <c r="AT38" s="21">
        <v>44964.4</v>
      </c>
      <c r="AU38" s="21">
        <v>45260.3</v>
      </c>
      <c r="AV38" s="21">
        <v>44872.6</v>
      </c>
      <c r="AW38" s="21">
        <v>36578.1</v>
      </c>
      <c r="AX38" s="21">
        <v>31694.3</v>
      </c>
      <c r="AY38" s="21">
        <v>30326.1</v>
      </c>
      <c r="AZ38" s="21">
        <v>29227.3</v>
      </c>
      <c r="BA38" s="21">
        <v>25386.799999999999</v>
      </c>
      <c r="BB38" s="21">
        <v>19549.599999999999</v>
      </c>
      <c r="BC38" s="21">
        <v>23295.8</v>
      </c>
    </row>
    <row r="39" spans="1:55" x14ac:dyDescent="0.2">
      <c r="A39" s="21" t="s">
        <v>1413</v>
      </c>
      <c r="B39" s="21" t="s">
        <v>1414</v>
      </c>
      <c r="C39" s="21" t="s">
        <v>219</v>
      </c>
      <c r="D39" s="21">
        <v>0.48</v>
      </c>
      <c r="E39" s="21">
        <v>0.53</v>
      </c>
      <c r="F39" s="21">
        <v>0.56999999999999995</v>
      </c>
      <c r="G39" s="21">
        <v>0.63</v>
      </c>
      <c r="H39" s="21">
        <v>1.23</v>
      </c>
      <c r="I39" s="21">
        <v>1.51</v>
      </c>
      <c r="J39" s="21">
        <v>1.5</v>
      </c>
      <c r="K39" s="21">
        <v>1.56</v>
      </c>
      <c r="L39" s="21">
        <v>1.73</v>
      </c>
      <c r="M39" s="21">
        <v>1.74</v>
      </c>
      <c r="N39" s="21">
        <v>1.87</v>
      </c>
      <c r="O39" s="21">
        <v>2.0699999999999998</v>
      </c>
      <c r="P39" s="21">
        <v>2.1</v>
      </c>
      <c r="Q39" s="21">
        <v>1.91</v>
      </c>
      <c r="R39" s="21">
        <v>1.9</v>
      </c>
      <c r="S39" s="21">
        <v>1.84</v>
      </c>
      <c r="T39" s="21">
        <v>1.74</v>
      </c>
      <c r="U39" s="21">
        <v>1.61</v>
      </c>
      <c r="V39" s="21">
        <v>1.63</v>
      </c>
      <c r="W39" s="21">
        <v>1.62</v>
      </c>
      <c r="X39" s="21">
        <v>1.63</v>
      </c>
      <c r="Y39" s="21">
        <v>1.64</v>
      </c>
      <c r="Z39" s="21">
        <v>1.63</v>
      </c>
      <c r="AA39" s="21">
        <v>1.59</v>
      </c>
      <c r="AB39" s="21">
        <v>1.58</v>
      </c>
      <c r="AC39" s="21">
        <v>1.58</v>
      </c>
      <c r="AD39" s="21">
        <v>1.57</v>
      </c>
      <c r="AE39" s="21">
        <v>1.58</v>
      </c>
      <c r="AF39" s="21">
        <v>1.54</v>
      </c>
      <c r="AG39" s="21">
        <v>1.53</v>
      </c>
      <c r="AH39" s="21">
        <v>1.5</v>
      </c>
      <c r="AI39" s="21">
        <v>1.59</v>
      </c>
      <c r="AJ39" s="21">
        <v>1.69</v>
      </c>
      <c r="AK39" s="21">
        <v>1.67</v>
      </c>
      <c r="AL39" s="21">
        <v>1.92</v>
      </c>
      <c r="AM39" s="21">
        <v>2.46</v>
      </c>
      <c r="AN39" s="21">
        <v>2.71</v>
      </c>
      <c r="AO39" s="21">
        <v>2.81</v>
      </c>
      <c r="AP39" s="21">
        <v>3.39</v>
      </c>
      <c r="AQ39" s="21">
        <v>3.71</v>
      </c>
      <c r="AR39" s="21">
        <v>3.92</v>
      </c>
      <c r="AS39" s="21">
        <v>4.53</v>
      </c>
      <c r="AT39" s="21">
        <v>4.59</v>
      </c>
      <c r="AU39" s="21">
        <v>4.0999999999999996</v>
      </c>
      <c r="AV39" s="21">
        <v>3.75</v>
      </c>
      <c r="AW39" s="21">
        <v>3.54</v>
      </c>
      <c r="AX39" s="21">
        <v>3.18</v>
      </c>
      <c r="AY39" s="21">
        <v>3.4</v>
      </c>
      <c r="AZ39" s="21">
        <v>3.56</v>
      </c>
      <c r="BA39" s="21">
        <v>3.92</v>
      </c>
      <c r="BB39" s="21">
        <v>3.55</v>
      </c>
      <c r="BC39" s="21">
        <v>3.5</v>
      </c>
    </row>
    <row r="40" spans="1:55" x14ac:dyDescent="0.2">
      <c r="A40" s="21" t="s">
        <v>1413</v>
      </c>
      <c r="B40" s="21" t="s">
        <v>1414</v>
      </c>
      <c r="C40" s="21" t="s">
        <v>222</v>
      </c>
      <c r="D40" s="21">
        <v>2393.1</v>
      </c>
      <c r="E40" s="21">
        <v>2265.1</v>
      </c>
      <c r="F40" s="21">
        <v>2438</v>
      </c>
      <c r="G40" s="21">
        <v>2725</v>
      </c>
      <c r="H40" s="21">
        <v>5058.5</v>
      </c>
      <c r="I40" s="21">
        <v>5842.7</v>
      </c>
      <c r="J40" s="21">
        <v>5767.2</v>
      </c>
      <c r="K40" s="21">
        <v>5697.9</v>
      </c>
      <c r="L40" s="21">
        <v>6078.7</v>
      </c>
      <c r="M40" s="21">
        <v>6569.8</v>
      </c>
      <c r="N40" s="21">
        <v>6157</v>
      </c>
      <c r="O40" s="21">
        <v>6793.6</v>
      </c>
      <c r="P40" s="21">
        <v>5708.2</v>
      </c>
      <c r="Q40" s="21">
        <v>5114.5</v>
      </c>
      <c r="R40" s="21">
        <v>5797.7</v>
      </c>
      <c r="S40" s="21">
        <v>5430.8</v>
      </c>
      <c r="T40" s="21">
        <v>4903.6000000000004</v>
      </c>
      <c r="U40" s="21">
        <v>4551.1000000000004</v>
      </c>
      <c r="V40" s="21">
        <v>4868.8999999999996</v>
      </c>
      <c r="W40" s="21">
        <v>4718.7</v>
      </c>
      <c r="X40" s="21">
        <v>4748.3</v>
      </c>
      <c r="Y40" s="21">
        <v>4484.8999999999996</v>
      </c>
      <c r="Z40" s="21">
        <v>4322.1000000000004</v>
      </c>
      <c r="AA40" s="21">
        <v>4207.7</v>
      </c>
      <c r="AB40" s="21">
        <v>4164.2</v>
      </c>
      <c r="AC40" s="21">
        <v>4159.8999999999996</v>
      </c>
      <c r="AD40" s="21">
        <v>4049.2</v>
      </c>
      <c r="AE40" s="21">
        <v>4007.4</v>
      </c>
      <c r="AF40" s="21">
        <v>3634.7</v>
      </c>
      <c r="AG40" s="21">
        <v>3527.9</v>
      </c>
      <c r="AH40" s="21">
        <v>3535.2</v>
      </c>
      <c r="AI40" s="21">
        <v>3635.6</v>
      </c>
      <c r="AJ40" s="21">
        <v>3590</v>
      </c>
      <c r="AK40" s="21">
        <v>3569.8</v>
      </c>
      <c r="AL40" s="21">
        <v>4153.7</v>
      </c>
      <c r="AM40" s="21">
        <v>5060.2</v>
      </c>
      <c r="AN40" s="21">
        <v>5371.5</v>
      </c>
      <c r="AO40" s="21">
        <v>5447.1</v>
      </c>
      <c r="AP40" s="21">
        <v>6352.2</v>
      </c>
      <c r="AQ40" s="21">
        <v>5447.5</v>
      </c>
      <c r="AR40" s="21">
        <v>6648.2</v>
      </c>
      <c r="AS40" s="21">
        <v>7377.2</v>
      </c>
      <c r="AT40" s="21">
        <v>7149.7</v>
      </c>
      <c r="AU40" s="21">
        <v>6509</v>
      </c>
      <c r="AV40" s="21">
        <v>5879.1</v>
      </c>
      <c r="AW40" s="21">
        <v>4992.8</v>
      </c>
      <c r="AX40" s="21">
        <v>3907.4</v>
      </c>
      <c r="AY40" s="21">
        <v>4134.3</v>
      </c>
      <c r="AZ40" s="21">
        <v>4255.8999999999996</v>
      </c>
      <c r="BA40" s="21">
        <v>4439.1000000000004</v>
      </c>
      <c r="BB40" s="21">
        <v>3382.4</v>
      </c>
      <c r="BC40" s="21">
        <v>3683.5</v>
      </c>
    </row>
    <row r="41" spans="1:55" x14ac:dyDescent="0.2">
      <c r="A41" s="21" t="s">
        <v>1413</v>
      </c>
      <c r="B41" s="21" t="s">
        <v>1414</v>
      </c>
      <c r="C41" s="21" t="s">
        <v>232</v>
      </c>
      <c r="D41" s="21">
        <v>1.31</v>
      </c>
      <c r="E41" s="21">
        <v>1.38</v>
      </c>
      <c r="F41" s="21">
        <v>1.38</v>
      </c>
      <c r="G41" s="21">
        <v>1.66</v>
      </c>
      <c r="H41" s="21">
        <v>2.64</v>
      </c>
      <c r="I41" s="21">
        <v>2.8</v>
      </c>
      <c r="J41" s="21">
        <v>2.97</v>
      </c>
      <c r="K41" s="21">
        <v>3.31</v>
      </c>
      <c r="L41" s="21">
        <v>3.43</v>
      </c>
      <c r="M41" s="21">
        <v>5.04</v>
      </c>
      <c r="N41" s="21">
        <v>7.19</v>
      </c>
      <c r="O41" s="21">
        <v>8.5500000000000007</v>
      </c>
      <c r="P41" s="21">
        <v>8.14</v>
      </c>
      <c r="Q41" s="21">
        <v>7.56</v>
      </c>
      <c r="R41" s="21">
        <v>7.62</v>
      </c>
      <c r="S41" s="21">
        <v>7.52</v>
      </c>
      <c r="T41" s="21">
        <v>6.36</v>
      </c>
      <c r="U41" s="21">
        <v>6.76</v>
      </c>
      <c r="V41" s="21">
        <v>6.59</v>
      </c>
      <c r="W41" s="21">
        <v>7.16</v>
      </c>
      <c r="X41" s="21">
        <v>8.4600000000000009</v>
      </c>
      <c r="Y41" s="21">
        <v>8.11</v>
      </c>
      <c r="Z41" s="21">
        <v>8.01</v>
      </c>
      <c r="AA41" s="21">
        <v>8.0500000000000007</v>
      </c>
      <c r="AB41" s="21">
        <v>8.0299999999999994</v>
      </c>
      <c r="AC41" s="21">
        <v>7.98</v>
      </c>
      <c r="AD41" s="21">
        <v>8.83</v>
      </c>
      <c r="AE41" s="21">
        <v>8.58</v>
      </c>
      <c r="AF41" s="21">
        <v>7.5</v>
      </c>
      <c r="AG41" s="21">
        <v>8.14</v>
      </c>
      <c r="AH41" s="21">
        <v>10.7</v>
      </c>
      <c r="AI41" s="21">
        <v>10.01</v>
      </c>
      <c r="AJ41" s="21">
        <v>9.43</v>
      </c>
      <c r="AK41" s="21">
        <v>10.79</v>
      </c>
      <c r="AL41" s="21">
        <v>13.05</v>
      </c>
      <c r="AM41" s="21">
        <v>17.3</v>
      </c>
      <c r="AN41" s="21">
        <v>19.350000000000001</v>
      </c>
      <c r="AO41" s="21">
        <v>20.64</v>
      </c>
      <c r="AP41" s="21">
        <v>27.37</v>
      </c>
      <c r="AQ41" s="21">
        <v>17.68</v>
      </c>
      <c r="AR41" s="21">
        <v>21.66</v>
      </c>
      <c r="AS41" s="21">
        <v>27.79</v>
      </c>
      <c r="AT41" s="21">
        <v>28.66</v>
      </c>
      <c r="AU41" s="21">
        <v>28.35</v>
      </c>
      <c r="AV41" s="21">
        <v>27.62</v>
      </c>
      <c r="AW41" s="21">
        <v>19.55</v>
      </c>
      <c r="AX41" s="21">
        <v>16.68</v>
      </c>
      <c r="AY41" s="21">
        <v>19.18</v>
      </c>
      <c r="AZ41" s="21">
        <v>22.97</v>
      </c>
      <c r="BA41" s="21">
        <v>22.06</v>
      </c>
      <c r="BB41" s="21">
        <v>18.43</v>
      </c>
      <c r="BC41" s="21">
        <v>23.88</v>
      </c>
    </row>
    <row r="42" spans="1:55" x14ac:dyDescent="0.2">
      <c r="A42" s="21" t="s">
        <v>1413</v>
      </c>
      <c r="B42" s="21" t="s">
        <v>1414</v>
      </c>
      <c r="C42" s="21" t="s">
        <v>235</v>
      </c>
      <c r="D42" s="21">
        <v>2057.9</v>
      </c>
      <c r="E42" s="21">
        <v>2351.6</v>
      </c>
      <c r="F42" s="21">
        <v>2682.6</v>
      </c>
      <c r="G42" s="21">
        <v>3695.5</v>
      </c>
      <c r="H42" s="21">
        <v>5803.6</v>
      </c>
      <c r="I42" s="21">
        <v>5937.6</v>
      </c>
      <c r="J42" s="21">
        <v>6784.7</v>
      </c>
      <c r="K42" s="21">
        <v>8237.4</v>
      </c>
      <c r="L42" s="21">
        <v>9184</v>
      </c>
      <c r="M42" s="21">
        <v>14656.1</v>
      </c>
      <c r="N42" s="21">
        <v>20090.400000000001</v>
      </c>
      <c r="O42" s="21">
        <v>24797.7</v>
      </c>
      <c r="P42" s="21">
        <v>22709.5</v>
      </c>
      <c r="Q42" s="21">
        <v>21967.8</v>
      </c>
      <c r="R42" s="21">
        <v>22448</v>
      </c>
      <c r="S42" s="21">
        <v>23830.3</v>
      </c>
      <c r="T42" s="21">
        <v>20473</v>
      </c>
      <c r="U42" s="21">
        <v>22528</v>
      </c>
      <c r="V42" s="21">
        <v>23908.799999999999</v>
      </c>
      <c r="W42" s="21">
        <v>26387</v>
      </c>
      <c r="X42" s="21">
        <v>30982.400000000001</v>
      </c>
      <c r="Y42" s="21">
        <v>29204.5</v>
      </c>
      <c r="Z42" s="21">
        <v>29509.200000000001</v>
      </c>
      <c r="AA42" s="21">
        <v>30571</v>
      </c>
      <c r="AB42" s="21">
        <v>32352.1</v>
      </c>
      <c r="AC42" s="21">
        <v>33457.1</v>
      </c>
      <c r="AD42" s="21">
        <v>39410.400000000001</v>
      </c>
      <c r="AE42" s="21">
        <v>40049.9</v>
      </c>
      <c r="AF42" s="21">
        <v>36043.300000000003</v>
      </c>
      <c r="AG42" s="21">
        <v>40656.1</v>
      </c>
      <c r="AH42" s="21">
        <v>55198.8</v>
      </c>
      <c r="AI42" s="21">
        <v>52914.2</v>
      </c>
      <c r="AJ42" s="21">
        <v>50822.400000000001</v>
      </c>
      <c r="AK42" s="21">
        <v>60237.8</v>
      </c>
      <c r="AL42" s="21">
        <v>77341.399999999994</v>
      </c>
      <c r="AM42" s="21">
        <v>104977.60000000001</v>
      </c>
      <c r="AN42" s="21">
        <v>123646.2</v>
      </c>
      <c r="AO42" s="21">
        <v>132342.6</v>
      </c>
      <c r="AP42" s="21">
        <v>158556.5</v>
      </c>
      <c r="AQ42" s="21">
        <v>97887.1</v>
      </c>
      <c r="AR42" s="21">
        <v>126195.9</v>
      </c>
      <c r="AS42" s="21">
        <v>166755.20000000001</v>
      </c>
      <c r="AT42" s="21">
        <v>164470.79999999999</v>
      </c>
      <c r="AU42" s="21">
        <v>167236.79999999999</v>
      </c>
      <c r="AV42" s="21">
        <v>170097.1</v>
      </c>
      <c r="AW42" s="21">
        <v>122276.5</v>
      </c>
      <c r="AX42" s="21">
        <v>103434.1</v>
      </c>
      <c r="AY42" s="21">
        <v>119899.8</v>
      </c>
      <c r="AZ42" s="21">
        <v>150547.5</v>
      </c>
      <c r="BA42" s="21">
        <v>144951.6</v>
      </c>
      <c r="BB42" s="21">
        <v>113970.3</v>
      </c>
      <c r="BC42" s="21">
        <v>156983.70000000001</v>
      </c>
    </row>
    <row r="43" spans="1:55" x14ac:dyDescent="0.2">
      <c r="A43" s="21" t="s">
        <v>1413</v>
      </c>
      <c r="B43" s="21" t="s">
        <v>1414</v>
      </c>
      <c r="C43" s="21" t="s">
        <v>241</v>
      </c>
      <c r="D43" s="21">
        <v>1.1000000000000001</v>
      </c>
      <c r="E43" s="21">
        <v>1.1599999999999999</v>
      </c>
      <c r="F43" s="21">
        <v>1.1599999999999999</v>
      </c>
      <c r="G43" s="21">
        <v>1.37</v>
      </c>
      <c r="H43" s="21">
        <v>2.29</v>
      </c>
      <c r="I43" s="21">
        <v>2.42</v>
      </c>
      <c r="J43" s="21">
        <v>2.61</v>
      </c>
      <c r="K43" s="21">
        <v>2.98</v>
      </c>
      <c r="L43" s="21">
        <v>3.11</v>
      </c>
      <c r="M43" s="21">
        <v>4.5599999999999996</v>
      </c>
      <c r="N43" s="21">
        <v>6.45</v>
      </c>
      <c r="O43" s="21">
        <v>7.96</v>
      </c>
      <c r="P43" s="21">
        <v>7.68</v>
      </c>
      <c r="Q43" s="21">
        <v>6.61</v>
      </c>
      <c r="R43" s="21">
        <v>6.6</v>
      </c>
      <c r="S43" s="21">
        <v>6.33</v>
      </c>
      <c r="T43" s="21">
        <v>4.1900000000000004</v>
      </c>
      <c r="U43" s="21">
        <v>4.46</v>
      </c>
      <c r="V43" s="21">
        <v>4.18</v>
      </c>
      <c r="W43" s="21">
        <v>4.8899999999999997</v>
      </c>
      <c r="X43" s="21">
        <v>5.97</v>
      </c>
      <c r="Y43" s="21">
        <v>5.46</v>
      </c>
      <c r="Z43" s="21">
        <v>5.09</v>
      </c>
      <c r="AA43" s="21">
        <v>4.93</v>
      </c>
      <c r="AB43" s="21">
        <v>4.74</v>
      </c>
      <c r="AC43" s="21">
        <v>4.7</v>
      </c>
      <c r="AD43" s="21">
        <v>5.63</v>
      </c>
      <c r="AE43" s="21">
        <v>5.28</v>
      </c>
      <c r="AF43" s="21">
        <v>4.1500000000000004</v>
      </c>
      <c r="AG43" s="21">
        <v>4.6500000000000004</v>
      </c>
      <c r="AH43" s="21">
        <v>7.49</v>
      </c>
      <c r="AI43" s="21">
        <v>6.7</v>
      </c>
      <c r="AJ43" s="21">
        <v>6.22</v>
      </c>
      <c r="AK43" s="21">
        <v>7.63</v>
      </c>
      <c r="AL43" s="21">
        <v>9.59</v>
      </c>
      <c r="AM43" s="21">
        <v>13.64</v>
      </c>
      <c r="AN43" s="21">
        <v>15.8</v>
      </c>
      <c r="AO43" s="21">
        <v>17.37</v>
      </c>
      <c r="AP43" s="21">
        <v>24.04</v>
      </c>
      <c r="AQ43" s="21">
        <v>14.78</v>
      </c>
      <c r="AR43" s="21">
        <v>18.47</v>
      </c>
      <c r="AS43" s="21">
        <v>24.69</v>
      </c>
      <c r="AT43" s="21">
        <v>25.34</v>
      </c>
      <c r="AU43" s="21">
        <v>24.79</v>
      </c>
      <c r="AV43" s="21">
        <v>23.16</v>
      </c>
      <c r="AW43" s="21">
        <v>14.26</v>
      </c>
      <c r="AX43" s="21">
        <v>11.8</v>
      </c>
      <c r="AY43" s="21">
        <v>14.03</v>
      </c>
      <c r="AZ43" s="21">
        <v>17.57</v>
      </c>
      <c r="BA43" s="21">
        <v>16.22</v>
      </c>
      <c r="BB43" s="21">
        <v>11.03</v>
      </c>
      <c r="BC43" s="21">
        <v>17.41</v>
      </c>
    </row>
    <row r="44" spans="1:55" x14ac:dyDescent="0.2">
      <c r="A44" s="21" t="s">
        <v>1413</v>
      </c>
      <c r="B44" s="21" t="s">
        <v>1414</v>
      </c>
      <c r="C44" s="21" t="s">
        <v>244</v>
      </c>
      <c r="D44" s="21">
        <v>646.4</v>
      </c>
      <c r="E44" s="21">
        <v>690</v>
      </c>
      <c r="F44" s="21">
        <v>733</v>
      </c>
      <c r="G44" s="21">
        <v>879.8</v>
      </c>
      <c r="H44" s="21">
        <v>1363.7</v>
      </c>
      <c r="I44" s="21">
        <v>1422.6</v>
      </c>
      <c r="J44" s="21">
        <v>1713.1</v>
      </c>
      <c r="K44" s="21">
        <v>2014.1</v>
      </c>
      <c r="L44" s="21">
        <v>2073.4</v>
      </c>
      <c r="M44" s="21">
        <v>2663.2</v>
      </c>
      <c r="N44" s="21">
        <v>3337.4</v>
      </c>
      <c r="O44" s="21">
        <v>3640.9</v>
      </c>
      <c r="P44" s="21">
        <v>3377.8</v>
      </c>
      <c r="Q44" s="21">
        <v>4304.3999999999996</v>
      </c>
      <c r="R44" s="21">
        <v>4855</v>
      </c>
      <c r="S44" s="21">
        <v>3995.1</v>
      </c>
      <c r="T44" s="21">
        <v>2613.8000000000002</v>
      </c>
      <c r="U44" s="21">
        <v>2707.4</v>
      </c>
      <c r="V44" s="21">
        <v>2506.4</v>
      </c>
      <c r="W44" s="21">
        <v>2802.8</v>
      </c>
      <c r="X44" s="21">
        <v>3199.1</v>
      </c>
      <c r="Y44" s="21">
        <v>2822.7</v>
      </c>
      <c r="Z44" s="21">
        <v>2579.3000000000002</v>
      </c>
      <c r="AA44" s="21">
        <v>2432.1999999999998</v>
      </c>
      <c r="AB44" s="21">
        <v>2372.6999999999998</v>
      </c>
      <c r="AC44" s="21">
        <v>2250.4</v>
      </c>
      <c r="AD44" s="21">
        <v>2717.4</v>
      </c>
      <c r="AE44" s="21">
        <v>2343.5</v>
      </c>
      <c r="AF44" s="21">
        <v>1778.3</v>
      </c>
      <c r="AG44" s="21">
        <v>2038.4</v>
      </c>
      <c r="AH44" s="21">
        <v>3672.1</v>
      </c>
      <c r="AI44" s="21">
        <v>3404.2</v>
      </c>
      <c r="AJ44" s="21">
        <v>2758.1</v>
      </c>
      <c r="AK44" s="21">
        <v>3779.4</v>
      </c>
      <c r="AL44" s="21">
        <v>4506.2</v>
      </c>
      <c r="AM44" s="21">
        <v>6098.1</v>
      </c>
      <c r="AN44" s="21">
        <v>6313.9</v>
      </c>
      <c r="AO44" s="21">
        <v>6620.2</v>
      </c>
      <c r="AP44" s="21">
        <v>9229.7000000000007</v>
      </c>
      <c r="AQ44" s="21">
        <v>5836.7</v>
      </c>
      <c r="AR44" s="21">
        <v>7222.5</v>
      </c>
      <c r="AS44" s="21">
        <v>9656.6</v>
      </c>
      <c r="AT44" s="21">
        <v>8987.7000000000007</v>
      </c>
      <c r="AU44" s="21">
        <v>8500.4</v>
      </c>
      <c r="AV44" s="21">
        <v>8241.6</v>
      </c>
      <c r="AW44" s="21">
        <v>5124.8999999999996</v>
      </c>
      <c r="AX44" s="21">
        <v>3838</v>
      </c>
      <c r="AY44" s="21">
        <v>4516.6000000000004</v>
      </c>
      <c r="AZ44" s="21">
        <v>5663.1</v>
      </c>
      <c r="BA44" s="21">
        <v>5295.3</v>
      </c>
      <c r="BB44" s="21">
        <v>3041.4</v>
      </c>
      <c r="BC44" s="21">
        <v>5711.3</v>
      </c>
    </row>
    <row r="45" spans="1:55" x14ac:dyDescent="0.2">
      <c r="A45" s="21" t="s">
        <v>1413</v>
      </c>
      <c r="B45" s="21" t="s">
        <v>1414</v>
      </c>
      <c r="C45" s="21" t="s">
        <v>248</v>
      </c>
      <c r="D45" s="21">
        <v>0.56999999999999995</v>
      </c>
      <c r="E45" s="21">
        <v>0.7</v>
      </c>
      <c r="F45" s="21">
        <v>0.74</v>
      </c>
      <c r="G45" s="21">
        <v>1.05</v>
      </c>
      <c r="H45" s="21">
        <v>2.12</v>
      </c>
      <c r="I45" s="21">
        <v>2.2000000000000002</v>
      </c>
      <c r="J45" s="21">
        <v>2.38</v>
      </c>
      <c r="K45" s="21">
        <v>2.71</v>
      </c>
      <c r="L45" s="21">
        <v>2.76</v>
      </c>
      <c r="M45" s="21">
        <v>4.18</v>
      </c>
      <c r="N45" s="21">
        <v>5.73</v>
      </c>
      <c r="O45" s="21">
        <v>7.3</v>
      </c>
      <c r="P45" s="21">
        <v>6.97</v>
      </c>
      <c r="Q45" s="21">
        <v>6.2</v>
      </c>
      <c r="R45" s="21">
        <v>6.22</v>
      </c>
      <c r="S45" s="21">
        <v>5.89</v>
      </c>
      <c r="T45" s="21">
        <v>3.67</v>
      </c>
      <c r="U45" s="21">
        <v>4.17</v>
      </c>
      <c r="V45" s="21">
        <v>3.81</v>
      </c>
      <c r="W45" s="21">
        <v>4.25</v>
      </c>
      <c r="X45" s="21">
        <v>5.61</v>
      </c>
      <c r="Y45" s="21">
        <v>4.84</v>
      </c>
      <c r="Z45" s="21">
        <v>4.76</v>
      </c>
      <c r="AA45" s="21">
        <v>4.46</v>
      </c>
      <c r="AB45" s="21">
        <v>4.09</v>
      </c>
      <c r="AC45" s="21">
        <v>4.16</v>
      </c>
      <c r="AD45" s="21">
        <v>5.03</v>
      </c>
      <c r="AE45" s="21">
        <v>4.53</v>
      </c>
      <c r="AF45" s="21">
        <v>3.46</v>
      </c>
      <c r="AG45" s="21">
        <v>4.1100000000000003</v>
      </c>
      <c r="AH45" s="21">
        <v>6.87</v>
      </c>
      <c r="AI45" s="21">
        <v>6.16</v>
      </c>
      <c r="AJ45" s="21">
        <v>5.69</v>
      </c>
      <c r="AK45" s="21">
        <v>6.84</v>
      </c>
      <c r="AL45" s="21">
        <v>8.33</v>
      </c>
      <c r="AM45" s="21">
        <v>11.48</v>
      </c>
      <c r="AN45" s="21">
        <v>14.31</v>
      </c>
      <c r="AO45" s="21">
        <v>15.56</v>
      </c>
      <c r="AP45" s="21">
        <v>21.44</v>
      </c>
      <c r="AQ45" s="21">
        <v>13.37</v>
      </c>
      <c r="AR45" s="21">
        <v>16.63</v>
      </c>
      <c r="AS45" s="21">
        <v>22.56</v>
      </c>
      <c r="AT45" s="21">
        <v>23.76</v>
      </c>
      <c r="AU45" s="21">
        <v>23.2</v>
      </c>
      <c r="AV45" s="21">
        <v>22.2</v>
      </c>
      <c r="AW45" s="21">
        <v>14.57</v>
      </c>
      <c r="AX45" s="21">
        <v>11.15</v>
      </c>
      <c r="AY45" s="21">
        <v>13.59</v>
      </c>
      <c r="AZ45" s="21">
        <v>16.27</v>
      </c>
      <c r="BA45" s="21">
        <v>15.48</v>
      </c>
      <c r="BB45" s="21">
        <v>11.02</v>
      </c>
      <c r="BC45" s="21">
        <v>15.93</v>
      </c>
    </row>
    <row r="46" spans="1:55" x14ac:dyDescent="0.2">
      <c r="A46" s="21" t="s">
        <v>1413</v>
      </c>
      <c r="B46" s="21" t="s">
        <v>1414</v>
      </c>
      <c r="C46" s="21" t="s">
        <v>251</v>
      </c>
      <c r="D46" s="21">
        <v>79.8</v>
      </c>
      <c r="E46" s="21">
        <v>140.69999999999999</v>
      </c>
      <c r="F46" s="21">
        <v>192.7</v>
      </c>
      <c r="G46" s="21">
        <v>249.9</v>
      </c>
      <c r="H46" s="21">
        <v>592.4</v>
      </c>
      <c r="I46" s="21">
        <v>458.2</v>
      </c>
      <c r="J46" s="21">
        <v>521.5</v>
      </c>
      <c r="K46" s="21">
        <v>671.6</v>
      </c>
      <c r="L46" s="21">
        <v>692.7</v>
      </c>
      <c r="M46" s="21">
        <v>670.5</v>
      </c>
      <c r="N46" s="21">
        <v>904.3</v>
      </c>
      <c r="O46" s="21">
        <v>876.2</v>
      </c>
      <c r="P46" s="21">
        <v>605.20000000000005</v>
      </c>
      <c r="Q46" s="21">
        <v>596.5</v>
      </c>
      <c r="R46" s="21">
        <v>550.1</v>
      </c>
      <c r="S46" s="21">
        <v>501.7</v>
      </c>
      <c r="T46" s="21">
        <v>305.89999999999998</v>
      </c>
      <c r="U46" s="21">
        <v>373.5</v>
      </c>
      <c r="V46" s="21">
        <v>416.3</v>
      </c>
      <c r="W46" s="21">
        <v>648</v>
      </c>
      <c r="X46" s="21">
        <v>541.5</v>
      </c>
      <c r="Y46" s="21">
        <v>404.9</v>
      </c>
      <c r="Z46" s="21">
        <v>350.1</v>
      </c>
      <c r="AA46" s="21">
        <v>385.7</v>
      </c>
      <c r="AB46" s="21">
        <v>491</v>
      </c>
      <c r="AC46" s="21">
        <v>449</v>
      </c>
      <c r="AD46" s="21">
        <v>549.79999999999995</v>
      </c>
      <c r="AE46" s="21">
        <v>500.9</v>
      </c>
      <c r="AF46" s="21">
        <v>469.2</v>
      </c>
      <c r="AG46" s="21">
        <v>575.79999999999995</v>
      </c>
      <c r="AH46" s="21">
        <v>1199.3</v>
      </c>
      <c r="AI46" s="21">
        <v>1049.4000000000001</v>
      </c>
      <c r="AJ46" s="21">
        <v>724.7</v>
      </c>
      <c r="AK46" s="21">
        <v>1099</v>
      </c>
      <c r="AL46" s="21">
        <v>925.7</v>
      </c>
      <c r="AM46" s="21">
        <v>1314.1</v>
      </c>
      <c r="AN46" s="21">
        <v>1050.5</v>
      </c>
      <c r="AO46" s="21">
        <v>1379.3</v>
      </c>
      <c r="AP46" s="21">
        <v>1555</v>
      </c>
      <c r="AQ46" s="21">
        <v>929.9</v>
      </c>
      <c r="AR46" s="21">
        <v>1324.7</v>
      </c>
      <c r="AS46" s="21">
        <v>1434.4</v>
      </c>
      <c r="AT46" s="21">
        <v>1244.2</v>
      </c>
      <c r="AU46" s="21">
        <v>1283.5</v>
      </c>
      <c r="AV46" s="21">
        <v>1821.3</v>
      </c>
      <c r="AW46" s="21">
        <v>1023.7</v>
      </c>
      <c r="AX46" s="21">
        <v>610.6</v>
      </c>
      <c r="AY46" s="21">
        <v>741.6</v>
      </c>
      <c r="AZ46" s="21">
        <v>1308.3</v>
      </c>
      <c r="BA46" s="21">
        <v>832.3</v>
      </c>
      <c r="BB46" s="21">
        <v>486.8</v>
      </c>
      <c r="BC46" s="21">
        <v>951.1</v>
      </c>
    </row>
    <row r="47" spans="1:55" x14ac:dyDescent="0.2">
      <c r="A47" s="21" t="s">
        <v>1413</v>
      </c>
      <c r="B47" s="21" t="s">
        <v>1414</v>
      </c>
      <c r="C47" s="21" t="s">
        <v>255</v>
      </c>
      <c r="D47" s="21">
        <v>0.72</v>
      </c>
      <c r="E47" s="21">
        <v>0.75</v>
      </c>
      <c r="F47" s="21">
        <v>0.75</v>
      </c>
      <c r="G47" s="21">
        <v>0.92</v>
      </c>
      <c r="H47" s="21">
        <v>2.02</v>
      </c>
      <c r="I47" s="21">
        <v>2.23</v>
      </c>
      <c r="J47" s="21">
        <v>2.38</v>
      </c>
      <c r="K47" s="21">
        <v>2.68</v>
      </c>
      <c r="L47" s="21">
        <v>2.82</v>
      </c>
      <c r="M47" s="21">
        <v>3.85</v>
      </c>
      <c r="N47" s="21">
        <v>5.54</v>
      </c>
      <c r="O47" s="21">
        <v>6.52</v>
      </c>
      <c r="P47" s="21">
        <v>6.61</v>
      </c>
      <c r="Q47" s="21">
        <v>6.58</v>
      </c>
      <c r="R47" s="21">
        <v>6.54</v>
      </c>
      <c r="S47" s="21">
        <v>6.26</v>
      </c>
      <c r="T47" s="21">
        <v>4.04</v>
      </c>
      <c r="U47" s="21">
        <v>4.51</v>
      </c>
      <c r="V47" s="21">
        <v>4.1399999999999997</v>
      </c>
      <c r="W47" s="21">
        <v>4.82</v>
      </c>
      <c r="X47" s="21">
        <v>5.9</v>
      </c>
      <c r="Y47" s="21">
        <v>5.3</v>
      </c>
      <c r="Z47" s="21">
        <v>5.17</v>
      </c>
      <c r="AA47" s="21">
        <v>5.09</v>
      </c>
      <c r="AB47" s="21">
        <v>4.88</v>
      </c>
      <c r="AC47" s="21">
        <v>4.87</v>
      </c>
      <c r="AD47" s="21">
        <v>5.8</v>
      </c>
      <c r="AE47" s="21">
        <v>5.44</v>
      </c>
      <c r="AF47" s="21">
        <v>4.22</v>
      </c>
      <c r="AG47" s="21">
        <v>4.92</v>
      </c>
      <c r="AH47" s="21">
        <v>7.66</v>
      </c>
      <c r="AI47" s="21">
        <v>7.01</v>
      </c>
      <c r="AJ47" s="21">
        <v>6.33</v>
      </c>
      <c r="AK47" s="21">
        <v>7.63</v>
      </c>
      <c r="AL47" s="21">
        <v>10.07</v>
      </c>
      <c r="AM47" s="21">
        <v>14.27</v>
      </c>
      <c r="AN47" s="21">
        <v>16.440000000000001</v>
      </c>
      <c r="AO47" s="21">
        <v>18.010000000000002</v>
      </c>
      <c r="AP47" s="21">
        <v>24.68</v>
      </c>
      <c r="AQ47" s="21">
        <v>14.77</v>
      </c>
      <c r="AR47" s="21">
        <v>18.55</v>
      </c>
      <c r="AS47" s="21">
        <v>24.83</v>
      </c>
      <c r="AT47" s="21">
        <v>25.38</v>
      </c>
      <c r="AU47" s="21">
        <v>24.83</v>
      </c>
      <c r="AV47" s="21">
        <v>23.49</v>
      </c>
      <c r="AW47" s="21">
        <v>14.93</v>
      </c>
      <c r="AX47" s="21">
        <v>12.37</v>
      </c>
      <c r="AY47" s="21">
        <v>14.89</v>
      </c>
      <c r="AZ47" s="21">
        <v>18</v>
      </c>
      <c r="BA47" s="21">
        <v>16.7</v>
      </c>
      <c r="BB47" s="21">
        <v>11.97</v>
      </c>
      <c r="BC47" s="21">
        <v>17.43</v>
      </c>
    </row>
    <row r="48" spans="1:55" x14ac:dyDescent="0.2">
      <c r="A48" s="21" t="s">
        <v>1413</v>
      </c>
      <c r="B48" s="21" t="s">
        <v>1414</v>
      </c>
      <c r="C48" s="21" t="s">
        <v>258</v>
      </c>
      <c r="D48" s="21">
        <v>866.3</v>
      </c>
      <c r="E48" s="21">
        <v>934.3</v>
      </c>
      <c r="F48" s="21">
        <v>1011.9</v>
      </c>
      <c r="G48" s="21">
        <v>1320.2</v>
      </c>
      <c r="H48" s="21">
        <v>2641.6</v>
      </c>
      <c r="I48" s="21">
        <v>2907.2</v>
      </c>
      <c r="J48" s="21">
        <v>3548.8</v>
      </c>
      <c r="K48" s="21">
        <v>4450.5</v>
      </c>
      <c r="L48" s="21">
        <v>4783</v>
      </c>
      <c r="M48" s="21">
        <v>6664.3</v>
      </c>
      <c r="N48" s="21">
        <v>7231.5</v>
      </c>
      <c r="O48" s="21">
        <v>8982.9</v>
      </c>
      <c r="P48" s="21">
        <v>8599.1</v>
      </c>
      <c r="Q48" s="21">
        <v>7476.7</v>
      </c>
      <c r="R48" s="21">
        <v>7815</v>
      </c>
      <c r="S48" s="21">
        <v>6977.4</v>
      </c>
      <c r="T48" s="21">
        <v>4649.5</v>
      </c>
      <c r="U48" s="21">
        <v>5116.8</v>
      </c>
      <c r="V48" s="21">
        <v>4656</v>
      </c>
      <c r="W48" s="21">
        <v>5477.9</v>
      </c>
      <c r="X48" s="21">
        <v>6773.3</v>
      </c>
      <c r="Y48" s="21">
        <v>5694</v>
      </c>
      <c r="Z48" s="21">
        <v>5703.9</v>
      </c>
      <c r="AA48" s="21">
        <v>5672.3</v>
      </c>
      <c r="AB48" s="21">
        <v>5396.9</v>
      </c>
      <c r="AC48" s="21">
        <v>5473</v>
      </c>
      <c r="AD48" s="21">
        <v>6857.4</v>
      </c>
      <c r="AE48" s="21">
        <v>6512.1</v>
      </c>
      <c r="AF48" s="21">
        <v>5084.2</v>
      </c>
      <c r="AG48" s="21">
        <v>5822.9</v>
      </c>
      <c r="AH48" s="21">
        <v>9158.4</v>
      </c>
      <c r="AI48" s="21">
        <v>9055.2999999999993</v>
      </c>
      <c r="AJ48" s="21">
        <v>7585.9</v>
      </c>
      <c r="AK48" s="21">
        <v>8878.7000000000007</v>
      </c>
      <c r="AL48" s="21">
        <v>12167.5</v>
      </c>
      <c r="AM48" s="21">
        <v>17945.099999999999</v>
      </c>
      <c r="AN48" s="21">
        <v>20646.8</v>
      </c>
      <c r="AO48" s="21">
        <v>22573.4</v>
      </c>
      <c r="AP48" s="21">
        <v>33201.4</v>
      </c>
      <c r="AQ48" s="21">
        <v>15810.1</v>
      </c>
      <c r="AR48" s="21">
        <v>21331.3</v>
      </c>
      <c r="AS48" s="21">
        <v>30582.9</v>
      </c>
      <c r="AT48" s="21">
        <v>32153.4</v>
      </c>
      <c r="AU48" s="21">
        <v>31310.6</v>
      </c>
      <c r="AV48" s="21">
        <v>31997.4</v>
      </c>
      <c r="AW48" s="21">
        <v>17376.7</v>
      </c>
      <c r="AX48" s="21">
        <v>14239.2</v>
      </c>
      <c r="AY48" s="21">
        <v>17865.900000000001</v>
      </c>
      <c r="AZ48" s="21">
        <v>22469.4</v>
      </c>
      <c r="BA48" s="21">
        <v>20065.099999999999</v>
      </c>
      <c r="BB48" s="21">
        <v>12734.7</v>
      </c>
      <c r="BC48" s="21">
        <v>20626.099999999999</v>
      </c>
    </row>
    <row r="49" spans="1:55" x14ac:dyDescent="0.2">
      <c r="A49" s="21" t="s">
        <v>1413</v>
      </c>
      <c r="B49" s="21" t="s">
        <v>1414</v>
      </c>
      <c r="C49" s="21" t="s">
        <v>260</v>
      </c>
      <c r="D49" s="21">
        <v>1202038</v>
      </c>
      <c r="E49" s="21">
        <v>1244808</v>
      </c>
      <c r="F49" s="21">
        <v>1354330</v>
      </c>
      <c r="G49" s="21">
        <v>1436459</v>
      </c>
      <c r="H49" s="21">
        <v>1305900</v>
      </c>
      <c r="I49" s="21">
        <v>1304252</v>
      </c>
      <c r="J49" s="21">
        <v>1491055</v>
      </c>
      <c r="K49" s="21">
        <v>1663713</v>
      </c>
      <c r="L49" s="21">
        <v>1697973</v>
      </c>
      <c r="M49" s="21">
        <v>1729742</v>
      </c>
      <c r="N49" s="21">
        <v>1305089</v>
      </c>
      <c r="O49" s="21">
        <v>1376750</v>
      </c>
      <c r="P49" s="21">
        <v>1301085</v>
      </c>
      <c r="Q49" s="21">
        <v>1135518</v>
      </c>
      <c r="R49" s="21">
        <v>1194556</v>
      </c>
      <c r="S49" s="21">
        <v>1114764</v>
      </c>
      <c r="T49" s="21">
        <v>1150126</v>
      </c>
      <c r="U49" s="21">
        <v>1135569</v>
      </c>
      <c r="V49" s="21">
        <v>1125153</v>
      </c>
      <c r="W49" s="21">
        <v>1136560</v>
      </c>
      <c r="X49" s="21">
        <v>1148171</v>
      </c>
      <c r="Y49" s="21">
        <v>1075338</v>
      </c>
      <c r="Z49" s="21">
        <v>1103964</v>
      </c>
      <c r="AA49" s="21">
        <v>1113843</v>
      </c>
      <c r="AB49" s="21">
        <v>1106646</v>
      </c>
      <c r="AC49" s="21">
        <v>1124180</v>
      </c>
      <c r="AD49" s="21">
        <v>1181593</v>
      </c>
      <c r="AE49" s="21">
        <v>1197824</v>
      </c>
      <c r="AF49" s="21">
        <v>1205785</v>
      </c>
      <c r="AG49" s="21">
        <v>1182600</v>
      </c>
      <c r="AH49" s="21">
        <v>1194896</v>
      </c>
      <c r="AI49" s="21">
        <v>1292309</v>
      </c>
      <c r="AJ49" s="21">
        <v>1198190</v>
      </c>
      <c r="AK49" s="21">
        <v>1163927</v>
      </c>
      <c r="AL49" s="21">
        <v>1208214</v>
      </c>
      <c r="AM49" s="21">
        <v>1257648</v>
      </c>
      <c r="AN49" s="21">
        <v>1255565</v>
      </c>
      <c r="AO49" s="21">
        <v>1253556</v>
      </c>
      <c r="AP49" s="21">
        <v>1345373</v>
      </c>
      <c r="AQ49" s="21">
        <v>1070611</v>
      </c>
      <c r="AR49" s="21">
        <v>1150194</v>
      </c>
      <c r="AS49" s="21">
        <v>1231936</v>
      </c>
      <c r="AT49" s="21">
        <v>1266830</v>
      </c>
      <c r="AU49" s="21">
        <v>1261247</v>
      </c>
      <c r="AV49" s="21">
        <v>1361886</v>
      </c>
      <c r="AW49" s="21">
        <v>1164262</v>
      </c>
      <c r="AX49" s="21">
        <v>1151495</v>
      </c>
      <c r="AY49" s="21">
        <v>1199906</v>
      </c>
      <c r="AZ49" s="21">
        <v>1248248</v>
      </c>
      <c r="BA49" s="21">
        <v>1201263</v>
      </c>
      <c r="BB49" s="21">
        <v>1063860</v>
      </c>
      <c r="BC49" s="21">
        <v>1183628</v>
      </c>
    </row>
    <row r="50" spans="1:55" x14ac:dyDescent="0.2">
      <c r="A50" s="21" t="s">
        <v>1413</v>
      </c>
      <c r="B50" s="21" t="s">
        <v>1414</v>
      </c>
      <c r="C50" s="21" t="s">
        <v>264</v>
      </c>
      <c r="D50" s="21">
        <v>1.39</v>
      </c>
      <c r="E50" s="21">
        <v>1.46</v>
      </c>
      <c r="F50" s="21">
        <v>1.47</v>
      </c>
      <c r="G50" s="21">
        <v>1.69</v>
      </c>
      <c r="H50" s="21">
        <v>2.61</v>
      </c>
      <c r="I50" s="21">
        <v>2.74</v>
      </c>
      <c r="J50" s="21">
        <v>2.94</v>
      </c>
      <c r="K50" s="21">
        <v>3.32</v>
      </c>
      <c r="L50" s="21">
        <v>3.51</v>
      </c>
      <c r="M50" s="21">
        <v>5.04</v>
      </c>
      <c r="N50" s="21">
        <v>7.02</v>
      </c>
      <c r="O50" s="21">
        <v>8.6300000000000008</v>
      </c>
      <c r="P50" s="21">
        <v>8.3800000000000008</v>
      </c>
      <c r="Q50" s="21">
        <v>8.11</v>
      </c>
      <c r="R50" s="21">
        <v>8.25</v>
      </c>
      <c r="S50" s="21">
        <v>7.93</v>
      </c>
      <c r="T50" s="21">
        <v>6.36</v>
      </c>
      <c r="U50" s="21">
        <v>6.06</v>
      </c>
      <c r="V50" s="21">
        <v>6.12</v>
      </c>
      <c r="W50" s="21">
        <v>6.76</v>
      </c>
      <c r="X50" s="21">
        <v>8.01</v>
      </c>
      <c r="Y50" s="21">
        <v>7.68</v>
      </c>
      <c r="Z50" s="21">
        <v>7.02</v>
      </c>
      <c r="AA50" s="21">
        <v>6.85</v>
      </c>
      <c r="AB50" s="21">
        <v>6.66</v>
      </c>
      <c r="AC50" s="21">
        <v>6.53</v>
      </c>
      <c r="AD50" s="21">
        <v>7.48</v>
      </c>
      <c r="AE50" s="21">
        <v>7.46</v>
      </c>
      <c r="AF50" s="21">
        <v>6.45</v>
      </c>
      <c r="AG50" s="21">
        <v>6.62</v>
      </c>
      <c r="AH50" s="21">
        <v>9.93</v>
      </c>
      <c r="AI50" s="21">
        <v>9.49</v>
      </c>
      <c r="AJ50" s="21">
        <v>8.61</v>
      </c>
      <c r="AK50" s="21">
        <v>10.33</v>
      </c>
      <c r="AL50" s="21">
        <v>11.74</v>
      </c>
      <c r="AM50" s="21">
        <v>15.54</v>
      </c>
      <c r="AN50" s="21">
        <v>17.96</v>
      </c>
      <c r="AO50" s="21">
        <v>19.760000000000002</v>
      </c>
      <c r="AP50" s="21">
        <v>24.53</v>
      </c>
      <c r="AQ50" s="21">
        <v>18.29</v>
      </c>
      <c r="AR50" s="21">
        <v>21.58</v>
      </c>
      <c r="AS50" s="21">
        <v>25.94</v>
      </c>
      <c r="AT50" s="21">
        <v>28.88</v>
      </c>
      <c r="AU50" s="21">
        <v>28.29</v>
      </c>
      <c r="AV50" s="21">
        <v>27.58</v>
      </c>
      <c r="AW50" s="21">
        <v>19.010000000000002</v>
      </c>
      <c r="AX50" s="21">
        <v>16.239999999999998</v>
      </c>
      <c r="AY50" s="21">
        <v>18.170000000000002</v>
      </c>
      <c r="AZ50" s="21">
        <v>20.100000000000001</v>
      </c>
      <c r="BA50" s="21">
        <v>19.34</v>
      </c>
      <c r="BB50" s="21">
        <v>15.99</v>
      </c>
      <c r="BC50" s="21">
        <v>19.2</v>
      </c>
    </row>
    <row r="51" spans="1:55" x14ac:dyDescent="0.2">
      <c r="A51" s="21" t="s">
        <v>1413</v>
      </c>
      <c r="B51" s="21" t="s">
        <v>1414</v>
      </c>
      <c r="C51" s="21" t="s">
        <v>267</v>
      </c>
      <c r="D51" s="21">
        <v>2602.8000000000002</v>
      </c>
      <c r="E51" s="21">
        <v>2773.8</v>
      </c>
      <c r="F51" s="21">
        <v>2931.6</v>
      </c>
      <c r="G51" s="21">
        <v>3378.5</v>
      </c>
      <c r="H51" s="21">
        <v>4816</v>
      </c>
      <c r="I51" s="21">
        <v>4954.2</v>
      </c>
      <c r="J51" s="21">
        <v>5834.1</v>
      </c>
      <c r="K51" s="21">
        <v>6630.2</v>
      </c>
      <c r="L51" s="21">
        <v>6853.8</v>
      </c>
      <c r="M51" s="21">
        <v>8199.7000000000007</v>
      </c>
      <c r="N51" s="21">
        <v>9233.7999999999993</v>
      </c>
      <c r="O51" s="21">
        <v>9901.7999999999993</v>
      </c>
      <c r="P51" s="21">
        <v>8795.9</v>
      </c>
      <c r="Q51" s="21">
        <v>7500</v>
      </c>
      <c r="R51" s="21">
        <v>8999.4</v>
      </c>
      <c r="S51" s="21">
        <v>8667.5</v>
      </c>
      <c r="T51" s="21">
        <v>7070.4</v>
      </c>
      <c r="U51" s="21">
        <v>7003.3</v>
      </c>
      <c r="V51" s="21">
        <v>7288.3</v>
      </c>
      <c r="W51" s="21">
        <v>7843.2</v>
      </c>
      <c r="X51" s="21">
        <v>7839.1</v>
      </c>
      <c r="Y51" s="21">
        <v>7142.8</v>
      </c>
      <c r="Z51" s="21">
        <v>6876.9</v>
      </c>
      <c r="AA51" s="21">
        <v>6671.1</v>
      </c>
      <c r="AB51" s="21">
        <v>6389</v>
      </c>
      <c r="AC51" s="21">
        <v>5902.7</v>
      </c>
      <c r="AD51" s="21">
        <v>6919.5</v>
      </c>
      <c r="AE51" s="21">
        <v>6515.7</v>
      </c>
      <c r="AF51" s="21">
        <v>4974.7</v>
      </c>
      <c r="AG51" s="21">
        <v>5470.8</v>
      </c>
      <c r="AH51" s="21">
        <v>8979.5</v>
      </c>
      <c r="AI51" s="21">
        <v>8610.2999999999993</v>
      </c>
      <c r="AJ51" s="21">
        <v>7393</v>
      </c>
      <c r="AK51" s="21">
        <v>9617.9</v>
      </c>
      <c r="AL51" s="21">
        <v>10829.6</v>
      </c>
      <c r="AM51" s="21">
        <v>13261.5</v>
      </c>
      <c r="AN51" s="21">
        <v>12738</v>
      </c>
      <c r="AO51" s="21">
        <v>14246.8</v>
      </c>
      <c r="AP51" s="21">
        <v>18393</v>
      </c>
      <c r="AQ51" s="21">
        <v>10640.3</v>
      </c>
      <c r="AR51" s="21">
        <v>12108.8</v>
      </c>
      <c r="AS51" s="21">
        <v>13543.2</v>
      </c>
      <c r="AT51" s="21">
        <v>13913.9</v>
      </c>
      <c r="AU51" s="21">
        <v>13874.5</v>
      </c>
      <c r="AV51" s="21">
        <v>14675.3</v>
      </c>
      <c r="AW51" s="21">
        <v>10458.6</v>
      </c>
      <c r="AX51" s="21">
        <v>7039.5</v>
      </c>
      <c r="AY51" s="21">
        <v>7835.9</v>
      </c>
      <c r="AZ51" s="21">
        <v>10177</v>
      </c>
      <c r="BA51" s="21">
        <v>9081.5</v>
      </c>
      <c r="BB51" s="21">
        <v>6512.9</v>
      </c>
      <c r="BC51" s="21">
        <v>9088</v>
      </c>
    </row>
    <row r="52" spans="1:55" x14ac:dyDescent="0.2">
      <c r="A52" s="21" t="s">
        <v>1413</v>
      </c>
      <c r="B52" s="21" t="s">
        <v>1414</v>
      </c>
      <c r="C52" s="21" t="s">
        <v>269</v>
      </c>
      <c r="D52" s="21">
        <v>24127</v>
      </c>
      <c r="E52" s="21">
        <v>21605</v>
      </c>
      <c r="F52" s="21">
        <v>26632</v>
      </c>
      <c r="G52" s="21">
        <v>32212</v>
      </c>
      <c r="H52" s="21">
        <v>40181</v>
      </c>
      <c r="I52" s="21">
        <v>34711</v>
      </c>
      <c r="J52" s="21">
        <v>38602</v>
      </c>
      <c r="K52" s="21">
        <v>55722</v>
      </c>
      <c r="L52" s="21">
        <v>51918</v>
      </c>
      <c r="M52" s="21">
        <v>34531</v>
      </c>
      <c r="N52" s="21">
        <v>18623</v>
      </c>
      <c r="O52" s="21">
        <v>11819</v>
      </c>
      <c r="P52" s="21">
        <v>11697</v>
      </c>
      <c r="Q52" s="21">
        <v>6757</v>
      </c>
      <c r="R52" s="21">
        <v>8452</v>
      </c>
      <c r="S52" s="21">
        <v>4415</v>
      </c>
      <c r="T52" s="21">
        <v>9978</v>
      </c>
      <c r="U52" s="21">
        <v>5627</v>
      </c>
      <c r="V52" s="21">
        <v>4561</v>
      </c>
      <c r="W52" s="21">
        <v>2499</v>
      </c>
      <c r="X52" s="21">
        <v>2313</v>
      </c>
      <c r="Y52" s="21">
        <v>2592</v>
      </c>
      <c r="Z52" s="21">
        <v>3105</v>
      </c>
      <c r="AA52" s="21">
        <v>3000</v>
      </c>
      <c r="AB52" s="21">
        <v>2904</v>
      </c>
      <c r="AC52" s="21">
        <v>5849</v>
      </c>
      <c r="AD52" s="21">
        <v>4266</v>
      </c>
      <c r="AE52" s="21">
        <v>4196</v>
      </c>
      <c r="AF52" s="21">
        <v>4428</v>
      </c>
      <c r="AG52" s="21">
        <v>3328</v>
      </c>
      <c r="AH52" s="21">
        <v>4213</v>
      </c>
      <c r="AI52" s="21">
        <v>6215</v>
      </c>
      <c r="AJ52" s="21">
        <v>4888</v>
      </c>
      <c r="AK52" s="21">
        <v>5534</v>
      </c>
      <c r="AL52" s="21">
        <v>4747</v>
      </c>
      <c r="AM52" s="21">
        <v>4393</v>
      </c>
      <c r="AN52" s="21">
        <v>2519</v>
      </c>
      <c r="AO52" s="21">
        <v>2429</v>
      </c>
      <c r="AP52" s="21">
        <v>2728</v>
      </c>
      <c r="AQ52" s="21">
        <v>1958</v>
      </c>
      <c r="AR52" s="21">
        <v>2541</v>
      </c>
      <c r="AS52" s="21">
        <v>2787</v>
      </c>
      <c r="AT52" s="21">
        <v>3108</v>
      </c>
      <c r="AU52" s="21">
        <v>2737</v>
      </c>
      <c r="AV52" s="21">
        <v>1781</v>
      </c>
      <c r="AW52" s="21">
        <v>3342</v>
      </c>
      <c r="AX52" s="21">
        <v>2332</v>
      </c>
      <c r="AY52" s="21">
        <v>2263</v>
      </c>
      <c r="AZ52" s="21">
        <v>2528</v>
      </c>
      <c r="BA52" s="21">
        <v>2160</v>
      </c>
      <c r="BB52" s="21">
        <v>1606</v>
      </c>
      <c r="BC52" s="21">
        <v>1406</v>
      </c>
    </row>
    <row r="53" spans="1:55" x14ac:dyDescent="0.2">
      <c r="A53" s="21" t="s">
        <v>1413</v>
      </c>
      <c r="B53" s="21" t="s">
        <v>1414</v>
      </c>
      <c r="C53" s="21" t="s">
        <v>271</v>
      </c>
      <c r="D53" s="21">
        <v>5376877</v>
      </c>
      <c r="E53" s="21">
        <v>5636311</v>
      </c>
      <c r="F53" s="21">
        <v>6183459</v>
      </c>
      <c r="G53" s="21">
        <v>6542547</v>
      </c>
      <c r="H53" s="21">
        <v>6227030</v>
      </c>
      <c r="I53" s="21">
        <v>6026615</v>
      </c>
      <c r="J53" s="21">
        <v>6640896</v>
      </c>
      <c r="K53" s="21">
        <v>7070164</v>
      </c>
      <c r="L53" s="21">
        <v>7244220</v>
      </c>
      <c r="M53" s="21">
        <v>7004726</v>
      </c>
      <c r="N53" s="21">
        <v>6091657</v>
      </c>
      <c r="O53" s="21">
        <v>6002354</v>
      </c>
      <c r="P53" s="21">
        <v>5666886</v>
      </c>
      <c r="Q53" s="21">
        <v>5712968</v>
      </c>
      <c r="R53" s="21">
        <v>6056643</v>
      </c>
      <c r="S53" s="21">
        <v>6093352</v>
      </c>
      <c r="T53" s="21">
        <v>6186313</v>
      </c>
      <c r="U53" s="21">
        <v>6322729</v>
      </c>
      <c r="V53" s="21">
        <v>6650560</v>
      </c>
      <c r="W53" s="21">
        <v>6709206</v>
      </c>
      <c r="X53" s="21">
        <v>6419767</v>
      </c>
      <c r="Y53" s="21">
        <v>6207330</v>
      </c>
      <c r="Z53" s="21">
        <v>6347736</v>
      </c>
      <c r="AA53" s="21">
        <v>6463001</v>
      </c>
      <c r="AB53" s="21">
        <v>6714639</v>
      </c>
      <c r="AC53" s="21">
        <v>6805989</v>
      </c>
      <c r="AD53" s="21">
        <v>7164106</v>
      </c>
      <c r="AE53" s="21">
        <v>7293723</v>
      </c>
      <c r="AF53" s="21">
        <v>7347453</v>
      </c>
      <c r="AG53" s="21">
        <v>7583362</v>
      </c>
      <c r="AH53" s="21">
        <v>7923098</v>
      </c>
      <c r="AI53" s="21">
        <v>8164138</v>
      </c>
      <c r="AJ53" s="21">
        <v>8014893</v>
      </c>
      <c r="AK53" s="21">
        <v>8335264</v>
      </c>
      <c r="AL53" s="21">
        <v>8636868</v>
      </c>
      <c r="AM53" s="21">
        <v>8740492</v>
      </c>
      <c r="AN53" s="21">
        <v>8828086</v>
      </c>
      <c r="AO53" s="21">
        <v>8855813</v>
      </c>
      <c r="AP53" s="21">
        <v>8343731</v>
      </c>
      <c r="AQ53" s="21">
        <v>7654554</v>
      </c>
      <c r="AR53" s="21">
        <v>8008048</v>
      </c>
      <c r="AS53" s="21">
        <v>8208396</v>
      </c>
      <c r="AT53" s="21">
        <v>7893979</v>
      </c>
      <c r="AU53" s="21">
        <v>8048318</v>
      </c>
      <c r="AV53" s="21">
        <v>8490547</v>
      </c>
      <c r="AW53" s="21">
        <v>8399164</v>
      </c>
      <c r="AX53" s="21">
        <v>8167277</v>
      </c>
      <c r="AY53" s="21">
        <v>8260466</v>
      </c>
      <c r="AZ53" s="21">
        <v>8712146</v>
      </c>
      <c r="BA53" s="21">
        <v>8623446</v>
      </c>
      <c r="BB53" s="21">
        <v>7973850</v>
      </c>
      <c r="BC53" s="21">
        <v>8617817</v>
      </c>
    </row>
    <row r="54" spans="1:55" x14ac:dyDescent="0.2">
      <c r="A54" s="21" t="s">
        <v>1413</v>
      </c>
      <c r="B54" s="21" t="s">
        <v>1414</v>
      </c>
      <c r="C54" s="21" t="s">
        <v>275</v>
      </c>
      <c r="D54" s="21">
        <v>1.1599999999999999</v>
      </c>
      <c r="E54" s="21">
        <v>1.22</v>
      </c>
      <c r="F54" s="21">
        <v>1.22</v>
      </c>
      <c r="G54" s="21">
        <v>1.46</v>
      </c>
      <c r="H54" s="21">
        <v>2.44</v>
      </c>
      <c r="I54" s="21">
        <v>2.6</v>
      </c>
      <c r="J54" s="21">
        <v>2.77</v>
      </c>
      <c r="K54" s="21">
        <v>3.11</v>
      </c>
      <c r="L54" s="21">
        <v>3.26</v>
      </c>
      <c r="M54" s="21">
        <v>4.6900000000000004</v>
      </c>
      <c r="N54" s="21">
        <v>6.7</v>
      </c>
      <c r="O54" s="21">
        <v>8.0299999999999994</v>
      </c>
      <c r="P54" s="21">
        <v>7.78</v>
      </c>
      <c r="Q54" s="21">
        <v>7.32</v>
      </c>
      <c r="R54" s="21">
        <v>7.37</v>
      </c>
      <c r="S54" s="21">
        <v>7.22</v>
      </c>
      <c r="T54" s="21">
        <v>5.68</v>
      </c>
      <c r="U54" s="21">
        <v>5.97</v>
      </c>
      <c r="V54" s="21">
        <v>5.83</v>
      </c>
      <c r="W54" s="21">
        <v>6.43</v>
      </c>
      <c r="X54" s="21">
        <v>7.68</v>
      </c>
      <c r="Y54" s="21">
        <v>7.29</v>
      </c>
      <c r="Z54" s="21">
        <v>7.09</v>
      </c>
      <c r="AA54" s="21">
        <v>7.08</v>
      </c>
      <c r="AB54" s="21">
        <v>7</v>
      </c>
      <c r="AC54" s="21">
        <v>6.98</v>
      </c>
      <c r="AD54" s="21">
        <v>7.88</v>
      </c>
      <c r="AE54" s="21">
        <v>7.67</v>
      </c>
      <c r="AF54" s="21">
        <v>6.58</v>
      </c>
      <c r="AG54" s="21">
        <v>7.2</v>
      </c>
      <c r="AH54" s="21">
        <v>9.8699999999999992</v>
      </c>
      <c r="AI54" s="21">
        <v>9.19</v>
      </c>
      <c r="AJ54" s="21">
        <v>8.64</v>
      </c>
      <c r="AK54" s="21">
        <v>10.029999999999999</v>
      </c>
      <c r="AL54" s="21">
        <v>12.25</v>
      </c>
      <c r="AM54" s="21">
        <v>16.43</v>
      </c>
      <c r="AN54" s="21">
        <v>18.62</v>
      </c>
      <c r="AO54" s="21">
        <v>20.010000000000002</v>
      </c>
      <c r="AP54" s="21">
        <v>26.48</v>
      </c>
      <c r="AQ54" s="21">
        <v>17.13</v>
      </c>
      <c r="AR54" s="21">
        <v>21</v>
      </c>
      <c r="AS54" s="21">
        <v>27.04</v>
      </c>
      <c r="AT54" s="21">
        <v>27.97</v>
      </c>
      <c r="AU54" s="21">
        <v>27.61</v>
      </c>
      <c r="AV54" s="21">
        <v>26.72</v>
      </c>
      <c r="AW54" s="21">
        <v>18.600000000000001</v>
      </c>
      <c r="AX54" s="21">
        <v>15.81</v>
      </c>
      <c r="AY54" s="21">
        <v>18.260000000000002</v>
      </c>
      <c r="AZ54" s="21">
        <v>21.83</v>
      </c>
      <c r="BA54" s="21">
        <v>20.9</v>
      </c>
      <c r="BB54" s="21">
        <v>17.149999999999999</v>
      </c>
      <c r="BC54" s="21">
        <v>22.44</v>
      </c>
    </row>
    <row r="55" spans="1:55" x14ac:dyDescent="0.2">
      <c r="A55" s="21" t="s">
        <v>1413</v>
      </c>
      <c r="B55" s="21" t="s">
        <v>1414</v>
      </c>
      <c r="C55" s="21" t="s">
        <v>280</v>
      </c>
      <c r="D55" s="21">
        <v>6253.2</v>
      </c>
      <c r="E55" s="21">
        <v>6890.3</v>
      </c>
      <c r="F55" s="21">
        <v>7551.7</v>
      </c>
      <c r="G55" s="21">
        <v>9523.7000000000007</v>
      </c>
      <c r="H55" s="21">
        <v>15217.5</v>
      </c>
      <c r="I55" s="21">
        <v>15679.9</v>
      </c>
      <c r="J55" s="21">
        <v>18402.3</v>
      </c>
      <c r="K55" s="21">
        <v>22003.9</v>
      </c>
      <c r="L55" s="21">
        <v>23587</v>
      </c>
      <c r="M55" s="21">
        <v>32853.9</v>
      </c>
      <c r="N55" s="21">
        <v>40797.4</v>
      </c>
      <c r="O55" s="21">
        <v>48199.6</v>
      </c>
      <c r="P55" s="21">
        <v>44087.4</v>
      </c>
      <c r="Q55" s="21">
        <v>41845.5</v>
      </c>
      <c r="R55" s="21">
        <v>44667.5</v>
      </c>
      <c r="S55" s="21">
        <v>43972</v>
      </c>
      <c r="T55" s="21">
        <v>35112.5</v>
      </c>
      <c r="U55" s="21">
        <v>37729</v>
      </c>
      <c r="V55" s="21">
        <v>38775.800000000003</v>
      </c>
      <c r="W55" s="21">
        <v>43158.9</v>
      </c>
      <c r="X55" s="21">
        <v>49335.4</v>
      </c>
      <c r="Y55" s="21">
        <v>45269</v>
      </c>
      <c r="Z55" s="21">
        <v>45019.4</v>
      </c>
      <c r="AA55" s="21">
        <v>45732.3</v>
      </c>
      <c r="AB55" s="21">
        <v>47001.599999999999</v>
      </c>
      <c r="AC55" s="21">
        <v>47532.2</v>
      </c>
      <c r="AD55" s="21">
        <v>56454.5</v>
      </c>
      <c r="AE55" s="21">
        <v>55922.1</v>
      </c>
      <c r="AF55" s="21">
        <v>48349.7</v>
      </c>
      <c r="AG55" s="21">
        <v>54564</v>
      </c>
      <c r="AH55" s="21">
        <v>78208.2</v>
      </c>
      <c r="AI55" s="21">
        <v>75033.5</v>
      </c>
      <c r="AJ55" s="21">
        <v>69284.100000000006</v>
      </c>
      <c r="AK55" s="21">
        <v>83612.7</v>
      </c>
      <c r="AL55" s="21">
        <v>105770.4</v>
      </c>
      <c r="AM55" s="21">
        <v>143596.4</v>
      </c>
      <c r="AN55" s="21">
        <v>164395.4</v>
      </c>
      <c r="AO55" s="21">
        <v>177162.3</v>
      </c>
      <c r="AP55" s="21">
        <v>220935.6</v>
      </c>
      <c r="AQ55" s="21">
        <v>131104.1</v>
      </c>
      <c r="AR55" s="21">
        <v>168183.3</v>
      </c>
      <c r="AS55" s="21">
        <v>221972.3</v>
      </c>
      <c r="AT55" s="21">
        <v>220769.9</v>
      </c>
      <c r="AU55" s="21">
        <v>222205.9</v>
      </c>
      <c r="AV55" s="21">
        <v>226832.7</v>
      </c>
      <c r="AW55" s="21">
        <v>156260.5</v>
      </c>
      <c r="AX55" s="21">
        <v>129161.4</v>
      </c>
      <c r="AY55" s="21">
        <v>150859.79999999999</v>
      </c>
      <c r="AZ55" s="21">
        <v>190165.4</v>
      </c>
      <c r="BA55" s="21">
        <v>180225.8</v>
      </c>
      <c r="BB55" s="21">
        <v>136746.1</v>
      </c>
      <c r="BC55" s="21">
        <v>193360.2</v>
      </c>
    </row>
    <row r="56" spans="1:55" x14ac:dyDescent="0.2">
      <c r="A56" s="21" t="s">
        <v>1413</v>
      </c>
      <c r="B56" s="21" t="s">
        <v>1414</v>
      </c>
      <c r="C56" s="21" t="s">
        <v>284</v>
      </c>
      <c r="D56" s="21">
        <v>1.18</v>
      </c>
      <c r="E56" s="21">
        <v>1.24</v>
      </c>
      <c r="F56" s="21">
        <v>1.24</v>
      </c>
      <c r="G56" s="21">
        <v>1.47</v>
      </c>
      <c r="H56" s="21">
        <v>2.46</v>
      </c>
      <c r="I56" s="21">
        <v>2.62</v>
      </c>
      <c r="J56" s="21">
        <v>2.78</v>
      </c>
      <c r="K56" s="21">
        <v>3.13</v>
      </c>
      <c r="L56" s="21">
        <v>3.27</v>
      </c>
      <c r="M56" s="21">
        <v>4.7</v>
      </c>
      <c r="N56" s="21">
        <v>6.72</v>
      </c>
      <c r="O56" s="21">
        <v>8.0399999999999991</v>
      </c>
      <c r="P56" s="21">
        <v>7.79</v>
      </c>
      <c r="Q56" s="21">
        <v>7.34</v>
      </c>
      <c r="R56" s="21">
        <v>7.39</v>
      </c>
      <c r="S56" s="21">
        <v>7.24</v>
      </c>
      <c r="T56" s="21">
        <v>5.7</v>
      </c>
      <c r="U56" s="21">
        <v>5.99</v>
      </c>
      <c r="V56" s="21">
        <v>5.86</v>
      </c>
      <c r="W56" s="21">
        <v>6.48</v>
      </c>
      <c r="X56" s="21">
        <v>7.72</v>
      </c>
      <c r="Y56" s="21">
        <v>7.33</v>
      </c>
      <c r="Z56" s="21">
        <v>7.12</v>
      </c>
      <c r="AA56" s="21">
        <v>7.11</v>
      </c>
      <c r="AB56" s="21">
        <v>7.05</v>
      </c>
      <c r="AC56" s="21">
        <v>7.03</v>
      </c>
      <c r="AD56" s="21">
        <v>7.92</v>
      </c>
      <c r="AE56" s="21">
        <v>7.72</v>
      </c>
      <c r="AF56" s="21">
        <v>6.64</v>
      </c>
      <c r="AG56" s="21">
        <v>7.25</v>
      </c>
      <c r="AH56" s="21">
        <v>9.94</v>
      </c>
      <c r="AI56" s="21">
        <v>9.26</v>
      </c>
      <c r="AJ56" s="21">
        <v>8.69</v>
      </c>
      <c r="AK56" s="21">
        <v>10.09</v>
      </c>
      <c r="AL56" s="21">
        <v>12.3</v>
      </c>
      <c r="AM56" s="21">
        <v>16.489999999999998</v>
      </c>
      <c r="AN56" s="21">
        <v>18.66</v>
      </c>
      <c r="AO56" s="21">
        <v>20.05</v>
      </c>
      <c r="AP56" s="21">
        <v>26.52</v>
      </c>
      <c r="AQ56" s="21">
        <v>17.16</v>
      </c>
      <c r="AR56" s="21">
        <v>21.05</v>
      </c>
      <c r="AS56" s="21">
        <v>27.08</v>
      </c>
      <c r="AT56" s="21">
        <v>27.99</v>
      </c>
      <c r="AU56" s="21">
        <v>27.64</v>
      </c>
      <c r="AV56" s="21">
        <v>26.76</v>
      </c>
      <c r="AW56" s="21">
        <v>18.64</v>
      </c>
      <c r="AX56" s="21">
        <v>15.85</v>
      </c>
      <c r="AY56" s="21">
        <v>18.29</v>
      </c>
      <c r="AZ56" s="21">
        <v>21.88</v>
      </c>
      <c r="BA56" s="21">
        <v>20.93</v>
      </c>
      <c r="BB56" s="21">
        <v>17.18</v>
      </c>
      <c r="BC56" s="21">
        <v>22.48</v>
      </c>
    </row>
    <row r="57" spans="1:55" x14ac:dyDescent="0.2">
      <c r="A57" s="21" t="s">
        <v>1413</v>
      </c>
      <c r="B57" s="21" t="s">
        <v>1414</v>
      </c>
      <c r="C57" s="21" t="s">
        <v>287</v>
      </c>
      <c r="D57" s="21">
        <v>6173.5</v>
      </c>
      <c r="E57" s="21">
        <v>6749.6</v>
      </c>
      <c r="F57" s="21">
        <v>7359.1</v>
      </c>
      <c r="G57" s="21">
        <v>9273.9</v>
      </c>
      <c r="H57" s="21">
        <v>14625</v>
      </c>
      <c r="I57" s="21">
        <v>15221.6</v>
      </c>
      <c r="J57" s="21">
        <v>17880.8</v>
      </c>
      <c r="K57" s="21">
        <v>21332.3</v>
      </c>
      <c r="L57" s="21">
        <v>22894.3</v>
      </c>
      <c r="M57" s="21">
        <v>32183.4</v>
      </c>
      <c r="N57" s="21">
        <v>39893.1</v>
      </c>
      <c r="O57" s="21">
        <v>47323.3</v>
      </c>
      <c r="P57" s="21">
        <v>43482.2</v>
      </c>
      <c r="Q57" s="21">
        <v>41249</v>
      </c>
      <c r="R57" s="21">
        <v>44117.5</v>
      </c>
      <c r="S57" s="21">
        <v>43470.3</v>
      </c>
      <c r="T57" s="21">
        <v>34806.699999999997</v>
      </c>
      <c r="U57" s="21">
        <v>37355.5</v>
      </c>
      <c r="V57" s="21">
        <v>38359.5</v>
      </c>
      <c r="W57" s="21">
        <v>42510.9</v>
      </c>
      <c r="X57" s="21">
        <v>48793.9</v>
      </c>
      <c r="Y57" s="21">
        <v>44864.1</v>
      </c>
      <c r="Z57" s="21">
        <v>44669.3</v>
      </c>
      <c r="AA57" s="21">
        <v>45346.6</v>
      </c>
      <c r="AB57" s="21">
        <v>46510.7</v>
      </c>
      <c r="AC57" s="21">
        <v>47083.199999999997</v>
      </c>
      <c r="AD57" s="21">
        <v>55904.7</v>
      </c>
      <c r="AE57" s="21">
        <v>55421.2</v>
      </c>
      <c r="AF57" s="21">
        <v>47880.4</v>
      </c>
      <c r="AG57" s="21">
        <v>53988.2</v>
      </c>
      <c r="AH57" s="21">
        <v>77008.800000000003</v>
      </c>
      <c r="AI57" s="21">
        <v>73984.100000000006</v>
      </c>
      <c r="AJ57" s="21">
        <v>68559.399999999994</v>
      </c>
      <c r="AK57" s="21">
        <v>82513.7</v>
      </c>
      <c r="AL57" s="21">
        <v>104844.7</v>
      </c>
      <c r="AM57" s="21">
        <v>142282.29999999999</v>
      </c>
      <c r="AN57" s="21">
        <v>163344.9</v>
      </c>
      <c r="AO57" s="21">
        <v>175782.9</v>
      </c>
      <c r="AP57" s="21">
        <v>219380.6</v>
      </c>
      <c r="AQ57" s="21">
        <v>130174.2</v>
      </c>
      <c r="AR57" s="21">
        <v>166858.5</v>
      </c>
      <c r="AS57" s="21">
        <v>220537.9</v>
      </c>
      <c r="AT57" s="21">
        <v>219525.8</v>
      </c>
      <c r="AU57" s="21">
        <v>220922.4</v>
      </c>
      <c r="AV57" s="21">
        <v>225011.4</v>
      </c>
      <c r="AW57" s="21">
        <v>155236.79999999999</v>
      </c>
      <c r="AX57" s="21">
        <v>128550.8</v>
      </c>
      <c r="AY57" s="21">
        <v>150118.20000000001</v>
      </c>
      <c r="AZ57" s="21">
        <v>188857</v>
      </c>
      <c r="BA57" s="21">
        <v>179393.5</v>
      </c>
      <c r="BB57" s="21">
        <v>136259.29999999999</v>
      </c>
      <c r="BC57" s="21">
        <v>192409.1</v>
      </c>
    </row>
    <row r="58" spans="1:55" x14ac:dyDescent="0.2">
      <c r="A58" s="21" t="s">
        <v>1413</v>
      </c>
      <c r="B58" s="21" t="s">
        <v>1414</v>
      </c>
      <c r="C58" s="21" t="s">
        <v>291</v>
      </c>
      <c r="D58" s="21">
        <v>0.56999999999999995</v>
      </c>
      <c r="E58" s="21">
        <v>0.7</v>
      </c>
      <c r="F58" s="21">
        <v>0.88</v>
      </c>
      <c r="G58" s="21">
        <v>1.1499999999999999</v>
      </c>
      <c r="H58" s="21">
        <v>2.14</v>
      </c>
      <c r="I58" s="21">
        <v>2.2200000000000002</v>
      </c>
      <c r="J58" s="21">
        <v>2.39</v>
      </c>
      <c r="K58" s="21">
        <v>2.72</v>
      </c>
      <c r="L58" s="21">
        <v>2.78</v>
      </c>
      <c r="M58" s="21">
        <v>4.1500000000000004</v>
      </c>
      <c r="N58" s="21">
        <v>5.75</v>
      </c>
      <c r="O58" s="21">
        <v>7.32</v>
      </c>
      <c r="P58" s="21">
        <v>6.99</v>
      </c>
      <c r="Q58" s="21">
        <v>6.2</v>
      </c>
      <c r="R58" s="21">
        <v>6.22</v>
      </c>
      <c r="S58" s="21">
        <v>5.89</v>
      </c>
      <c r="T58" s="21">
        <v>3.67</v>
      </c>
      <c r="U58" s="21">
        <v>4.17</v>
      </c>
      <c r="V58" s="21">
        <v>3.81</v>
      </c>
      <c r="W58" s="21">
        <v>4.25</v>
      </c>
      <c r="X58" s="21">
        <v>5.61</v>
      </c>
      <c r="Y58" s="21">
        <v>4.84</v>
      </c>
      <c r="Z58" s="21">
        <v>4.76</v>
      </c>
      <c r="AA58" s="21">
        <v>4.46</v>
      </c>
      <c r="AB58" s="21">
        <v>4.09</v>
      </c>
      <c r="AC58" s="21">
        <v>4.16</v>
      </c>
      <c r="AD58" s="21">
        <v>5.03</v>
      </c>
      <c r="AE58" s="21">
        <v>4.53</v>
      </c>
      <c r="AF58" s="21">
        <v>3.46</v>
      </c>
      <c r="AG58" s="21">
        <v>4.1100000000000003</v>
      </c>
      <c r="AH58" s="21">
        <v>6.87</v>
      </c>
      <c r="AI58" s="21">
        <v>6.16</v>
      </c>
      <c r="AJ58" s="21">
        <v>5.69</v>
      </c>
      <c r="AK58" s="21">
        <v>6.84</v>
      </c>
      <c r="AL58" s="21">
        <v>8.33</v>
      </c>
      <c r="AM58" s="21">
        <v>11.48</v>
      </c>
      <c r="AN58" s="21">
        <v>14.31</v>
      </c>
      <c r="AO58" s="21">
        <v>15.56</v>
      </c>
      <c r="AP58" s="21">
        <v>21.44</v>
      </c>
      <c r="AQ58" s="21">
        <v>13.37</v>
      </c>
      <c r="AR58" s="21">
        <v>16.63</v>
      </c>
      <c r="AS58" s="21">
        <v>22.56</v>
      </c>
      <c r="AT58" s="21">
        <v>23.76</v>
      </c>
      <c r="AU58" s="21">
        <v>23.2</v>
      </c>
      <c r="AV58" s="21">
        <v>22.2</v>
      </c>
      <c r="AW58" s="21">
        <v>14.57</v>
      </c>
      <c r="AX58" s="21">
        <v>11.15</v>
      </c>
      <c r="AY58" s="21">
        <v>13.59</v>
      </c>
      <c r="AZ58" s="21">
        <v>16.27</v>
      </c>
      <c r="BA58" s="21">
        <v>15.48</v>
      </c>
      <c r="BB58" s="21">
        <v>11.02</v>
      </c>
      <c r="BC58" s="21">
        <v>15.93</v>
      </c>
    </row>
    <row r="59" spans="1:55" x14ac:dyDescent="0.2">
      <c r="A59" s="21" t="s">
        <v>1413</v>
      </c>
      <c r="B59" s="21" t="s">
        <v>1414</v>
      </c>
      <c r="C59" s="21" t="s">
        <v>294</v>
      </c>
      <c r="D59" s="21">
        <v>79.8</v>
      </c>
      <c r="E59" s="21">
        <v>140.69999999999999</v>
      </c>
      <c r="F59" s="21">
        <v>274.10000000000002</v>
      </c>
      <c r="G59" s="21">
        <v>313.10000000000002</v>
      </c>
      <c r="H59" s="21">
        <v>661.5</v>
      </c>
      <c r="I59" s="21">
        <v>501.9</v>
      </c>
      <c r="J59" s="21">
        <v>582.1</v>
      </c>
      <c r="K59" s="21">
        <v>771.4</v>
      </c>
      <c r="L59" s="21">
        <v>767.5</v>
      </c>
      <c r="M59" s="21">
        <v>740.4</v>
      </c>
      <c r="N59" s="21">
        <v>971.8</v>
      </c>
      <c r="O59" s="21">
        <v>908.1</v>
      </c>
      <c r="P59" s="21">
        <v>624.4</v>
      </c>
      <c r="Q59" s="21">
        <v>596.5</v>
      </c>
      <c r="R59" s="21">
        <v>550.1</v>
      </c>
      <c r="S59" s="21">
        <v>501.7</v>
      </c>
      <c r="T59" s="21">
        <v>305.89999999999998</v>
      </c>
      <c r="U59" s="21">
        <v>373.5</v>
      </c>
      <c r="V59" s="21">
        <v>416.3</v>
      </c>
      <c r="W59" s="21">
        <v>648</v>
      </c>
      <c r="X59" s="21">
        <v>541.5</v>
      </c>
      <c r="Y59" s="21">
        <v>404.9</v>
      </c>
      <c r="Z59" s="21">
        <v>350.1</v>
      </c>
      <c r="AA59" s="21">
        <v>385.7</v>
      </c>
      <c r="AB59" s="21">
        <v>491</v>
      </c>
      <c r="AC59" s="21">
        <v>449</v>
      </c>
      <c r="AD59" s="21">
        <v>549.79999999999995</v>
      </c>
      <c r="AE59" s="21">
        <v>500.9</v>
      </c>
      <c r="AF59" s="21">
        <v>469.2</v>
      </c>
      <c r="AG59" s="21">
        <v>575.79999999999995</v>
      </c>
      <c r="AH59" s="21">
        <v>1199.3</v>
      </c>
      <c r="AI59" s="21">
        <v>1049.4000000000001</v>
      </c>
      <c r="AJ59" s="21">
        <v>724.7</v>
      </c>
      <c r="AK59" s="21">
        <v>1099</v>
      </c>
      <c r="AL59" s="21">
        <v>925.7</v>
      </c>
      <c r="AM59" s="21">
        <v>1314.1</v>
      </c>
      <c r="AN59" s="21">
        <v>1050.5</v>
      </c>
      <c r="AO59" s="21">
        <v>1379.3</v>
      </c>
      <c r="AP59" s="21">
        <v>1555</v>
      </c>
      <c r="AQ59" s="21">
        <v>929.9</v>
      </c>
      <c r="AR59" s="21">
        <v>1324.7</v>
      </c>
      <c r="AS59" s="21">
        <v>1434.4</v>
      </c>
      <c r="AT59" s="21">
        <v>1244.2</v>
      </c>
      <c r="AU59" s="21">
        <v>1283.5</v>
      </c>
      <c r="AV59" s="21">
        <v>1821.3</v>
      </c>
      <c r="AW59" s="21">
        <v>1023.7</v>
      </c>
      <c r="AX59" s="21">
        <v>610.6</v>
      </c>
      <c r="AY59" s="21">
        <v>741.6</v>
      </c>
      <c r="AZ59" s="21">
        <v>1308.3</v>
      </c>
      <c r="BA59" s="21">
        <v>832.3</v>
      </c>
      <c r="BB59" s="21">
        <v>486.8</v>
      </c>
      <c r="BC59" s="21">
        <v>951.1</v>
      </c>
    </row>
    <row r="60" spans="1:55" x14ac:dyDescent="0.2">
      <c r="A60" s="21" t="s">
        <v>1413</v>
      </c>
      <c r="B60" s="21" t="s">
        <v>1414</v>
      </c>
      <c r="C60" s="21" t="s">
        <v>305</v>
      </c>
      <c r="D60" s="21">
        <v>1.27</v>
      </c>
      <c r="E60" s="21">
        <v>1.36</v>
      </c>
      <c r="F60" s="21">
        <v>1.44</v>
      </c>
      <c r="G60" s="21">
        <v>1.55</v>
      </c>
      <c r="H60" s="21">
        <v>2.1</v>
      </c>
      <c r="I60" s="21">
        <v>2.57</v>
      </c>
      <c r="J60" s="21">
        <v>2.74</v>
      </c>
      <c r="K60" s="21">
        <v>3.1</v>
      </c>
      <c r="L60" s="21">
        <v>3.46</v>
      </c>
      <c r="M60" s="21">
        <v>3.78</v>
      </c>
      <c r="N60" s="21">
        <v>4.58</v>
      </c>
      <c r="O60" s="21">
        <v>5.32</v>
      </c>
      <c r="P60" s="21">
        <v>6.14</v>
      </c>
      <c r="Q60" s="21">
        <v>6.15</v>
      </c>
      <c r="R60" s="21">
        <v>5.99</v>
      </c>
      <c r="S60" s="21">
        <v>6.17</v>
      </c>
      <c r="T60" s="21">
        <v>6.12</v>
      </c>
      <c r="U60" s="21">
        <v>5.92</v>
      </c>
      <c r="V60" s="21">
        <v>5.83</v>
      </c>
      <c r="W60" s="21">
        <v>5.86</v>
      </c>
      <c r="X60" s="21">
        <v>9.18</v>
      </c>
      <c r="Y60" s="21">
        <v>9.4700000000000006</v>
      </c>
      <c r="Z60" s="21">
        <v>10.06</v>
      </c>
      <c r="AA60" s="21">
        <v>6.93</v>
      </c>
      <c r="AB60" s="21">
        <v>10.220000000000001</v>
      </c>
      <c r="AC60" s="21">
        <v>8.5399999999999991</v>
      </c>
      <c r="AD60" s="21">
        <v>10.99</v>
      </c>
      <c r="AE60" s="21">
        <v>7.08</v>
      </c>
      <c r="AF60" s="21">
        <v>6.32</v>
      </c>
      <c r="AG60" s="21">
        <v>5.28</v>
      </c>
      <c r="AH60" s="21">
        <v>9.86</v>
      </c>
      <c r="AI60" s="21">
        <v>19.899999999999999</v>
      </c>
      <c r="AJ60" s="21">
        <v>7.2</v>
      </c>
      <c r="AK60" s="21">
        <v>9.6</v>
      </c>
      <c r="AL60" s="21">
        <v>10.88</v>
      </c>
      <c r="AM60" s="21">
        <v>16.04</v>
      </c>
      <c r="AN60" s="21">
        <v>12.95</v>
      </c>
      <c r="AO60" s="21">
        <v>14.77</v>
      </c>
      <c r="AP60" s="21">
        <v>15.87</v>
      </c>
      <c r="AQ60" s="21">
        <v>9.64</v>
      </c>
      <c r="AR60" s="21">
        <v>9.98</v>
      </c>
      <c r="AS60" s="21">
        <v>7.64</v>
      </c>
      <c r="AT60" s="21">
        <v>6.12</v>
      </c>
      <c r="AU60" s="21">
        <v>9.7799999999999994</v>
      </c>
      <c r="AV60" s="21">
        <v>12.91</v>
      </c>
      <c r="AW60" s="21">
        <v>8.11</v>
      </c>
      <c r="AX60" s="21">
        <v>5.88</v>
      </c>
      <c r="AY60" s="21">
        <v>5.45</v>
      </c>
      <c r="AZ60" s="21">
        <v>8.73</v>
      </c>
      <c r="BA60" s="21">
        <v>9.7799999999999994</v>
      </c>
      <c r="BB60" s="21">
        <v>6.85</v>
      </c>
      <c r="BC60" s="21">
        <v>12.74</v>
      </c>
    </row>
    <row r="61" spans="1:55" x14ac:dyDescent="0.2">
      <c r="A61" s="21" t="s">
        <v>1413</v>
      </c>
      <c r="B61" s="21" t="s">
        <v>1414</v>
      </c>
      <c r="C61" s="21" t="s">
        <v>309</v>
      </c>
      <c r="D61" s="21">
        <v>18.2</v>
      </c>
      <c r="E61" s="21">
        <v>16.399999999999999</v>
      </c>
      <c r="F61" s="21">
        <v>13.8</v>
      </c>
      <c r="G61" s="21">
        <v>13.6</v>
      </c>
      <c r="H61" s="21">
        <v>19.5</v>
      </c>
      <c r="I61" s="21">
        <v>44.5</v>
      </c>
      <c r="J61" s="21">
        <v>22.2</v>
      </c>
      <c r="K61" s="21">
        <v>29</v>
      </c>
      <c r="L61" s="21">
        <v>17.5</v>
      </c>
      <c r="M61" s="21">
        <v>28.2</v>
      </c>
      <c r="N61" s="21">
        <v>64</v>
      </c>
      <c r="O61" s="21">
        <v>55.6</v>
      </c>
      <c r="P61" s="21">
        <v>74.099999999999994</v>
      </c>
      <c r="Q61" s="21">
        <v>70.099999999999994</v>
      </c>
      <c r="R61" s="21">
        <v>52.3</v>
      </c>
      <c r="S61" s="21">
        <v>104.4</v>
      </c>
      <c r="T61" s="21">
        <v>100.5</v>
      </c>
      <c r="U61" s="21">
        <v>118.8</v>
      </c>
      <c r="V61" s="21">
        <v>140.6</v>
      </c>
      <c r="W61" s="21">
        <v>302.8</v>
      </c>
      <c r="X61" s="21">
        <v>505.4</v>
      </c>
      <c r="Y61" s="21">
        <v>74.400000000000006</v>
      </c>
      <c r="Z61" s="21">
        <v>97</v>
      </c>
      <c r="AA61" s="21">
        <v>83.8</v>
      </c>
      <c r="AB61" s="21">
        <v>70.099999999999994</v>
      </c>
      <c r="AC61" s="21">
        <v>105.6</v>
      </c>
      <c r="AD61" s="21">
        <v>123.8</v>
      </c>
      <c r="AE61" s="21">
        <v>216.9</v>
      </c>
      <c r="AF61" s="21">
        <v>294.5</v>
      </c>
      <c r="AG61" s="21">
        <v>256.2</v>
      </c>
      <c r="AH61" s="21">
        <v>498.7</v>
      </c>
      <c r="AI61" s="21">
        <v>1118.5</v>
      </c>
      <c r="AJ61" s="21">
        <v>388</v>
      </c>
      <c r="AK61" s="21">
        <v>785.5</v>
      </c>
      <c r="AL61" s="21">
        <v>849.7</v>
      </c>
      <c r="AM61" s="21">
        <v>1047.9000000000001</v>
      </c>
      <c r="AN61" s="21">
        <v>1072.7</v>
      </c>
      <c r="AO61" s="21">
        <v>1015.2</v>
      </c>
      <c r="AP61" s="21">
        <v>1310.3</v>
      </c>
      <c r="AQ61" s="21">
        <v>596.29999999999995</v>
      </c>
      <c r="AR61" s="21">
        <v>650.79999999999995</v>
      </c>
      <c r="AS61" s="21">
        <v>392.1</v>
      </c>
      <c r="AT61" s="21">
        <v>250.5</v>
      </c>
      <c r="AU61" s="21">
        <v>379.4</v>
      </c>
      <c r="AV61" s="21">
        <v>585.6</v>
      </c>
      <c r="AW61" s="21">
        <v>252.3</v>
      </c>
      <c r="AX61" s="21">
        <v>124.8</v>
      </c>
      <c r="AY61" s="21">
        <v>174.3</v>
      </c>
      <c r="AZ61" s="21">
        <v>411.1</v>
      </c>
      <c r="BA61" s="21">
        <v>667.5</v>
      </c>
      <c r="BB61" s="21">
        <v>330.2</v>
      </c>
      <c r="BC61" s="21">
        <v>602.5</v>
      </c>
    </row>
    <row r="62" spans="1:55" x14ac:dyDescent="0.2">
      <c r="A62" s="21" t="s">
        <v>1413</v>
      </c>
      <c r="B62" s="21" t="s">
        <v>1414</v>
      </c>
      <c r="C62" s="21" t="s">
        <v>315</v>
      </c>
      <c r="D62" s="21">
        <v>1.92</v>
      </c>
      <c r="E62" s="21">
        <v>2.0699999999999998</v>
      </c>
      <c r="F62" s="21">
        <v>2.1800000000000002</v>
      </c>
      <c r="G62" s="21">
        <v>2.35</v>
      </c>
      <c r="H62" s="21">
        <v>3.18</v>
      </c>
      <c r="I62" s="21">
        <v>3.89</v>
      </c>
      <c r="J62" s="21">
        <v>4.1500000000000004</v>
      </c>
      <c r="K62" s="21">
        <v>4.7</v>
      </c>
      <c r="L62" s="21">
        <v>5.24</v>
      </c>
      <c r="M62" s="21">
        <v>5.73</v>
      </c>
      <c r="N62" s="21">
        <v>6.94</v>
      </c>
      <c r="O62" s="21">
        <v>8.06</v>
      </c>
      <c r="P62" s="21">
        <v>9.31</v>
      </c>
      <c r="Q62" s="21">
        <v>9.32</v>
      </c>
      <c r="R62" s="21">
        <v>9.08</v>
      </c>
      <c r="S62" s="21">
        <v>9.34</v>
      </c>
      <c r="T62" s="21">
        <v>9.27</v>
      </c>
      <c r="U62" s="21">
        <v>8.9700000000000006</v>
      </c>
      <c r="V62" s="21">
        <v>8.84</v>
      </c>
      <c r="W62" s="21">
        <v>8.8800000000000008</v>
      </c>
      <c r="X62" s="21">
        <v>8.3699999999999992</v>
      </c>
      <c r="Y62" s="21">
        <v>7.2</v>
      </c>
      <c r="Z62" s="21">
        <v>6.6</v>
      </c>
      <c r="AA62" s="21">
        <v>6.61</v>
      </c>
      <c r="AB62" s="21">
        <v>6.35</v>
      </c>
      <c r="AC62" s="21">
        <v>6.21</v>
      </c>
      <c r="AD62" s="21">
        <v>6.37</v>
      </c>
      <c r="AE62" s="21">
        <v>6.71</v>
      </c>
      <c r="AF62" s="21">
        <v>7.87</v>
      </c>
      <c r="AG62" s="21">
        <v>8.69</v>
      </c>
      <c r="AH62" s="21">
        <v>16.78</v>
      </c>
      <c r="AI62" s="21">
        <v>20.47</v>
      </c>
      <c r="AJ62" s="21">
        <v>8.94</v>
      </c>
      <c r="AK62" s="21">
        <v>13.21</v>
      </c>
      <c r="AL62" s="21">
        <v>13.84</v>
      </c>
      <c r="AM62" s="21">
        <v>16.53</v>
      </c>
      <c r="AN62" s="21">
        <v>17.32</v>
      </c>
      <c r="AO62" s="21">
        <v>18.25</v>
      </c>
      <c r="AP62" s="21">
        <v>18.28</v>
      </c>
      <c r="AQ62" s="21">
        <v>12.1</v>
      </c>
      <c r="AR62" s="21">
        <v>13.31</v>
      </c>
      <c r="AS62" s="21">
        <v>11.53</v>
      </c>
      <c r="AT62" s="21">
        <v>9.51</v>
      </c>
      <c r="AU62" s="21">
        <v>11.49</v>
      </c>
      <c r="AV62" s="21">
        <v>13.31</v>
      </c>
      <c r="AW62" s="21">
        <v>10.54</v>
      </c>
      <c r="AX62" s="21">
        <v>8.74</v>
      </c>
      <c r="AY62" s="21">
        <v>9.18</v>
      </c>
      <c r="AZ62" s="21">
        <v>10.74</v>
      </c>
      <c r="BA62" s="21">
        <v>9.1999999999999993</v>
      </c>
      <c r="BB62" s="21">
        <v>8.3800000000000008</v>
      </c>
      <c r="BC62" s="21">
        <v>12.82</v>
      </c>
    </row>
    <row r="63" spans="1:55" x14ac:dyDescent="0.2">
      <c r="A63" s="21" t="s">
        <v>1413</v>
      </c>
      <c r="B63" s="21" t="s">
        <v>1414</v>
      </c>
      <c r="C63" s="21" t="s">
        <v>318</v>
      </c>
      <c r="D63" s="21">
        <v>40.4</v>
      </c>
      <c r="E63" s="21">
        <v>49.7</v>
      </c>
      <c r="F63" s="21">
        <v>78.099999999999994</v>
      </c>
      <c r="G63" s="21">
        <v>135.1</v>
      </c>
      <c r="H63" s="21">
        <v>167.1</v>
      </c>
      <c r="I63" s="21">
        <v>149.6</v>
      </c>
      <c r="J63" s="21">
        <v>155.80000000000001</v>
      </c>
      <c r="K63" s="21">
        <v>323.3</v>
      </c>
      <c r="L63" s="21">
        <v>379.5</v>
      </c>
      <c r="M63" s="21">
        <v>440.5</v>
      </c>
      <c r="N63" s="21">
        <v>592.20000000000005</v>
      </c>
      <c r="O63" s="21">
        <v>998.8</v>
      </c>
      <c r="P63" s="21">
        <v>1043</v>
      </c>
      <c r="Q63" s="21">
        <v>1230.0999999999999</v>
      </c>
      <c r="R63" s="21">
        <v>1307.9000000000001</v>
      </c>
      <c r="S63" s="21">
        <v>1463</v>
      </c>
      <c r="T63" s="21">
        <v>1287.4000000000001</v>
      </c>
      <c r="U63" s="21">
        <v>1598</v>
      </c>
      <c r="V63" s="21">
        <v>1171.2</v>
      </c>
      <c r="W63" s="21">
        <v>791.5</v>
      </c>
      <c r="X63" s="21">
        <v>527</v>
      </c>
      <c r="Y63" s="21">
        <v>538.5</v>
      </c>
      <c r="Z63" s="21">
        <v>635.9</v>
      </c>
      <c r="AA63" s="21">
        <v>706.9</v>
      </c>
      <c r="AB63" s="21">
        <v>1015.1</v>
      </c>
      <c r="AC63" s="21">
        <v>908.2</v>
      </c>
      <c r="AD63" s="21">
        <v>944.7</v>
      </c>
      <c r="AE63" s="21">
        <v>985.3</v>
      </c>
      <c r="AF63" s="21">
        <v>1060.5</v>
      </c>
      <c r="AG63" s="21">
        <v>1280.5999999999999</v>
      </c>
      <c r="AH63" s="21">
        <v>2782.7</v>
      </c>
      <c r="AI63" s="21">
        <v>2689.5</v>
      </c>
      <c r="AJ63" s="21">
        <v>1122.3</v>
      </c>
      <c r="AK63" s="21">
        <v>1369.8</v>
      </c>
      <c r="AL63" s="21">
        <v>1615.4</v>
      </c>
      <c r="AM63" s="21">
        <v>2478.1999999999998</v>
      </c>
      <c r="AN63" s="21">
        <v>2522.5</v>
      </c>
      <c r="AO63" s="21">
        <v>3199.9</v>
      </c>
      <c r="AP63" s="21">
        <v>3556</v>
      </c>
      <c r="AQ63" s="21">
        <v>2155.4</v>
      </c>
      <c r="AR63" s="21">
        <v>2046.9</v>
      </c>
      <c r="AS63" s="21">
        <v>2057.4</v>
      </c>
      <c r="AT63" s="21">
        <v>1923.4</v>
      </c>
      <c r="AU63" s="21">
        <v>2713.7</v>
      </c>
      <c r="AV63" s="21">
        <v>3020.1</v>
      </c>
      <c r="AW63" s="21">
        <v>2718.7</v>
      </c>
      <c r="AX63" s="21">
        <v>2167.8000000000002</v>
      </c>
      <c r="AY63" s="21">
        <v>2058.4</v>
      </c>
      <c r="AZ63" s="21">
        <v>2134.8000000000002</v>
      </c>
      <c r="BA63" s="21">
        <v>1853.9</v>
      </c>
      <c r="BB63" s="21">
        <v>1757.3</v>
      </c>
      <c r="BC63" s="21">
        <v>2324.8000000000002</v>
      </c>
    </row>
    <row r="64" spans="1:55" x14ac:dyDescent="0.2">
      <c r="A64" s="21" t="s">
        <v>1413</v>
      </c>
      <c r="B64" s="21" t="s">
        <v>1414</v>
      </c>
      <c r="C64" s="21" t="s">
        <v>329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72.5</v>
      </c>
      <c r="P64" s="21">
        <v>189.8</v>
      </c>
      <c r="Q64" s="21">
        <v>308.5</v>
      </c>
      <c r="R64" s="21">
        <v>366.9</v>
      </c>
      <c r="S64" s="21">
        <v>450.5</v>
      </c>
      <c r="T64" s="21">
        <v>390.5</v>
      </c>
      <c r="U64" s="21">
        <v>477.9</v>
      </c>
      <c r="V64" s="21">
        <v>487.4</v>
      </c>
      <c r="W64" s="21">
        <v>545.20000000000005</v>
      </c>
      <c r="X64" s="21">
        <v>551</v>
      </c>
      <c r="Y64" s="21">
        <v>622.5</v>
      </c>
      <c r="Z64" s="21">
        <v>702.1</v>
      </c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</row>
    <row r="65" spans="1:55" x14ac:dyDescent="0.2">
      <c r="A65" s="21" t="s">
        <v>1413</v>
      </c>
      <c r="B65" s="21" t="s">
        <v>1414</v>
      </c>
      <c r="C65" s="21" t="s">
        <v>333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0.7</v>
      </c>
      <c r="P65" s="21">
        <v>1.6</v>
      </c>
      <c r="Q65" s="21">
        <v>2.6</v>
      </c>
      <c r="R65" s="21">
        <v>3.3</v>
      </c>
      <c r="S65" s="21">
        <v>3.3</v>
      </c>
      <c r="T65" s="21">
        <v>3.3</v>
      </c>
      <c r="U65" s="21">
        <v>4.0999999999999996</v>
      </c>
      <c r="V65" s="21">
        <v>4.7</v>
      </c>
      <c r="W65" s="21">
        <v>4.5999999999999996</v>
      </c>
      <c r="X65" s="21">
        <v>4.5999999999999996</v>
      </c>
      <c r="Y65" s="21">
        <v>4.3</v>
      </c>
      <c r="Z65" s="21">
        <v>4.3</v>
      </c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</row>
    <row r="66" spans="1:55" x14ac:dyDescent="0.2">
      <c r="A66" s="21" t="s">
        <v>1413</v>
      </c>
      <c r="B66" s="21" t="s">
        <v>1414</v>
      </c>
      <c r="C66" s="21" t="s">
        <v>339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2.7</v>
      </c>
      <c r="P66" s="21">
        <v>4.9000000000000004</v>
      </c>
      <c r="Q66" s="21">
        <v>4.3</v>
      </c>
      <c r="R66" s="21">
        <v>7.5</v>
      </c>
      <c r="S66" s="21">
        <v>10.1</v>
      </c>
      <c r="T66" s="21">
        <v>7.8</v>
      </c>
      <c r="U66" s="21">
        <v>9.1999999999999993</v>
      </c>
      <c r="V66" s="21">
        <v>8.3000000000000007</v>
      </c>
      <c r="W66" s="21">
        <v>9.8000000000000007</v>
      </c>
      <c r="X66" s="21">
        <v>9.1</v>
      </c>
      <c r="Y66" s="21">
        <v>11.6</v>
      </c>
      <c r="Z66" s="21">
        <v>14.1</v>
      </c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</row>
    <row r="67" spans="1:55" x14ac:dyDescent="0.2">
      <c r="A67" s="21" t="s">
        <v>1413</v>
      </c>
      <c r="B67" s="21" t="s">
        <v>1414</v>
      </c>
      <c r="C67" s="21" t="s">
        <v>345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75.900000000000006</v>
      </c>
      <c r="P67" s="21">
        <v>196.4</v>
      </c>
      <c r="Q67" s="21">
        <v>315.3</v>
      </c>
      <c r="R67" s="21">
        <v>377.6</v>
      </c>
      <c r="S67" s="21">
        <v>463.9</v>
      </c>
      <c r="T67" s="21">
        <v>401.6</v>
      </c>
      <c r="U67" s="21">
        <v>491.3</v>
      </c>
      <c r="V67" s="21">
        <v>500.4</v>
      </c>
      <c r="W67" s="21">
        <v>559.6</v>
      </c>
      <c r="X67" s="21">
        <v>564.70000000000005</v>
      </c>
      <c r="Y67" s="21">
        <v>638.4</v>
      </c>
      <c r="Z67" s="21">
        <v>720.5</v>
      </c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</row>
    <row r="68" spans="1:55" x14ac:dyDescent="0.2">
      <c r="A68" s="21" t="s">
        <v>1413</v>
      </c>
      <c r="B68" s="21" t="s">
        <v>1414</v>
      </c>
      <c r="C68" s="21" t="s">
        <v>367</v>
      </c>
      <c r="D68" s="21">
        <v>4.6500000000000004</v>
      </c>
      <c r="E68" s="21">
        <v>5.35</v>
      </c>
      <c r="F68" s="21">
        <v>6.01</v>
      </c>
      <c r="G68" s="21">
        <v>6.7</v>
      </c>
      <c r="H68" s="21">
        <v>10.91</v>
      </c>
      <c r="I68" s="21">
        <v>11.72</v>
      </c>
      <c r="J68" s="21">
        <v>11.97</v>
      </c>
      <c r="K68" s="21">
        <v>10.85</v>
      </c>
      <c r="L68" s="21">
        <v>12.46</v>
      </c>
      <c r="M68" s="21">
        <v>13.65</v>
      </c>
      <c r="N68" s="21">
        <v>14.71</v>
      </c>
      <c r="O68" s="21">
        <v>16.899999999999999</v>
      </c>
      <c r="P68" s="21">
        <v>20.420000000000002</v>
      </c>
      <c r="Q68" s="21">
        <v>21.06</v>
      </c>
      <c r="R68" s="21">
        <v>20.29</v>
      </c>
      <c r="S68" s="21">
        <v>19.739999999999998</v>
      </c>
      <c r="T68" s="21">
        <v>19.63</v>
      </c>
      <c r="U68" s="21">
        <v>23.03</v>
      </c>
      <c r="V68" s="21">
        <v>22.05</v>
      </c>
      <c r="W68" s="21">
        <v>22.99</v>
      </c>
      <c r="X68" s="21">
        <v>20.260000000000002</v>
      </c>
      <c r="Y68" s="21">
        <v>20.38</v>
      </c>
      <c r="Z68" s="21">
        <v>21.77</v>
      </c>
      <c r="AA68" s="21">
        <v>22.43</v>
      </c>
      <c r="AB68" s="21">
        <v>22.61</v>
      </c>
      <c r="AC68" s="21">
        <v>22.63</v>
      </c>
      <c r="AD68" s="21">
        <v>22.59</v>
      </c>
      <c r="AE68" s="21">
        <v>22.47</v>
      </c>
      <c r="AF68" s="21">
        <v>21.72</v>
      </c>
      <c r="AG68" s="21">
        <v>20.57</v>
      </c>
      <c r="AH68" s="21">
        <v>20.71</v>
      </c>
      <c r="AI68" s="21">
        <v>21.59</v>
      </c>
      <c r="AJ68" s="21">
        <v>21.02</v>
      </c>
      <c r="AK68" s="21">
        <v>22.05</v>
      </c>
      <c r="AL68" s="21">
        <v>21.05</v>
      </c>
      <c r="AM68" s="21">
        <v>25.12</v>
      </c>
      <c r="AN68" s="21">
        <v>27.96</v>
      </c>
      <c r="AO68" s="21">
        <v>28.42</v>
      </c>
      <c r="AP68" s="21">
        <v>31.39</v>
      </c>
      <c r="AQ68" s="21">
        <v>31.25</v>
      </c>
      <c r="AR68" s="21">
        <v>30.95</v>
      </c>
      <c r="AS68" s="21">
        <v>30.67</v>
      </c>
      <c r="AT68" s="21">
        <v>29.93</v>
      </c>
      <c r="AU68" s="21">
        <v>30.93</v>
      </c>
      <c r="AV68" s="21">
        <v>30.62</v>
      </c>
      <c r="AW68" s="21">
        <v>29.57</v>
      </c>
      <c r="AX68" s="21">
        <v>28.22</v>
      </c>
      <c r="AY68" s="21">
        <v>28.38</v>
      </c>
      <c r="AZ68" s="21">
        <v>28.43</v>
      </c>
      <c r="BA68" s="21">
        <v>28.32</v>
      </c>
      <c r="BB68" s="21">
        <v>29.02</v>
      </c>
      <c r="BC68" s="21">
        <v>29.9</v>
      </c>
    </row>
    <row r="69" spans="1:55" x14ac:dyDescent="0.2">
      <c r="A69" s="21" t="s">
        <v>1413</v>
      </c>
      <c r="B69" s="21" t="s">
        <v>1414</v>
      </c>
      <c r="C69" s="21" t="s">
        <v>370</v>
      </c>
      <c r="D69" s="21">
        <v>49.4</v>
      </c>
      <c r="E69" s="21">
        <v>56</v>
      </c>
      <c r="F69" s="21">
        <v>62.3</v>
      </c>
      <c r="G69" s="21">
        <v>70.5</v>
      </c>
      <c r="H69" s="21">
        <v>106</v>
      </c>
      <c r="I69" s="21">
        <v>119</v>
      </c>
      <c r="J69" s="21">
        <v>120.4</v>
      </c>
      <c r="K69" s="21">
        <v>113.2</v>
      </c>
      <c r="L69" s="21">
        <v>124.9</v>
      </c>
      <c r="M69" s="21">
        <v>138.1</v>
      </c>
      <c r="N69" s="21">
        <v>162.80000000000001</v>
      </c>
      <c r="O69" s="21">
        <v>183.7</v>
      </c>
      <c r="P69" s="21">
        <v>224.7</v>
      </c>
      <c r="Q69" s="21">
        <v>267</v>
      </c>
      <c r="R69" s="21">
        <v>290</v>
      </c>
      <c r="S69" s="21">
        <v>279.3</v>
      </c>
      <c r="T69" s="21">
        <v>295.60000000000002</v>
      </c>
      <c r="U69" s="21">
        <v>358.5</v>
      </c>
      <c r="V69" s="21">
        <v>351.3</v>
      </c>
      <c r="W69" s="21">
        <v>374.2</v>
      </c>
      <c r="X69" s="21">
        <v>328.4</v>
      </c>
      <c r="Y69" s="21">
        <v>330.9</v>
      </c>
      <c r="Z69" s="21">
        <v>349.4</v>
      </c>
      <c r="AA69" s="21">
        <v>365.2</v>
      </c>
      <c r="AB69" s="21">
        <v>385.2</v>
      </c>
      <c r="AC69" s="21">
        <v>384.1</v>
      </c>
      <c r="AD69" s="21">
        <v>379.5</v>
      </c>
      <c r="AE69" s="21">
        <v>376.2</v>
      </c>
      <c r="AF69" s="21">
        <v>367.7</v>
      </c>
      <c r="AG69" s="21">
        <v>359.7</v>
      </c>
      <c r="AH69" s="21">
        <v>380.3</v>
      </c>
      <c r="AI69" s="21">
        <v>404</v>
      </c>
      <c r="AJ69" s="21">
        <v>396.5</v>
      </c>
      <c r="AK69" s="21">
        <v>517.70000000000005</v>
      </c>
      <c r="AL69" s="21">
        <v>518.79999999999995</v>
      </c>
      <c r="AM69" s="21">
        <v>643.20000000000005</v>
      </c>
      <c r="AN69" s="21">
        <v>702</v>
      </c>
      <c r="AO69" s="21">
        <v>792.5</v>
      </c>
      <c r="AP69" s="21">
        <v>819.8</v>
      </c>
      <c r="AQ69" s="21">
        <v>828.4</v>
      </c>
      <c r="AR69" s="21">
        <v>814.3</v>
      </c>
      <c r="AS69" s="21">
        <v>802.7</v>
      </c>
      <c r="AT69" s="21">
        <v>747.4</v>
      </c>
      <c r="AU69" s="21">
        <v>804.8</v>
      </c>
      <c r="AV69" s="21">
        <v>810.5</v>
      </c>
      <c r="AW69" s="21">
        <v>770.5</v>
      </c>
      <c r="AX69" s="21">
        <v>721.7</v>
      </c>
      <c r="AY69" s="21">
        <v>728.5</v>
      </c>
      <c r="AZ69" s="21">
        <v>743.6</v>
      </c>
      <c r="BA69" s="21">
        <v>737.5</v>
      </c>
      <c r="BB69" s="21">
        <v>648.4</v>
      </c>
      <c r="BC69" s="21">
        <v>646.20000000000005</v>
      </c>
    </row>
    <row r="70" spans="1:55" x14ac:dyDescent="0.2">
      <c r="A70" s="21" t="s">
        <v>1413</v>
      </c>
      <c r="B70" s="21" t="s">
        <v>1414</v>
      </c>
      <c r="C70" s="21" t="s">
        <v>374</v>
      </c>
      <c r="D70" s="21">
        <v>6.09</v>
      </c>
      <c r="E70" s="21">
        <v>6.44</v>
      </c>
      <c r="F70" s="21">
        <v>6.71</v>
      </c>
      <c r="G70" s="21">
        <v>7.06</v>
      </c>
      <c r="H70" s="21">
        <v>8.91</v>
      </c>
      <c r="I70" s="21">
        <v>10.11</v>
      </c>
      <c r="J70" s="21">
        <v>10.82</v>
      </c>
      <c r="K70" s="21">
        <v>11.99</v>
      </c>
      <c r="L70" s="21">
        <v>12.78</v>
      </c>
      <c r="M70" s="21">
        <v>13.72</v>
      </c>
      <c r="N70" s="21">
        <v>16.059999999999999</v>
      </c>
      <c r="O70" s="21">
        <v>18.440000000000001</v>
      </c>
      <c r="P70" s="21">
        <v>20.11</v>
      </c>
      <c r="Q70" s="21">
        <v>20.57</v>
      </c>
      <c r="R70" s="21">
        <v>20.89</v>
      </c>
      <c r="S70" s="21">
        <v>21.3</v>
      </c>
      <c r="T70" s="21">
        <v>21.1</v>
      </c>
      <c r="U70" s="21">
        <v>20.440000000000001</v>
      </c>
      <c r="V70" s="21">
        <v>20.34</v>
      </c>
      <c r="W70" s="21">
        <v>20.77</v>
      </c>
      <c r="X70" s="21">
        <v>21.2</v>
      </c>
      <c r="Y70" s="21">
        <v>21.73</v>
      </c>
      <c r="Z70" s="21">
        <v>22.15</v>
      </c>
      <c r="AA70" s="21">
        <v>22.4</v>
      </c>
      <c r="AB70" s="21">
        <v>22.35</v>
      </c>
      <c r="AC70" s="21">
        <v>22.29</v>
      </c>
      <c r="AD70" s="21">
        <v>22.17</v>
      </c>
      <c r="AE70" s="21">
        <v>22.03</v>
      </c>
      <c r="AF70" s="21">
        <v>21.48</v>
      </c>
      <c r="AG70" s="21">
        <v>21.01</v>
      </c>
      <c r="AH70" s="21">
        <v>21.52</v>
      </c>
      <c r="AI70" s="21">
        <v>22.99</v>
      </c>
      <c r="AJ70" s="21">
        <v>22.81</v>
      </c>
      <c r="AK70" s="21">
        <v>23.54</v>
      </c>
      <c r="AL70" s="21">
        <v>23.95</v>
      </c>
      <c r="AM70" s="21">
        <v>25.4</v>
      </c>
      <c r="AN70" s="21">
        <v>27.72</v>
      </c>
      <c r="AO70" s="21">
        <v>28.27</v>
      </c>
      <c r="AP70" s="21">
        <v>30.06</v>
      </c>
      <c r="AQ70" s="21">
        <v>29.77</v>
      </c>
      <c r="AR70" s="21">
        <v>29.87</v>
      </c>
      <c r="AS70" s="21">
        <v>30</v>
      </c>
      <c r="AT70" s="21">
        <v>29.57</v>
      </c>
      <c r="AU70" s="21">
        <v>30.07</v>
      </c>
      <c r="AV70" s="21">
        <v>31.48</v>
      </c>
      <c r="AW70" s="21">
        <v>31.18</v>
      </c>
      <c r="AX70" s="21">
        <v>30.58</v>
      </c>
      <c r="AY70" s="21">
        <v>31.25</v>
      </c>
      <c r="AZ70" s="21">
        <v>31.27</v>
      </c>
      <c r="BA70" s="21">
        <v>31.29</v>
      </c>
      <c r="BB70" s="21">
        <v>31.04</v>
      </c>
      <c r="BC70" s="21">
        <v>32.869999999999997</v>
      </c>
    </row>
    <row r="71" spans="1:55" x14ac:dyDescent="0.2">
      <c r="A71" s="21" t="s">
        <v>1413</v>
      </c>
      <c r="B71" s="21" t="s">
        <v>1414</v>
      </c>
      <c r="C71" s="21" t="s">
        <v>377</v>
      </c>
      <c r="D71" s="21">
        <v>7319.5</v>
      </c>
      <c r="E71" s="21">
        <v>8300.7000000000007</v>
      </c>
      <c r="F71" s="21">
        <v>9442.7000000000007</v>
      </c>
      <c r="G71" s="21">
        <v>10707.1</v>
      </c>
      <c r="H71" s="21">
        <v>13372.8</v>
      </c>
      <c r="I71" s="21">
        <v>16156.7</v>
      </c>
      <c r="J71" s="21">
        <v>18148.2</v>
      </c>
      <c r="K71" s="21">
        <v>21023.4</v>
      </c>
      <c r="L71" s="21">
        <v>23166.400000000001</v>
      </c>
      <c r="M71" s="21">
        <v>25433.1</v>
      </c>
      <c r="N71" s="21">
        <v>30611.3</v>
      </c>
      <c r="O71" s="21">
        <v>37484</v>
      </c>
      <c r="P71" s="21">
        <v>41759.300000000003</v>
      </c>
      <c r="Q71" s="21">
        <v>43529.1</v>
      </c>
      <c r="R71" s="21">
        <v>47304.1</v>
      </c>
      <c r="S71" s="21">
        <v>50091.7</v>
      </c>
      <c r="T71" s="21">
        <v>51449.3</v>
      </c>
      <c r="U71" s="21">
        <v>51899.7</v>
      </c>
      <c r="V71" s="21">
        <v>54411.199999999997</v>
      </c>
      <c r="W71" s="21">
        <v>57460.1</v>
      </c>
      <c r="X71" s="21">
        <v>60626.6</v>
      </c>
      <c r="Y71" s="21">
        <v>63407.3</v>
      </c>
      <c r="Z71" s="21">
        <v>64233.4</v>
      </c>
      <c r="AA71" s="21">
        <v>67626.2</v>
      </c>
      <c r="AB71" s="21">
        <v>69637.3</v>
      </c>
      <c r="AC71" s="21">
        <v>72480.600000000006</v>
      </c>
      <c r="AD71" s="21">
        <v>74120.5</v>
      </c>
      <c r="AE71" s="21">
        <v>77152.7</v>
      </c>
      <c r="AF71" s="21">
        <v>78999.5</v>
      </c>
      <c r="AG71" s="21">
        <v>79141.399999999994</v>
      </c>
      <c r="AH71" s="21">
        <v>85129</v>
      </c>
      <c r="AI71" s="21">
        <v>93402.2</v>
      </c>
      <c r="AJ71" s="21">
        <v>93762.6</v>
      </c>
      <c r="AK71" s="21">
        <v>96263.4</v>
      </c>
      <c r="AL71" s="21">
        <v>100546.2</v>
      </c>
      <c r="AM71" s="21">
        <v>110521.60000000001</v>
      </c>
      <c r="AN71" s="21">
        <v>122913.9</v>
      </c>
      <c r="AO71" s="21">
        <v>128903.2</v>
      </c>
      <c r="AP71" s="21">
        <v>137036</v>
      </c>
      <c r="AQ71" s="21">
        <v>132747</v>
      </c>
      <c r="AR71" s="21">
        <v>135553.70000000001</v>
      </c>
      <c r="AS71" s="21">
        <v>135926.70000000001</v>
      </c>
      <c r="AT71" s="21">
        <v>133898.4</v>
      </c>
      <c r="AU71" s="21">
        <v>137188.5</v>
      </c>
      <c r="AV71" s="21">
        <v>145253.20000000001</v>
      </c>
      <c r="AW71" s="21">
        <v>144781.5</v>
      </c>
      <c r="AX71" s="21">
        <v>142642.5</v>
      </c>
      <c r="AY71" s="21">
        <v>144241.9</v>
      </c>
      <c r="AZ71" s="21">
        <v>147425.20000000001</v>
      </c>
      <c r="BA71" s="21">
        <v>145279.79999999999</v>
      </c>
      <c r="BB71" s="21">
        <v>136372.29999999999</v>
      </c>
      <c r="BC71" s="21">
        <v>149008.20000000001</v>
      </c>
    </row>
    <row r="72" spans="1:55" x14ac:dyDescent="0.2">
      <c r="A72" s="21" t="s">
        <v>1413</v>
      </c>
      <c r="B72" s="21" t="s">
        <v>1414</v>
      </c>
      <c r="C72" s="21" t="s">
        <v>381</v>
      </c>
      <c r="D72" s="21">
        <v>2.99</v>
      </c>
      <c r="E72" s="21">
        <v>3.22</v>
      </c>
      <c r="F72" s="21">
        <v>3.4</v>
      </c>
      <c r="G72" s="21">
        <v>3.66</v>
      </c>
      <c r="H72" s="21">
        <v>4.95</v>
      </c>
      <c r="I72" s="21">
        <v>6.07</v>
      </c>
      <c r="J72" s="21">
        <v>6.48</v>
      </c>
      <c r="K72" s="21">
        <v>7.33</v>
      </c>
      <c r="L72" s="21">
        <v>8.18</v>
      </c>
      <c r="M72" s="21">
        <v>8.94</v>
      </c>
      <c r="N72" s="21">
        <v>10.81</v>
      </c>
      <c r="O72" s="21">
        <v>12.57</v>
      </c>
      <c r="P72" s="21">
        <v>14.51</v>
      </c>
      <c r="Q72" s="21">
        <v>14.54</v>
      </c>
      <c r="R72" s="21">
        <v>14.16</v>
      </c>
      <c r="S72" s="21">
        <v>14.57</v>
      </c>
      <c r="T72" s="21">
        <v>14.45</v>
      </c>
      <c r="U72" s="21">
        <v>13.98</v>
      </c>
      <c r="V72" s="21">
        <v>13.78</v>
      </c>
      <c r="W72" s="21">
        <v>13.85</v>
      </c>
      <c r="X72" s="21">
        <v>13.92</v>
      </c>
      <c r="Y72" s="21">
        <v>14.18</v>
      </c>
      <c r="Z72" s="21">
        <v>14.18</v>
      </c>
      <c r="AA72" s="21">
        <v>14.22</v>
      </c>
      <c r="AB72" s="21">
        <v>14</v>
      </c>
      <c r="AC72" s="21">
        <v>13.68</v>
      </c>
      <c r="AD72" s="21">
        <v>13.49</v>
      </c>
      <c r="AE72" s="21">
        <v>13.29</v>
      </c>
      <c r="AF72" s="21">
        <v>13.13</v>
      </c>
      <c r="AG72" s="21">
        <v>12.98</v>
      </c>
      <c r="AH72" s="21">
        <v>13.6</v>
      </c>
      <c r="AI72" s="21">
        <v>14.78</v>
      </c>
      <c r="AJ72" s="21">
        <v>14.3</v>
      </c>
      <c r="AK72" s="21">
        <v>14.97</v>
      </c>
      <c r="AL72" s="21">
        <v>15.38</v>
      </c>
      <c r="AM72" s="21">
        <v>16.77</v>
      </c>
      <c r="AN72" s="21">
        <v>18.02</v>
      </c>
      <c r="AO72" s="21">
        <v>18.71</v>
      </c>
      <c r="AP72" s="21">
        <v>20.34</v>
      </c>
      <c r="AQ72" s="21">
        <v>20.05</v>
      </c>
      <c r="AR72" s="21">
        <v>19.89</v>
      </c>
      <c r="AS72" s="21">
        <v>20.02</v>
      </c>
      <c r="AT72" s="21">
        <v>19.600000000000001</v>
      </c>
      <c r="AU72" s="21">
        <v>20.260000000000002</v>
      </c>
      <c r="AV72" s="21">
        <v>20.86</v>
      </c>
      <c r="AW72" s="21">
        <v>20.329999999999998</v>
      </c>
      <c r="AX72" s="21">
        <v>19.91</v>
      </c>
      <c r="AY72" s="21">
        <v>20.23</v>
      </c>
      <c r="AZ72" s="21">
        <v>20.350000000000001</v>
      </c>
      <c r="BA72" s="21">
        <v>20.04</v>
      </c>
      <c r="BB72" s="21">
        <v>19.62</v>
      </c>
      <c r="BC72" s="21">
        <v>21.05</v>
      </c>
    </row>
    <row r="73" spans="1:55" x14ac:dyDescent="0.2">
      <c r="A73" s="21" t="s">
        <v>1413</v>
      </c>
      <c r="B73" s="21" t="s">
        <v>1414</v>
      </c>
      <c r="C73" s="21" t="s">
        <v>384</v>
      </c>
      <c r="D73" s="21">
        <v>5624.1</v>
      </c>
      <c r="E73" s="21">
        <v>6256</v>
      </c>
      <c r="F73" s="21">
        <v>7173</v>
      </c>
      <c r="G73" s="21">
        <v>8283.7999999999993</v>
      </c>
      <c r="H73" s="21">
        <v>11184</v>
      </c>
      <c r="I73" s="21">
        <v>13760.4</v>
      </c>
      <c r="J73" s="21">
        <v>16083.1</v>
      </c>
      <c r="K73" s="21">
        <v>18956.2</v>
      </c>
      <c r="L73" s="21">
        <v>21798.5</v>
      </c>
      <c r="M73" s="21">
        <v>24797.200000000001</v>
      </c>
      <c r="N73" s="21">
        <v>28863.200000000001</v>
      </c>
      <c r="O73" s="21">
        <v>34006.800000000003</v>
      </c>
      <c r="P73" s="21">
        <v>35364.199999999997</v>
      </c>
      <c r="Q73" s="21">
        <v>37016.800000000003</v>
      </c>
      <c r="R73" s="21">
        <v>39049.699999999997</v>
      </c>
      <c r="S73" s="21">
        <v>40189.9</v>
      </c>
      <c r="T73" s="21">
        <v>39271.5</v>
      </c>
      <c r="U73" s="21">
        <v>39108.9</v>
      </c>
      <c r="V73" s="21">
        <v>40507.5</v>
      </c>
      <c r="W73" s="21">
        <v>42254.8</v>
      </c>
      <c r="X73" s="21">
        <v>43357.5</v>
      </c>
      <c r="Y73" s="21">
        <v>44201</v>
      </c>
      <c r="Z73" s="21">
        <v>45474.400000000001</v>
      </c>
      <c r="AA73" s="21">
        <v>45726.400000000001</v>
      </c>
      <c r="AB73" s="21">
        <v>46256.5</v>
      </c>
      <c r="AC73" s="21">
        <v>45402.2</v>
      </c>
      <c r="AD73" s="21">
        <v>46102.400000000001</v>
      </c>
      <c r="AE73" s="21">
        <v>45610.5</v>
      </c>
      <c r="AF73" s="21">
        <v>45634.1</v>
      </c>
      <c r="AG73" s="21">
        <v>45429.3</v>
      </c>
      <c r="AH73" s="21">
        <v>47858.8</v>
      </c>
      <c r="AI73" s="21">
        <v>48518.7</v>
      </c>
      <c r="AJ73" s="21">
        <v>46605.599999999999</v>
      </c>
      <c r="AK73" s="21">
        <v>49962.3</v>
      </c>
      <c r="AL73" s="21">
        <v>51491</v>
      </c>
      <c r="AM73" s="21">
        <v>56229.4</v>
      </c>
      <c r="AN73" s="21">
        <v>59764.2</v>
      </c>
      <c r="AO73" s="21">
        <v>62934.1</v>
      </c>
      <c r="AP73" s="21">
        <v>67101.7</v>
      </c>
      <c r="AQ73" s="21">
        <v>59816.1</v>
      </c>
      <c r="AR73" s="21">
        <v>62766.6</v>
      </c>
      <c r="AS73" s="21">
        <v>64566</v>
      </c>
      <c r="AT73" s="21">
        <v>62936.6</v>
      </c>
      <c r="AU73" s="21">
        <v>64944.2</v>
      </c>
      <c r="AV73" s="21">
        <v>67630.399999999994</v>
      </c>
      <c r="AW73" s="21">
        <v>65168.6</v>
      </c>
      <c r="AX73" s="21">
        <v>63125.8</v>
      </c>
      <c r="AY73" s="21">
        <v>64590.5</v>
      </c>
      <c r="AZ73" s="21">
        <v>66147.199999999997</v>
      </c>
      <c r="BA73" s="21">
        <v>65321</v>
      </c>
      <c r="BB73" s="21">
        <v>61249.7</v>
      </c>
      <c r="BC73" s="21">
        <v>68815.7</v>
      </c>
    </row>
    <row r="74" spans="1:55" x14ac:dyDescent="0.2">
      <c r="A74" s="21" t="s">
        <v>1413</v>
      </c>
      <c r="B74" s="21" t="s">
        <v>1414</v>
      </c>
      <c r="C74" s="21" t="s">
        <v>386</v>
      </c>
      <c r="D74" s="21">
        <v>1881319</v>
      </c>
      <c r="E74" s="21">
        <v>1940500</v>
      </c>
      <c r="F74" s="21">
        <v>2109865</v>
      </c>
      <c r="G74" s="21">
        <v>2261143</v>
      </c>
      <c r="H74" s="21">
        <v>2257970</v>
      </c>
      <c r="I74" s="21">
        <v>2268146</v>
      </c>
      <c r="J74" s="21">
        <v>2483055</v>
      </c>
      <c r="K74" s="21">
        <v>2587146</v>
      </c>
      <c r="L74" s="21">
        <v>2665820</v>
      </c>
      <c r="M74" s="21">
        <v>2774038</v>
      </c>
      <c r="N74" s="21">
        <v>2668870</v>
      </c>
      <c r="O74" s="21">
        <v>2704689</v>
      </c>
      <c r="P74" s="21">
        <v>2437631</v>
      </c>
      <c r="Q74" s="21">
        <v>2546397</v>
      </c>
      <c r="R74" s="21">
        <v>2758541</v>
      </c>
      <c r="S74" s="21">
        <v>2759110</v>
      </c>
      <c r="T74" s="21">
        <v>2717936</v>
      </c>
      <c r="U74" s="21">
        <v>2796854</v>
      </c>
      <c r="V74" s="21">
        <v>2939548</v>
      </c>
      <c r="W74" s="21">
        <v>3050457</v>
      </c>
      <c r="X74" s="21">
        <v>3114947</v>
      </c>
      <c r="Y74" s="21">
        <v>3117631</v>
      </c>
      <c r="Z74" s="21">
        <v>3207990</v>
      </c>
      <c r="AA74" s="21">
        <v>3214961</v>
      </c>
      <c r="AB74" s="21">
        <v>3303902</v>
      </c>
      <c r="AC74" s="21">
        <v>3319980</v>
      </c>
      <c r="AD74" s="21">
        <v>3417119</v>
      </c>
      <c r="AE74" s="21">
        <v>3432697</v>
      </c>
      <c r="AF74" s="21">
        <v>3475518</v>
      </c>
      <c r="AG74" s="21">
        <v>3499032</v>
      </c>
      <c r="AH74" s="21">
        <v>3519172</v>
      </c>
      <c r="AI74" s="21">
        <v>3283785</v>
      </c>
      <c r="AJ74" s="21">
        <v>3260223</v>
      </c>
      <c r="AK74" s="21">
        <v>3338152</v>
      </c>
      <c r="AL74" s="21">
        <v>3348726</v>
      </c>
      <c r="AM74" s="21">
        <v>3352502</v>
      </c>
      <c r="AN74" s="21">
        <v>3316275</v>
      </c>
      <c r="AO74" s="21">
        <v>3364242</v>
      </c>
      <c r="AP74" s="21">
        <v>3298838</v>
      </c>
      <c r="AQ74" s="21">
        <v>2983444</v>
      </c>
      <c r="AR74" s="21">
        <v>3156080</v>
      </c>
      <c r="AS74" s="21">
        <v>3224751</v>
      </c>
      <c r="AT74" s="21">
        <v>3210961</v>
      </c>
      <c r="AU74" s="21">
        <v>3204806</v>
      </c>
      <c r="AV74" s="21">
        <v>3242598</v>
      </c>
      <c r="AW74" s="21">
        <v>3206071</v>
      </c>
      <c r="AX74" s="21">
        <v>3170858</v>
      </c>
      <c r="AY74" s="21">
        <v>3192728</v>
      </c>
      <c r="AZ74" s="21">
        <v>3250225</v>
      </c>
      <c r="BA74" s="21">
        <v>3259183</v>
      </c>
      <c r="BB74" s="21">
        <v>3122171</v>
      </c>
      <c r="BC74" s="21">
        <v>3268408</v>
      </c>
    </row>
    <row r="75" spans="1:55" x14ac:dyDescent="0.2">
      <c r="A75" s="21" t="s">
        <v>1413</v>
      </c>
      <c r="B75" s="21" t="s">
        <v>1414</v>
      </c>
      <c r="C75" s="21" t="s">
        <v>390</v>
      </c>
      <c r="D75" s="21">
        <v>6.51</v>
      </c>
      <c r="E75" s="21">
        <v>6.8</v>
      </c>
      <c r="F75" s="21">
        <v>7.09</v>
      </c>
      <c r="G75" s="21">
        <v>7.44</v>
      </c>
      <c r="H75" s="21">
        <v>9.09</v>
      </c>
      <c r="I75" s="21">
        <v>10.29</v>
      </c>
      <c r="J75" s="21">
        <v>10.93</v>
      </c>
      <c r="K75" s="21">
        <v>11.87</v>
      </c>
      <c r="L75" s="21">
        <v>12.63</v>
      </c>
      <c r="M75" s="21">
        <v>13.6</v>
      </c>
      <c r="N75" s="21">
        <v>15.71</v>
      </c>
      <c r="O75" s="21">
        <v>18.170000000000002</v>
      </c>
      <c r="P75" s="21">
        <v>20.11</v>
      </c>
      <c r="Q75" s="21">
        <v>21.04</v>
      </c>
      <c r="R75" s="21">
        <v>20.96</v>
      </c>
      <c r="S75" s="21">
        <v>21.66</v>
      </c>
      <c r="T75" s="21">
        <v>21.75</v>
      </c>
      <c r="U75" s="21">
        <v>21.82</v>
      </c>
      <c r="V75" s="21">
        <v>21.92</v>
      </c>
      <c r="W75" s="21">
        <v>22.41</v>
      </c>
      <c r="X75" s="21">
        <v>22.96</v>
      </c>
      <c r="Y75" s="21">
        <v>23.57</v>
      </c>
      <c r="Z75" s="21">
        <v>24.06</v>
      </c>
      <c r="AA75" s="21">
        <v>24.4</v>
      </c>
      <c r="AB75" s="21">
        <v>24.57</v>
      </c>
      <c r="AC75" s="21">
        <v>24.63</v>
      </c>
      <c r="AD75" s="21">
        <v>24.5</v>
      </c>
      <c r="AE75" s="21">
        <v>24.71</v>
      </c>
      <c r="AF75" s="21">
        <v>24.21</v>
      </c>
      <c r="AG75" s="21">
        <v>23.93</v>
      </c>
      <c r="AH75" s="21">
        <v>24.14</v>
      </c>
      <c r="AI75" s="21">
        <v>25.16</v>
      </c>
      <c r="AJ75" s="21">
        <v>24.75</v>
      </c>
      <c r="AK75" s="21">
        <v>25.56</v>
      </c>
      <c r="AL75" s="21">
        <v>26.22</v>
      </c>
      <c r="AM75" s="21">
        <v>27.68</v>
      </c>
      <c r="AN75" s="21">
        <v>30.49</v>
      </c>
      <c r="AO75" s="21">
        <v>31.22</v>
      </c>
      <c r="AP75" s="21">
        <v>33.01</v>
      </c>
      <c r="AQ75" s="21">
        <v>33.729999999999997</v>
      </c>
      <c r="AR75" s="21">
        <v>33.81</v>
      </c>
      <c r="AS75" s="21">
        <v>34.340000000000003</v>
      </c>
      <c r="AT75" s="21">
        <v>34.82</v>
      </c>
      <c r="AU75" s="21">
        <v>35.54</v>
      </c>
      <c r="AV75" s="21">
        <v>36.69</v>
      </c>
      <c r="AW75" s="21">
        <v>37.08</v>
      </c>
      <c r="AX75" s="21">
        <v>36.78</v>
      </c>
      <c r="AY75" s="21">
        <v>37.770000000000003</v>
      </c>
      <c r="AZ75" s="21">
        <v>37.71</v>
      </c>
      <c r="BA75" s="21">
        <v>38.14</v>
      </c>
      <c r="BB75" s="21">
        <v>38.549999999999997</v>
      </c>
      <c r="BC75" s="21">
        <v>40.03</v>
      </c>
    </row>
    <row r="76" spans="1:55" x14ac:dyDescent="0.2">
      <c r="A76" s="21" t="s">
        <v>1413</v>
      </c>
      <c r="B76" s="21" t="s">
        <v>1414</v>
      </c>
      <c r="C76" s="21" t="s">
        <v>393</v>
      </c>
      <c r="D76" s="21">
        <v>10351.700000000001</v>
      </c>
      <c r="E76" s="21">
        <v>11589.1</v>
      </c>
      <c r="F76" s="21">
        <v>13034.3</v>
      </c>
      <c r="G76" s="21">
        <v>14712.5</v>
      </c>
      <c r="H76" s="21">
        <v>17923.7</v>
      </c>
      <c r="I76" s="21">
        <v>20643.7</v>
      </c>
      <c r="J76" s="21">
        <v>22620.7</v>
      </c>
      <c r="K76" s="21">
        <v>26132.2</v>
      </c>
      <c r="L76" s="21">
        <v>29069.5</v>
      </c>
      <c r="M76" s="21">
        <v>31682.799999999999</v>
      </c>
      <c r="N76" s="21">
        <v>38457.599999999999</v>
      </c>
      <c r="O76" s="21">
        <v>44780.4</v>
      </c>
      <c r="P76" s="21">
        <v>50045</v>
      </c>
      <c r="Q76" s="21">
        <v>53918.1</v>
      </c>
      <c r="R76" s="21">
        <v>55776.6</v>
      </c>
      <c r="S76" s="21">
        <v>58671.7</v>
      </c>
      <c r="T76" s="21">
        <v>60776.4</v>
      </c>
      <c r="U76" s="21">
        <v>63317.9</v>
      </c>
      <c r="V76" s="21">
        <v>66793.2</v>
      </c>
      <c r="W76" s="21">
        <v>69243.3</v>
      </c>
      <c r="X76" s="21">
        <v>72378.399999999994</v>
      </c>
      <c r="Y76" s="21">
        <v>76828</v>
      </c>
      <c r="Z76" s="21">
        <v>76848.399999999994</v>
      </c>
      <c r="AA76" s="21">
        <v>82813.8</v>
      </c>
      <c r="AB76" s="21">
        <v>84552.3</v>
      </c>
      <c r="AC76" s="21">
        <v>87609.600000000006</v>
      </c>
      <c r="AD76" s="21">
        <v>90502.9</v>
      </c>
      <c r="AE76" s="21">
        <v>90703.9</v>
      </c>
      <c r="AF76" s="21">
        <v>93360.1</v>
      </c>
      <c r="AG76" s="21">
        <v>93482.4</v>
      </c>
      <c r="AH76" s="21">
        <v>98209.4</v>
      </c>
      <c r="AI76" s="21">
        <v>103157.9</v>
      </c>
      <c r="AJ76" s="21">
        <v>106833.60000000001</v>
      </c>
      <c r="AK76" s="21">
        <v>111248.9</v>
      </c>
      <c r="AL76" s="21">
        <v>115577.1</v>
      </c>
      <c r="AM76" s="21">
        <v>128392.7</v>
      </c>
      <c r="AN76" s="21">
        <v>140582.39999999999</v>
      </c>
      <c r="AO76" s="21">
        <v>148294.9</v>
      </c>
      <c r="AP76" s="21">
        <v>155496.5</v>
      </c>
      <c r="AQ76" s="21">
        <v>157043.6</v>
      </c>
      <c r="AR76" s="21">
        <v>166778</v>
      </c>
      <c r="AS76" s="21">
        <v>166713.9</v>
      </c>
      <c r="AT76" s="21">
        <v>163280.4</v>
      </c>
      <c r="AU76" s="21">
        <v>169130.6</v>
      </c>
      <c r="AV76" s="21">
        <v>176178</v>
      </c>
      <c r="AW76" s="21">
        <v>177623.6</v>
      </c>
      <c r="AX76" s="21">
        <v>177076.7</v>
      </c>
      <c r="AY76" s="21">
        <v>177661.2</v>
      </c>
      <c r="AZ76" s="21">
        <v>189033</v>
      </c>
      <c r="BA76" s="21">
        <v>187436</v>
      </c>
      <c r="BB76" s="21">
        <v>192663.2</v>
      </c>
      <c r="BC76" s="21">
        <v>200833.9</v>
      </c>
    </row>
    <row r="77" spans="1:55" x14ac:dyDescent="0.2">
      <c r="A77" s="21" t="s">
        <v>1413</v>
      </c>
      <c r="B77" s="21" t="s">
        <v>1414</v>
      </c>
      <c r="C77" s="21" t="s">
        <v>395</v>
      </c>
      <c r="D77" s="21">
        <v>66435</v>
      </c>
      <c r="E77" s="21">
        <v>70697</v>
      </c>
      <c r="F77" s="21">
        <v>77152</v>
      </c>
      <c r="G77" s="21">
        <v>79779</v>
      </c>
      <c r="H77" s="21">
        <v>78824</v>
      </c>
      <c r="I77" s="21">
        <v>78217</v>
      </c>
      <c r="J77" s="21">
        <v>89828</v>
      </c>
      <c r="K77" s="21">
        <v>94813</v>
      </c>
      <c r="L77" s="21">
        <v>94755</v>
      </c>
      <c r="M77" s="21">
        <v>98535</v>
      </c>
      <c r="N77" s="21">
        <v>112135</v>
      </c>
      <c r="O77" s="21">
        <v>112746</v>
      </c>
      <c r="P77" s="21">
        <v>104134</v>
      </c>
      <c r="Q77" s="21">
        <v>101313</v>
      </c>
      <c r="R77" s="21">
        <v>100156</v>
      </c>
      <c r="S77" s="21">
        <v>95956</v>
      </c>
      <c r="T77" s="21">
        <v>115834</v>
      </c>
      <c r="U77" s="21">
        <v>131437</v>
      </c>
      <c r="V77" s="21">
        <v>119304</v>
      </c>
      <c r="W77" s="21">
        <v>107891</v>
      </c>
      <c r="X77" s="21">
        <v>111173</v>
      </c>
      <c r="Y77" s="21">
        <v>112111</v>
      </c>
      <c r="Z77" s="21">
        <v>110910</v>
      </c>
      <c r="AA77" s="21">
        <v>119123</v>
      </c>
      <c r="AB77" s="21">
        <v>135330</v>
      </c>
      <c r="AC77" s="21">
        <v>135330</v>
      </c>
      <c r="AD77" s="21">
        <v>109631</v>
      </c>
      <c r="AE77" s="21">
        <v>109631</v>
      </c>
      <c r="AF77" s="21">
        <v>111187</v>
      </c>
      <c r="AG77" s="21">
        <v>111603</v>
      </c>
      <c r="AH77" s="21">
        <v>112013</v>
      </c>
      <c r="AI77" s="21">
        <v>116646</v>
      </c>
      <c r="AJ77" s="21">
        <v>118468</v>
      </c>
      <c r="AK77" s="21">
        <v>116066</v>
      </c>
      <c r="AL77" s="21">
        <v>124176</v>
      </c>
      <c r="AM77" s="21">
        <v>124859</v>
      </c>
      <c r="AN77" s="21">
        <v>134272</v>
      </c>
      <c r="AO77" s="21">
        <v>142721</v>
      </c>
      <c r="AP77" s="21">
        <v>145631</v>
      </c>
      <c r="AQ77" s="21">
        <v>146781</v>
      </c>
      <c r="AR77" s="21">
        <v>157727</v>
      </c>
      <c r="AS77" s="21">
        <v>157617</v>
      </c>
      <c r="AT77" s="21">
        <v>152295</v>
      </c>
      <c r="AU77" s="21">
        <v>157215</v>
      </c>
      <c r="AV77" s="21">
        <v>161132</v>
      </c>
      <c r="AW77" s="21">
        <v>159893</v>
      </c>
      <c r="AX77" s="21">
        <v>161695</v>
      </c>
      <c r="AY77" s="21">
        <v>165697</v>
      </c>
      <c r="AZ77" s="21">
        <v>164069</v>
      </c>
      <c r="BA77" s="21">
        <v>160845</v>
      </c>
      <c r="BB77" s="21">
        <v>150217</v>
      </c>
      <c r="BC77" s="21">
        <v>145686</v>
      </c>
    </row>
    <row r="78" spans="1:55" x14ac:dyDescent="0.2">
      <c r="A78" s="21" t="s">
        <v>1413</v>
      </c>
      <c r="B78" s="21" t="s">
        <v>1414</v>
      </c>
      <c r="C78" s="21" t="s">
        <v>400</v>
      </c>
      <c r="D78" s="21">
        <v>4684092</v>
      </c>
      <c r="E78" s="21">
        <v>4943375</v>
      </c>
      <c r="F78" s="21">
        <v>5365536</v>
      </c>
      <c r="G78" s="21">
        <v>5764665</v>
      </c>
      <c r="H78" s="21">
        <v>5741788</v>
      </c>
      <c r="I78" s="21">
        <v>5882857</v>
      </c>
      <c r="J78" s="21">
        <v>6240272</v>
      </c>
      <c r="K78" s="21">
        <v>6552996</v>
      </c>
      <c r="L78" s="21">
        <v>6790394</v>
      </c>
      <c r="M78" s="21">
        <v>6968055</v>
      </c>
      <c r="N78" s="21">
        <v>7034118</v>
      </c>
      <c r="O78" s="21">
        <v>7213165</v>
      </c>
      <c r="P78" s="21">
        <v>7014799</v>
      </c>
      <c r="Q78" s="21">
        <v>7237744</v>
      </c>
      <c r="R78" s="21">
        <v>7698981</v>
      </c>
      <c r="S78" s="21">
        <v>7833443</v>
      </c>
      <c r="T78" s="21">
        <v>7966351</v>
      </c>
      <c r="U78" s="21">
        <v>8252776</v>
      </c>
      <c r="V78" s="21">
        <v>8677045</v>
      </c>
      <c r="W78" s="21">
        <v>8923023</v>
      </c>
      <c r="X78" s="21">
        <v>9144063</v>
      </c>
      <c r="Y78" s="21">
        <v>9311843</v>
      </c>
      <c r="Z78" s="21">
        <v>9317693</v>
      </c>
      <c r="AA78" s="21">
        <v>9644186</v>
      </c>
      <c r="AB78" s="21">
        <v>9877398</v>
      </c>
      <c r="AC78" s="21">
        <v>10146004</v>
      </c>
      <c r="AD78" s="21">
        <v>10471414</v>
      </c>
      <c r="AE78" s="21">
        <v>10623192</v>
      </c>
      <c r="AF78" s="21">
        <v>11026368</v>
      </c>
      <c r="AG78" s="21">
        <v>11189238</v>
      </c>
      <c r="AH78" s="21">
        <v>11561853</v>
      </c>
      <c r="AI78" s="21">
        <v>11465245</v>
      </c>
      <c r="AJ78" s="21">
        <v>11705702</v>
      </c>
      <c r="AK78" s="21">
        <v>11804803</v>
      </c>
      <c r="AL78" s="21">
        <v>11979824</v>
      </c>
      <c r="AM78" s="21">
        <v>12366366</v>
      </c>
      <c r="AN78" s="21">
        <v>12387491</v>
      </c>
      <c r="AO78" s="21">
        <v>12701961</v>
      </c>
      <c r="AP78" s="21">
        <v>12594656</v>
      </c>
      <c r="AQ78" s="21">
        <v>12125484</v>
      </c>
      <c r="AR78" s="21">
        <v>12653792</v>
      </c>
      <c r="AS78" s="21">
        <v>12636858</v>
      </c>
      <c r="AT78" s="21">
        <v>12453850</v>
      </c>
      <c r="AU78" s="21">
        <v>12552034</v>
      </c>
      <c r="AV78" s="21">
        <v>12684026</v>
      </c>
      <c r="AW78" s="21">
        <v>12665789</v>
      </c>
      <c r="AX78" s="21">
        <v>12675824</v>
      </c>
      <c r="AY78" s="21">
        <v>12538394</v>
      </c>
      <c r="AZ78" s="21">
        <v>13003471</v>
      </c>
      <c r="BA78" s="21">
        <v>12842800</v>
      </c>
      <c r="BB78" s="21">
        <v>12534489</v>
      </c>
      <c r="BC78" s="21">
        <v>12839957</v>
      </c>
    </row>
    <row r="79" spans="1:55" x14ac:dyDescent="0.2">
      <c r="A79" s="21" t="s">
        <v>1413</v>
      </c>
      <c r="B79" s="21" t="s">
        <v>1414</v>
      </c>
      <c r="C79" s="21" t="s">
        <v>404</v>
      </c>
      <c r="D79" s="21">
        <v>4.9800000000000004</v>
      </c>
      <c r="E79" s="21">
        <v>5.3</v>
      </c>
      <c r="F79" s="21">
        <v>5.54</v>
      </c>
      <c r="G79" s="21">
        <v>5.86</v>
      </c>
      <c r="H79" s="21">
        <v>7.42</v>
      </c>
      <c r="I79" s="21">
        <v>8.61</v>
      </c>
      <c r="J79" s="21">
        <v>9.1300000000000008</v>
      </c>
      <c r="K79" s="21">
        <v>10.11</v>
      </c>
      <c r="L79" s="21">
        <v>10.92</v>
      </c>
      <c r="M79" s="21">
        <v>11.78</v>
      </c>
      <c r="N79" s="21">
        <v>13.95</v>
      </c>
      <c r="O79" s="21">
        <v>16.14</v>
      </c>
      <c r="P79" s="21">
        <v>18.16</v>
      </c>
      <c r="Q79" s="21">
        <v>18.62</v>
      </c>
      <c r="R79" s="21">
        <v>18.5</v>
      </c>
      <c r="S79" s="21">
        <v>19.05</v>
      </c>
      <c r="T79" s="21">
        <v>19.05</v>
      </c>
      <c r="U79" s="21">
        <v>18.739999999999998</v>
      </c>
      <c r="V79" s="21">
        <v>18.68</v>
      </c>
      <c r="W79" s="21">
        <v>18.98</v>
      </c>
      <c r="X79" s="21">
        <v>19.32</v>
      </c>
      <c r="Y79" s="21">
        <v>19.84</v>
      </c>
      <c r="Z79" s="21">
        <v>20.059999999999999</v>
      </c>
      <c r="AA79" s="21">
        <v>20.38</v>
      </c>
      <c r="AB79" s="21">
        <v>20.329999999999998</v>
      </c>
      <c r="AC79" s="21">
        <v>20.29</v>
      </c>
      <c r="AD79" s="21">
        <v>20.16</v>
      </c>
      <c r="AE79" s="21">
        <v>20.13</v>
      </c>
      <c r="AF79" s="21">
        <v>19.8</v>
      </c>
      <c r="AG79" s="21">
        <v>19.52</v>
      </c>
      <c r="AH79" s="21">
        <v>20.03</v>
      </c>
      <c r="AI79" s="21">
        <v>21.41</v>
      </c>
      <c r="AJ79" s="21">
        <v>21.15</v>
      </c>
      <c r="AK79" s="21">
        <v>21.85</v>
      </c>
      <c r="AL79" s="21">
        <v>22.38</v>
      </c>
      <c r="AM79" s="21">
        <v>23.92</v>
      </c>
      <c r="AN79" s="21">
        <v>26.15</v>
      </c>
      <c r="AO79" s="21">
        <v>26.84</v>
      </c>
      <c r="AP79" s="21">
        <v>28.62</v>
      </c>
      <c r="AQ79" s="21">
        <v>28.9</v>
      </c>
      <c r="AR79" s="21">
        <v>28.92</v>
      </c>
      <c r="AS79" s="21">
        <v>29.12</v>
      </c>
      <c r="AT79" s="21">
        <v>28.98</v>
      </c>
      <c r="AU79" s="21">
        <v>29.64</v>
      </c>
      <c r="AV79" s="21">
        <v>30.74</v>
      </c>
      <c r="AW79" s="21">
        <v>30.66</v>
      </c>
      <c r="AX79" s="21">
        <v>30.26</v>
      </c>
      <c r="AY79" s="21">
        <v>30.88</v>
      </c>
      <c r="AZ79" s="21">
        <v>31.02</v>
      </c>
      <c r="BA79" s="21">
        <v>31.05</v>
      </c>
      <c r="BB79" s="21">
        <v>31.19</v>
      </c>
      <c r="BC79" s="21">
        <v>32.659999999999997</v>
      </c>
    </row>
    <row r="80" spans="1:55" x14ac:dyDescent="0.2">
      <c r="A80" s="21" t="s">
        <v>1413</v>
      </c>
      <c r="B80" s="21" t="s">
        <v>1414</v>
      </c>
      <c r="C80" s="21" t="s">
        <v>407</v>
      </c>
      <c r="D80" s="21">
        <v>23344.7</v>
      </c>
      <c r="E80" s="21">
        <v>26201.8</v>
      </c>
      <c r="F80" s="21">
        <v>29712.5</v>
      </c>
      <c r="G80" s="21">
        <v>33773.9</v>
      </c>
      <c r="H80" s="21">
        <v>42586.5</v>
      </c>
      <c r="I80" s="21">
        <v>50679.9</v>
      </c>
      <c r="J80" s="21">
        <v>56972.4</v>
      </c>
      <c r="K80" s="21">
        <v>66225</v>
      </c>
      <c r="L80" s="21">
        <v>74159.199999999997</v>
      </c>
      <c r="M80" s="21">
        <v>82051.3</v>
      </c>
      <c r="N80" s="21">
        <v>98095</v>
      </c>
      <c r="O80" s="21">
        <v>116454.9</v>
      </c>
      <c r="P80" s="21">
        <v>127393.3</v>
      </c>
      <c r="Q80" s="21">
        <v>134730.9</v>
      </c>
      <c r="R80" s="21">
        <v>142420.4</v>
      </c>
      <c r="S80" s="21">
        <v>149232.6</v>
      </c>
      <c r="T80" s="21">
        <v>151792.79999999999</v>
      </c>
      <c r="U80" s="21">
        <v>154684.9</v>
      </c>
      <c r="V80" s="21">
        <v>162063.1</v>
      </c>
      <c r="W80" s="21">
        <v>169332.4</v>
      </c>
      <c r="X80" s="21">
        <v>176690.9</v>
      </c>
      <c r="Y80" s="21">
        <v>184767.2</v>
      </c>
      <c r="Z80" s="21">
        <v>186905.5</v>
      </c>
      <c r="AA80" s="21">
        <v>196531.6</v>
      </c>
      <c r="AB80" s="21">
        <v>200831.3</v>
      </c>
      <c r="AC80" s="21">
        <v>205876.4</v>
      </c>
      <c r="AD80" s="21">
        <v>211105.4</v>
      </c>
      <c r="AE80" s="21">
        <v>213843.4</v>
      </c>
      <c r="AF80" s="21">
        <v>218361.5</v>
      </c>
      <c r="AG80" s="21">
        <v>218412.79999999999</v>
      </c>
      <c r="AH80" s="21">
        <v>231577.5</v>
      </c>
      <c r="AI80" s="21">
        <v>245482.8</v>
      </c>
      <c r="AJ80" s="21">
        <v>247598.2</v>
      </c>
      <c r="AK80" s="21">
        <v>257992.3</v>
      </c>
      <c r="AL80" s="21">
        <v>268133.2</v>
      </c>
      <c r="AM80" s="21">
        <v>295786.90000000002</v>
      </c>
      <c r="AN80" s="21">
        <v>323962.5</v>
      </c>
      <c r="AO80" s="21">
        <v>340924.7</v>
      </c>
      <c r="AP80" s="21">
        <v>360453.9</v>
      </c>
      <c r="AQ80" s="21">
        <v>350435</v>
      </c>
      <c r="AR80" s="21">
        <v>365912.7</v>
      </c>
      <c r="AS80" s="21">
        <v>368009.4</v>
      </c>
      <c r="AT80" s="21">
        <v>360862.9</v>
      </c>
      <c r="AU80" s="21">
        <v>372068.1</v>
      </c>
      <c r="AV80" s="21">
        <v>389872.1</v>
      </c>
      <c r="AW80" s="21">
        <v>388344.2</v>
      </c>
      <c r="AX80" s="21">
        <v>383566.8</v>
      </c>
      <c r="AY80" s="21">
        <v>387222.1</v>
      </c>
      <c r="AZ80" s="21">
        <v>403349</v>
      </c>
      <c r="BA80" s="21">
        <v>398774.2</v>
      </c>
      <c r="BB80" s="21">
        <v>390933.6</v>
      </c>
      <c r="BC80" s="21">
        <v>419304</v>
      </c>
    </row>
    <row r="81" spans="1:55" x14ac:dyDescent="0.2">
      <c r="A81" s="21" t="s">
        <v>1413</v>
      </c>
      <c r="B81" s="21" t="s">
        <v>1414</v>
      </c>
      <c r="C81" s="21" t="s">
        <v>413</v>
      </c>
      <c r="D81" s="21">
        <v>4.9800000000000004</v>
      </c>
      <c r="E81" s="21">
        <v>5.3</v>
      </c>
      <c r="F81" s="21">
        <v>5.54</v>
      </c>
      <c r="G81" s="21">
        <v>5.86</v>
      </c>
      <c r="H81" s="21">
        <v>7.42</v>
      </c>
      <c r="I81" s="21">
        <v>8.61</v>
      </c>
      <c r="J81" s="21">
        <v>9.1300000000000008</v>
      </c>
      <c r="K81" s="21">
        <v>10.11</v>
      </c>
      <c r="L81" s="21">
        <v>10.92</v>
      </c>
      <c r="M81" s="21">
        <v>11.78</v>
      </c>
      <c r="N81" s="21">
        <v>13.95</v>
      </c>
      <c r="O81" s="21">
        <v>16.14</v>
      </c>
      <c r="P81" s="21">
        <v>18.16</v>
      </c>
      <c r="Q81" s="21">
        <v>18.62</v>
      </c>
      <c r="R81" s="21">
        <v>18.5</v>
      </c>
      <c r="S81" s="21">
        <v>19.05</v>
      </c>
      <c r="T81" s="21">
        <v>19.05</v>
      </c>
      <c r="U81" s="21">
        <v>18.739999999999998</v>
      </c>
      <c r="V81" s="21">
        <v>18.68</v>
      </c>
      <c r="W81" s="21">
        <v>18.98</v>
      </c>
      <c r="X81" s="21">
        <v>19.32</v>
      </c>
      <c r="Y81" s="21">
        <v>19.84</v>
      </c>
      <c r="Z81" s="21">
        <v>20.059999999999999</v>
      </c>
      <c r="AA81" s="21">
        <v>20.38</v>
      </c>
      <c r="AB81" s="21">
        <v>20.329999999999998</v>
      </c>
      <c r="AC81" s="21">
        <v>20.29</v>
      </c>
      <c r="AD81" s="21">
        <v>20.16</v>
      </c>
      <c r="AE81" s="21">
        <v>20.13</v>
      </c>
      <c r="AF81" s="21">
        <v>19.8</v>
      </c>
      <c r="AG81" s="21">
        <v>19.52</v>
      </c>
      <c r="AH81" s="21">
        <v>20.03</v>
      </c>
      <c r="AI81" s="21">
        <v>21.41</v>
      </c>
      <c r="AJ81" s="21">
        <v>21.15</v>
      </c>
      <c r="AK81" s="21">
        <v>21.85</v>
      </c>
      <c r="AL81" s="21">
        <v>22.38</v>
      </c>
      <c r="AM81" s="21">
        <v>23.92</v>
      </c>
      <c r="AN81" s="21">
        <v>26.15</v>
      </c>
      <c r="AO81" s="21">
        <v>26.84</v>
      </c>
      <c r="AP81" s="21">
        <v>28.62</v>
      </c>
      <c r="AQ81" s="21">
        <v>28.9</v>
      </c>
      <c r="AR81" s="21">
        <v>28.92</v>
      </c>
      <c r="AS81" s="21">
        <v>29.12</v>
      </c>
      <c r="AT81" s="21">
        <v>28.98</v>
      </c>
      <c r="AU81" s="21">
        <v>29.64</v>
      </c>
      <c r="AV81" s="21">
        <v>30.74</v>
      </c>
      <c r="AW81" s="21">
        <v>30.66</v>
      </c>
      <c r="AX81" s="21">
        <v>30.26</v>
      </c>
      <c r="AY81" s="21">
        <v>30.88</v>
      </c>
      <c r="AZ81" s="21">
        <v>31.02</v>
      </c>
      <c r="BA81" s="21">
        <v>31.05</v>
      </c>
      <c r="BB81" s="21">
        <v>31.19</v>
      </c>
      <c r="BC81" s="21">
        <v>32.659999999999997</v>
      </c>
    </row>
    <row r="82" spans="1:55" x14ac:dyDescent="0.2">
      <c r="A82" s="21" t="s">
        <v>1413</v>
      </c>
      <c r="B82" s="21" t="s">
        <v>1414</v>
      </c>
      <c r="C82" s="21" t="s">
        <v>416</v>
      </c>
      <c r="D82" s="21">
        <v>23344.7</v>
      </c>
      <c r="E82" s="21">
        <v>26201.8</v>
      </c>
      <c r="F82" s="21">
        <v>29712.5</v>
      </c>
      <c r="G82" s="21">
        <v>33773.9</v>
      </c>
      <c r="H82" s="21">
        <v>42586.5</v>
      </c>
      <c r="I82" s="21">
        <v>50679.9</v>
      </c>
      <c r="J82" s="21">
        <v>56972.4</v>
      </c>
      <c r="K82" s="21">
        <v>66225</v>
      </c>
      <c r="L82" s="21">
        <v>74159.199999999997</v>
      </c>
      <c r="M82" s="21">
        <v>82051.3</v>
      </c>
      <c r="N82" s="21">
        <v>98095</v>
      </c>
      <c r="O82" s="21">
        <v>116454.9</v>
      </c>
      <c r="P82" s="21">
        <v>127393.3</v>
      </c>
      <c r="Q82" s="21">
        <v>134730.9</v>
      </c>
      <c r="R82" s="21">
        <v>142420.4</v>
      </c>
      <c r="S82" s="21">
        <v>149232.6</v>
      </c>
      <c r="T82" s="21">
        <v>151792.79999999999</v>
      </c>
      <c r="U82" s="21">
        <v>154684.9</v>
      </c>
      <c r="V82" s="21">
        <v>162063.1</v>
      </c>
      <c r="W82" s="21">
        <v>169332.4</v>
      </c>
      <c r="X82" s="21">
        <v>176690.9</v>
      </c>
      <c r="Y82" s="21">
        <v>184767.2</v>
      </c>
      <c r="Z82" s="21">
        <v>186905.5</v>
      </c>
      <c r="AA82" s="21">
        <v>196531.6</v>
      </c>
      <c r="AB82" s="21">
        <v>200831.3</v>
      </c>
      <c r="AC82" s="21">
        <v>205876.4</v>
      </c>
      <c r="AD82" s="21">
        <v>211105.4</v>
      </c>
      <c r="AE82" s="21">
        <v>213843.4</v>
      </c>
      <c r="AF82" s="21">
        <v>218361.5</v>
      </c>
      <c r="AG82" s="21">
        <v>218412.79999999999</v>
      </c>
      <c r="AH82" s="21">
        <v>231577.5</v>
      </c>
      <c r="AI82" s="21">
        <v>245482.8</v>
      </c>
      <c r="AJ82" s="21">
        <v>247598.2</v>
      </c>
      <c r="AK82" s="21">
        <v>257992.3</v>
      </c>
      <c r="AL82" s="21">
        <v>268133.2</v>
      </c>
      <c r="AM82" s="21">
        <v>295786.90000000002</v>
      </c>
      <c r="AN82" s="21">
        <v>323962.5</v>
      </c>
      <c r="AO82" s="21">
        <v>340924.7</v>
      </c>
      <c r="AP82" s="21">
        <v>360453.9</v>
      </c>
      <c r="AQ82" s="21">
        <v>350435</v>
      </c>
      <c r="AR82" s="21">
        <v>365912.7</v>
      </c>
      <c r="AS82" s="21">
        <v>368009.4</v>
      </c>
      <c r="AT82" s="21">
        <v>360862.9</v>
      </c>
      <c r="AU82" s="21">
        <v>372068.1</v>
      </c>
      <c r="AV82" s="21">
        <v>389872.1</v>
      </c>
      <c r="AW82" s="21">
        <v>388344.2</v>
      </c>
      <c r="AX82" s="21">
        <v>383566.8</v>
      </c>
      <c r="AY82" s="21">
        <v>387222.1</v>
      </c>
      <c r="AZ82" s="21">
        <v>403349</v>
      </c>
      <c r="BA82" s="21">
        <v>398774.2</v>
      </c>
      <c r="BB82" s="21">
        <v>390933.6</v>
      </c>
      <c r="BC82" s="21">
        <v>419304</v>
      </c>
    </row>
    <row r="83" spans="1:55" x14ac:dyDescent="0.2">
      <c r="A83" s="21" t="s">
        <v>1413</v>
      </c>
      <c r="B83" s="21" t="s">
        <v>1414</v>
      </c>
      <c r="C83" s="21" t="s">
        <v>433</v>
      </c>
      <c r="D83" s="21">
        <v>0.8</v>
      </c>
      <c r="E83" s="21">
        <v>0.84</v>
      </c>
      <c r="F83" s="21">
        <v>0.84</v>
      </c>
      <c r="G83" s="21">
        <v>0.97</v>
      </c>
      <c r="H83" s="21">
        <v>2.13</v>
      </c>
      <c r="I83" s="21">
        <v>2.4300000000000002</v>
      </c>
      <c r="J83" s="21">
        <v>2.5499999999999998</v>
      </c>
      <c r="K83" s="21">
        <v>2.8</v>
      </c>
      <c r="L83" s="21">
        <v>3.24</v>
      </c>
      <c r="M83" s="21">
        <v>3.66</v>
      </c>
      <c r="N83" s="21">
        <v>6.68</v>
      </c>
      <c r="O83" s="21">
        <v>8.26</v>
      </c>
      <c r="P83" s="21">
        <v>7.26</v>
      </c>
      <c r="Q83" s="21">
        <v>6.8</v>
      </c>
      <c r="R83" s="21">
        <v>6.71</v>
      </c>
      <c r="S83" s="21">
        <v>6.27</v>
      </c>
      <c r="T83" s="21">
        <v>3.41</v>
      </c>
      <c r="U83" s="21">
        <v>4.2</v>
      </c>
      <c r="V83" s="21">
        <v>3.44</v>
      </c>
      <c r="W83" s="21">
        <v>4.21</v>
      </c>
      <c r="X83" s="21">
        <v>5.21</v>
      </c>
      <c r="Y83" s="21">
        <v>4.47</v>
      </c>
      <c r="Z83" s="21">
        <v>4.32</v>
      </c>
      <c r="AA83" s="21">
        <v>3.85</v>
      </c>
      <c r="AB83" s="21">
        <v>3.65</v>
      </c>
      <c r="AC83" s="21">
        <v>4.04</v>
      </c>
      <c r="AD83" s="21">
        <v>4.8499999999999996</v>
      </c>
      <c r="AE83" s="21">
        <v>4.46</v>
      </c>
      <c r="AF83" s="21">
        <v>2.93</v>
      </c>
      <c r="AG83" s="21">
        <v>4.0999999999999996</v>
      </c>
      <c r="AH83" s="21">
        <v>6.62</v>
      </c>
      <c r="AI83" s="21">
        <v>5.38</v>
      </c>
      <c r="AJ83" s="21">
        <v>5.65</v>
      </c>
      <c r="AK83" s="21">
        <v>6.69</v>
      </c>
      <c r="AL83" s="21">
        <v>8.67</v>
      </c>
      <c r="AM83" s="21">
        <v>11.78</v>
      </c>
      <c r="AN83" s="21">
        <v>14.12</v>
      </c>
      <c r="AO83" s="21">
        <v>15.92</v>
      </c>
      <c r="AP83" s="21">
        <v>22.2</v>
      </c>
      <c r="AQ83" s="21">
        <v>13.9</v>
      </c>
      <c r="AR83" s="21">
        <v>17.97</v>
      </c>
      <c r="AS83" s="21">
        <v>23.88</v>
      </c>
      <c r="AT83" s="21">
        <v>23.66</v>
      </c>
      <c r="AU83" s="21">
        <v>23.55</v>
      </c>
      <c r="AV83" s="21">
        <v>21.57</v>
      </c>
      <c r="AW83" s="21">
        <v>11.34</v>
      </c>
      <c r="AX83" s="21">
        <v>9.5299999999999994</v>
      </c>
      <c r="AY83" s="21">
        <v>11.88</v>
      </c>
      <c r="AZ83" s="21">
        <v>15.09</v>
      </c>
      <c r="BA83" s="21">
        <v>13.92</v>
      </c>
      <c r="BB83" s="21">
        <v>9.32</v>
      </c>
      <c r="BC83" s="21">
        <v>15.9</v>
      </c>
    </row>
    <row r="84" spans="1:55" x14ac:dyDescent="0.2">
      <c r="A84" s="21" t="s">
        <v>1413</v>
      </c>
      <c r="B84" s="21" t="s">
        <v>1414</v>
      </c>
      <c r="C84" s="21" t="s">
        <v>436</v>
      </c>
      <c r="D84" s="21">
        <v>239.3</v>
      </c>
      <c r="E84" s="21">
        <v>251.7</v>
      </c>
      <c r="F84" s="21">
        <v>255.4</v>
      </c>
      <c r="G84" s="21">
        <v>289.89999999999998</v>
      </c>
      <c r="H84" s="21">
        <v>690.7</v>
      </c>
      <c r="I84" s="21">
        <v>683.3</v>
      </c>
      <c r="J84" s="21">
        <v>981.3</v>
      </c>
      <c r="K84" s="21">
        <v>1092.5999999999999</v>
      </c>
      <c r="L84" s="21">
        <v>1272.3</v>
      </c>
      <c r="M84" s="21">
        <v>1667.4</v>
      </c>
      <c r="N84" s="21">
        <v>3173.1</v>
      </c>
      <c r="O84" s="21">
        <v>3638.7</v>
      </c>
      <c r="P84" s="21">
        <v>2294.5</v>
      </c>
      <c r="Q84" s="21">
        <v>1928</v>
      </c>
      <c r="R84" s="21">
        <v>1852.7</v>
      </c>
      <c r="S84" s="21">
        <v>1478.5</v>
      </c>
      <c r="T84" s="21">
        <v>1164.0999999999999</v>
      </c>
      <c r="U84" s="21">
        <v>1459.4</v>
      </c>
      <c r="V84" s="21">
        <v>1222.5999999999999</v>
      </c>
      <c r="W84" s="21">
        <v>1636.6</v>
      </c>
      <c r="X84" s="21">
        <v>1811.3</v>
      </c>
      <c r="Y84" s="21">
        <v>1335.5</v>
      </c>
      <c r="Z84" s="21">
        <v>1629</v>
      </c>
      <c r="AA84" s="21">
        <v>1348.4</v>
      </c>
      <c r="AB84" s="21">
        <v>1455.5</v>
      </c>
      <c r="AC84" s="21">
        <v>1506.1</v>
      </c>
      <c r="AD84" s="21">
        <v>2326.5</v>
      </c>
      <c r="AE84" s="21">
        <v>2393.6</v>
      </c>
      <c r="AF84" s="21">
        <v>1713.7</v>
      </c>
      <c r="AG84" s="21">
        <v>2060.5</v>
      </c>
      <c r="AH84" s="21">
        <v>4063.7</v>
      </c>
      <c r="AI84" s="21">
        <v>2655.7</v>
      </c>
      <c r="AJ84" s="21">
        <v>3290.5</v>
      </c>
      <c r="AK84" s="21">
        <v>4098.7</v>
      </c>
      <c r="AL84" s="21">
        <v>6495.5</v>
      </c>
      <c r="AM84" s="21">
        <v>8226.7999999999993</v>
      </c>
      <c r="AN84" s="21">
        <v>8878.6</v>
      </c>
      <c r="AO84" s="21">
        <v>8956.2000000000007</v>
      </c>
      <c r="AP84" s="21">
        <v>10595.5</v>
      </c>
      <c r="AQ84" s="21">
        <v>6557.1</v>
      </c>
      <c r="AR84" s="21">
        <v>8817.7000000000007</v>
      </c>
      <c r="AS84" s="21">
        <v>11635.1</v>
      </c>
      <c r="AT84" s="21">
        <v>10737.7</v>
      </c>
      <c r="AU84" s="21">
        <v>12196.2</v>
      </c>
      <c r="AV84" s="21">
        <v>9545.7999999999993</v>
      </c>
      <c r="AW84" s="21">
        <v>4854.8</v>
      </c>
      <c r="AX84" s="21">
        <v>4002.7</v>
      </c>
      <c r="AY84" s="21">
        <v>5181</v>
      </c>
      <c r="AZ84" s="21">
        <v>6746.1</v>
      </c>
      <c r="BA84" s="21">
        <v>5520.8</v>
      </c>
      <c r="BB84" s="21">
        <v>3303.7</v>
      </c>
      <c r="BC84" s="21">
        <v>5640.8</v>
      </c>
    </row>
    <row r="85" spans="1:55" x14ac:dyDescent="0.2">
      <c r="A85" s="21" t="s">
        <v>1413</v>
      </c>
      <c r="B85" s="21" t="s">
        <v>1414</v>
      </c>
      <c r="C85" s="21" t="s">
        <v>440</v>
      </c>
      <c r="D85" s="21">
        <v>0.94</v>
      </c>
      <c r="E85" s="21">
        <v>0.99</v>
      </c>
      <c r="F85" s="21">
        <v>0.99</v>
      </c>
      <c r="G85" s="21">
        <v>1.1499999999999999</v>
      </c>
      <c r="H85" s="21">
        <v>2.5</v>
      </c>
      <c r="I85" s="21">
        <v>2.86</v>
      </c>
      <c r="J85" s="21">
        <v>3</v>
      </c>
      <c r="K85" s="21">
        <v>3.3</v>
      </c>
      <c r="L85" s="21">
        <v>3.42</v>
      </c>
      <c r="M85" s="21">
        <v>4.97</v>
      </c>
      <c r="N85" s="21">
        <v>7.64</v>
      </c>
      <c r="O85" s="21">
        <v>9.7200000000000006</v>
      </c>
      <c r="P85" s="21">
        <v>8.7899999999999991</v>
      </c>
      <c r="Q85" s="21">
        <v>8</v>
      </c>
      <c r="R85" s="21">
        <v>7.9</v>
      </c>
      <c r="S85" s="21">
        <v>7.38</v>
      </c>
      <c r="T85" s="21">
        <v>4.01</v>
      </c>
      <c r="U85" s="21">
        <v>4.9400000000000004</v>
      </c>
      <c r="V85" s="21">
        <v>4.05</v>
      </c>
      <c r="W85" s="21">
        <v>4.96</v>
      </c>
      <c r="X85" s="21">
        <v>6.13</v>
      </c>
      <c r="Y85" s="21">
        <v>5.26</v>
      </c>
      <c r="Z85" s="21">
        <v>5.08</v>
      </c>
      <c r="AA85" s="21">
        <v>4.53</v>
      </c>
      <c r="AB85" s="21">
        <v>4.3</v>
      </c>
      <c r="AC85" s="21">
        <v>4.75</v>
      </c>
      <c r="AD85" s="21">
        <v>5.71</v>
      </c>
      <c r="AE85" s="21">
        <v>5.25</v>
      </c>
      <c r="AF85" s="21">
        <v>3.45</v>
      </c>
      <c r="AG85" s="21">
        <v>4.83</v>
      </c>
      <c r="AH85" s="21">
        <v>7.8</v>
      </c>
      <c r="AI85" s="21">
        <v>6.33</v>
      </c>
      <c r="AJ85" s="21">
        <v>6.65</v>
      </c>
      <c r="AK85" s="21">
        <v>7.87</v>
      </c>
      <c r="AL85" s="21">
        <v>10.199999999999999</v>
      </c>
      <c r="AM85" s="21">
        <v>13.86</v>
      </c>
      <c r="AN85" s="21">
        <v>16.62</v>
      </c>
      <c r="AO85" s="21">
        <v>18.739999999999998</v>
      </c>
      <c r="AP85" s="21">
        <v>26.14</v>
      </c>
      <c r="AQ85" s="21">
        <v>16.36</v>
      </c>
      <c r="AR85" s="21">
        <v>21.16</v>
      </c>
      <c r="AS85" s="21">
        <v>28.1</v>
      </c>
      <c r="AT85" s="21">
        <v>27.84</v>
      </c>
      <c r="AU85" s="21">
        <v>27.72</v>
      </c>
      <c r="AV85" s="21">
        <v>25.39</v>
      </c>
      <c r="AW85" s="21">
        <v>13.35</v>
      </c>
      <c r="AX85" s="21">
        <v>11.22</v>
      </c>
      <c r="AY85" s="21">
        <v>13.98</v>
      </c>
      <c r="AZ85" s="21">
        <v>17.760000000000002</v>
      </c>
      <c r="BA85" s="21">
        <v>16.38</v>
      </c>
      <c r="BB85" s="21">
        <v>10.97</v>
      </c>
      <c r="BC85" s="21">
        <v>18.71</v>
      </c>
    </row>
    <row r="86" spans="1:55" x14ac:dyDescent="0.2">
      <c r="A86" s="21" t="s">
        <v>1413</v>
      </c>
      <c r="B86" s="21" t="s">
        <v>1414</v>
      </c>
      <c r="C86" s="21" t="s">
        <v>443</v>
      </c>
      <c r="D86" s="21">
        <v>171.1</v>
      </c>
      <c r="E86" s="21">
        <v>217.4</v>
      </c>
      <c r="F86" s="21">
        <v>292.89999999999998</v>
      </c>
      <c r="G86" s="21">
        <v>404.7</v>
      </c>
      <c r="H86" s="21">
        <v>819.6</v>
      </c>
      <c r="I86" s="21">
        <v>793.1</v>
      </c>
      <c r="J86" s="21">
        <v>1086.8</v>
      </c>
      <c r="K86" s="21">
        <v>1887.1</v>
      </c>
      <c r="L86" s="21">
        <v>2434.3000000000002</v>
      </c>
      <c r="M86" s="21">
        <v>4209</v>
      </c>
      <c r="N86" s="21">
        <v>6564</v>
      </c>
      <c r="O86" s="21">
        <v>7074.4</v>
      </c>
      <c r="P86" s="21">
        <v>4588.5</v>
      </c>
      <c r="Q86" s="21">
        <v>4092.7</v>
      </c>
      <c r="R86" s="21">
        <v>3712.2</v>
      </c>
      <c r="S86" s="21">
        <v>3728.8</v>
      </c>
      <c r="T86" s="21">
        <v>2449.3000000000002</v>
      </c>
      <c r="U86" s="21">
        <v>2742.1</v>
      </c>
      <c r="V86" s="21">
        <v>2360</v>
      </c>
      <c r="W86" s="21">
        <v>2704.1</v>
      </c>
      <c r="X86" s="21">
        <v>4621.6000000000004</v>
      </c>
      <c r="Y86" s="21">
        <v>4350.1000000000004</v>
      </c>
      <c r="Z86" s="21">
        <v>4141.3999999999996</v>
      </c>
      <c r="AA86" s="21">
        <v>3821.3</v>
      </c>
      <c r="AB86" s="21">
        <v>3607</v>
      </c>
      <c r="AC86" s="21">
        <v>3807.5</v>
      </c>
      <c r="AD86" s="21">
        <v>4168.8</v>
      </c>
      <c r="AE86" s="21">
        <v>4523.8999999999996</v>
      </c>
      <c r="AF86" s="21">
        <v>2827.7</v>
      </c>
      <c r="AG86" s="21">
        <v>3918.4</v>
      </c>
      <c r="AH86" s="21">
        <v>5630.2</v>
      </c>
      <c r="AI86" s="21">
        <v>4194.3</v>
      </c>
      <c r="AJ86" s="21">
        <v>4202.3999999999996</v>
      </c>
      <c r="AK86" s="21">
        <v>5504.7</v>
      </c>
      <c r="AL86" s="21">
        <v>7952.4</v>
      </c>
      <c r="AM86" s="21">
        <v>9812.7999999999993</v>
      </c>
      <c r="AN86" s="21">
        <v>13139.6</v>
      </c>
      <c r="AO86" s="21">
        <v>13946.7</v>
      </c>
      <c r="AP86" s="21">
        <v>16930.5</v>
      </c>
      <c r="AQ86" s="21">
        <v>6948</v>
      </c>
      <c r="AR86" s="21">
        <v>9574.1</v>
      </c>
      <c r="AS86" s="21">
        <v>10919.1</v>
      </c>
      <c r="AT86" s="21">
        <v>7998.1</v>
      </c>
      <c r="AU86" s="21">
        <v>6207.7</v>
      </c>
      <c r="AV86" s="21">
        <v>6276.2</v>
      </c>
      <c r="AW86" s="21">
        <v>3057.6</v>
      </c>
      <c r="AX86" s="21">
        <v>2495.4</v>
      </c>
      <c r="AY86" s="21">
        <v>3676.2</v>
      </c>
      <c r="AZ86" s="21">
        <v>4246.3999999999996</v>
      </c>
      <c r="BA86" s="21">
        <v>3834.8</v>
      </c>
      <c r="BB86" s="21">
        <v>2379.8000000000002</v>
      </c>
      <c r="BC86" s="21">
        <v>4058.7</v>
      </c>
    </row>
    <row r="87" spans="1:55" x14ac:dyDescent="0.2">
      <c r="A87" s="21" t="s">
        <v>1413</v>
      </c>
      <c r="B87" s="21" t="s">
        <v>1414</v>
      </c>
      <c r="C87" s="21" t="s">
        <v>447</v>
      </c>
      <c r="D87" s="21">
        <v>0.43</v>
      </c>
      <c r="E87" s="21">
        <v>0.46</v>
      </c>
      <c r="F87" s="21">
        <v>0.48</v>
      </c>
      <c r="G87" s="21">
        <v>0.53</v>
      </c>
      <c r="H87" s="21">
        <v>1.1499999999999999</v>
      </c>
      <c r="I87" s="21">
        <v>1.31</v>
      </c>
      <c r="J87" s="21">
        <v>1.38</v>
      </c>
      <c r="K87" s="21">
        <v>1.66</v>
      </c>
      <c r="L87" s="21">
        <v>1.19</v>
      </c>
      <c r="M87" s="21">
        <v>2.88</v>
      </c>
      <c r="N87" s="21">
        <v>4.04</v>
      </c>
      <c r="O87" s="21">
        <v>4.46</v>
      </c>
      <c r="P87" s="21">
        <v>2.72</v>
      </c>
      <c r="Q87" s="21">
        <v>3.67</v>
      </c>
      <c r="R87" s="21">
        <v>3.62</v>
      </c>
      <c r="S87" s="21">
        <v>3.39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</row>
    <row r="88" spans="1:55" x14ac:dyDescent="0.2">
      <c r="A88" s="21" t="s">
        <v>1413</v>
      </c>
      <c r="B88" s="21" t="s">
        <v>1414</v>
      </c>
      <c r="C88" s="21" t="s">
        <v>450</v>
      </c>
      <c r="D88" s="21">
        <v>32.4</v>
      </c>
      <c r="E88" s="21">
        <v>44.2</v>
      </c>
      <c r="F88" s="21">
        <v>41.9</v>
      </c>
      <c r="G88" s="21">
        <v>39.200000000000003</v>
      </c>
      <c r="H88" s="21">
        <v>99</v>
      </c>
      <c r="I88" s="21">
        <v>123.9</v>
      </c>
      <c r="J88" s="21">
        <v>144.30000000000001</v>
      </c>
      <c r="K88" s="21">
        <v>175.1</v>
      </c>
      <c r="L88" s="21">
        <v>142.9</v>
      </c>
      <c r="M88" s="21">
        <v>227.4</v>
      </c>
      <c r="N88" s="21">
        <v>371</v>
      </c>
      <c r="O88" s="21">
        <v>190.7</v>
      </c>
      <c r="P88" s="21">
        <v>121.5</v>
      </c>
      <c r="Q88" s="21">
        <v>201.5</v>
      </c>
      <c r="R88" s="21">
        <v>251.4</v>
      </c>
      <c r="S88" s="21">
        <v>256.2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</row>
    <row r="89" spans="1:55" x14ac:dyDescent="0.2">
      <c r="A89" s="21" t="s">
        <v>1413</v>
      </c>
      <c r="B89" s="21" t="s">
        <v>1414</v>
      </c>
      <c r="C89" s="21" t="s">
        <v>452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>
        <v>8577552</v>
      </c>
      <c r="AF89" s="21">
        <v>9062817</v>
      </c>
      <c r="AG89" s="21">
        <v>9631172</v>
      </c>
      <c r="AH89" s="21">
        <v>10250952</v>
      </c>
      <c r="AI89" s="21">
        <v>10581929</v>
      </c>
      <c r="AJ89" s="21">
        <v>10929108</v>
      </c>
      <c r="AK89" s="21">
        <v>11456450</v>
      </c>
      <c r="AL89" s="21">
        <v>12217196</v>
      </c>
      <c r="AM89" s="21">
        <v>13039197</v>
      </c>
      <c r="AN89" s="21">
        <v>13815583</v>
      </c>
      <c r="AO89" s="21">
        <v>14474228</v>
      </c>
      <c r="AP89" s="21">
        <v>14769862</v>
      </c>
      <c r="AQ89" s="21">
        <v>14478067</v>
      </c>
      <c r="AR89" s="21">
        <v>15048970</v>
      </c>
      <c r="AS89" s="21">
        <v>15599731</v>
      </c>
      <c r="AT89" s="21">
        <v>16253970</v>
      </c>
      <c r="AU89" s="21">
        <v>16843196</v>
      </c>
      <c r="AV89" s="21">
        <v>17550687</v>
      </c>
      <c r="AW89" s="21">
        <v>18206023</v>
      </c>
      <c r="AX89" s="21">
        <v>18695106</v>
      </c>
      <c r="AY89" s="21">
        <v>19477337</v>
      </c>
      <c r="AZ89" s="21">
        <v>20533058</v>
      </c>
      <c r="BA89" s="21">
        <v>21380976</v>
      </c>
      <c r="BB89" s="21">
        <v>21060474</v>
      </c>
      <c r="BC89" s="21">
        <v>23315081</v>
      </c>
    </row>
    <row r="90" spans="1:55" x14ac:dyDescent="0.2">
      <c r="A90" s="21" t="s">
        <v>1413</v>
      </c>
      <c r="B90" s="21" t="s">
        <v>1414</v>
      </c>
      <c r="C90" s="21" t="s">
        <v>454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>
        <v>11529157</v>
      </c>
      <c r="AF90" s="21">
        <v>12045824</v>
      </c>
      <c r="AG90" s="21">
        <v>12623361</v>
      </c>
      <c r="AH90" s="21">
        <v>13138035</v>
      </c>
      <c r="AI90" s="21">
        <v>13263417</v>
      </c>
      <c r="AJ90" s="21">
        <v>13488357</v>
      </c>
      <c r="AK90" s="21">
        <v>13865519</v>
      </c>
      <c r="AL90" s="21">
        <v>14399696</v>
      </c>
      <c r="AM90" s="21">
        <v>14901269</v>
      </c>
      <c r="AN90" s="21">
        <v>15315943</v>
      </c>
      <c r="AO90" s="21">
        <v>15623871</v>
      </c>
      <c r="AP90" s="21">
        <v>15642962</v>
      </c>
      <c r="AQ90" s="21">
        <v>15236262</v>
      </c>
      <c r="AR90" s="21">
        <v>15648991</v>
      </c>
      <c r="AS90" s="21">
        <v>15891534</v>
      </c>
      <c r="AT90" s="21">
        <v>16253970</v>
      </c>
      <c r="AU90" s="21">
        <v>16553348</v>
      </c>
      <c r="AV90" s="21">
        <v>16932051</v>
      </c>
      <c r="AW90" s="21">
        <v>17390295</v>
      </c>
      <c r="AX90" s="21">
        <v>17680274</v>
      </c>
      <c r="AY90" s="21">
        <v>18076651</v>
      </c>
      <c r="AZ90" s="21">
        <v>18609078</v>
      </c>
      <c r="BA90" s="21">
        <v>19036052</v>
      </c>
      <c r="BB90" s="21">
        <v>18509143</v>
      </c>
      <c r="BC90" s="21">
        <v>19609812</v>
      </c>
    </row>
    <row r="91" spans="1:55" x14ac:dyDescent="0.2">
      <c r="A91" s="21" t="s">
        <v>1413</v>
      </c>
      <c r="B91" s="21" t="s">
        <v>1414</v>
      </c>
      <c r="C91" s="21" t="s">
        <v>475</v>
      </c>
      <c r="D91" s="21">
        <v>1.1000000000000001</v>
      </c>
      <c r="E91" s="21">
        <v>1.17</v>
      </c>
      <c r="F91" s="21">
        <v>1.18</v>
      </c>
      <c r="G91" s="21">
        <v>1.31</v>
      </c>
      <c r="H91" s="21">
        <v>2.4</v>
      </c>
      <c r="I91" s="21">
        <v>2.4300000000000002</v>
      </c>
      <c r="J91" s="21">
        <v>2.63</v>
      </c>
      <c r="K91" s="21">
        <v>3.06</v>
      </c>
      <c r="L91" s="21">
        <v>3.07</v>
      </c>
      <c r="M91" s="21">
        <v>3.88</v>
      </c>
      <c r="N91" s="21">
        <v>4.97</v>
      </c>
      <c r="O91" s="21">
        <v>5.61</v>
      </c>
      <c r="P91" s="21">
        <v>6</v>
      </c>
      <c r="Q91" s="21">
        <v>6.45</v>
      </c>
      <c r="R91" s="21">
        <v>6.44</v>
      </c>
      <c r="S91" s="21">
        <v>9.61</v>
      </c>
      <c r="T91" s="21">
        <v>9.14</v>
      </c>
      <c r="U91" s="21">
        <v>8.91</v>
      </c>
      <c r="V91" s="21">
        <v>9.1</v>
      </c>
      <c r="W91" s="21">
        <v>8.7799999999999994</v>
      </c>
      <c r="X91" s="21">
        <v>9.89</v>
      </c>
      <c r="Y91" s="21">
        <v>11.27</v>
      </c>
      <c r="Z91" s="21">
        <v>10.9</v>
      </c>
      <c r="AA91" s="21">
        <v>11.16</v>
      </c>
      <c r="AB91" s="21">
        <v>11.64</v>
      </c>
      <c r="AC91" s="21">
        <v>11.78</v>
      </c>
      <c r="AD91" s="21">
        <v>11.87</v>
      </c>
      <c r="AE91" s="21">
        <v>11.45</v>
      </c>
      <c r="AF91" s="21">
        <v>10.42</v>
      </c>
      <c r="AG91" s="21">
        <v>12.28</v>
      </c>
      <c r="AH91" s="21">
        <v>15.06</v>
      </c>
      <c r="AI91" s="21">
        <v>16.059999999999999</v>
      </c>
      <c r="AJ91" s="21">
        <v>14.45</v>
      </c>
      <c r="AK91" s="21">
        <v>16.29</v>
      </c>
      <c r="AL91" s="21">
        <v>18.100000000000001</v>
      </c>
      <c r="AM91" s="21">
        <v>20.5</v>
      </c>
      <c r="AN91" s="21">
        <v>22.22</v>
      </c>
      <c r="AO91" s="21">
        <v>24.46</v>
      </c>
      <c r="AP91" s="21">
        <v>28.7</v>
      </c>
      <c r="AQ91" s="21">
        <v>22.7</v>
      </c>
      <c r="AR91" s="21">
        <v>25.8</v>
      </c>
      <c r="AS91" s="21">
        <v>29.52</v>
      </c>
      <c r="AT91" s="21">
        <v>22.57</v>
      </c>
      <c r="AU91" s="21">
        <v>23.03</v>
      </c>
      <c r="AV91" s="21">
        <v>24.56</v>
      </c>
      <c r="AW91" s="21">
        <v>14.9</v>
      </c>
      <c r="AX91" s="21">
        <v>14.53</v>
      </c>
      <c r="AY91" s="21">
        <v>19.11</v>
      </c>
      <c r="AZ91" s="21">
        <v>20.32</v>
      </c>
      <c r="BA91" s="21">
        <v>17.079999999999998</v>
      </c>
      <c r="BB91" s="21">
        <v>15.81</v>
      </c>
      <c r="BC91" s="21">
        <v>24.64</v>
      </c>
    </row>
    <row r="92" spans="1:55" x14ac:dyDescent="0.2">
      <c r="A92" s="21" t="s">
        <v>1413</v>
      </c>
      <c r="B92" s="21" t="s">
        <v>1414</v>
      </c>
      <c r="C92" s="21" t="s">
        <v>478</v>
      </c>
      <c r="D92" s="21">
        <v>48.6</v>
      </c>
      <c r="E92" s="21">
        <v>59.7</v>
      </c>
      <c r="F92" s="21">
        <v>62.7</v>
      </c>
      <c r="G92" s="21">
        <v>64.8</v>
      </c>
      <c r="H92" s="21">
        <v>109.3</v>
      </c>
      <c r="I92" s="21">
        <v>104.9</v>
      </c>
      <c r="J92" s="21">
        <v>123.6</v>
      </c>
      <c r="K92" s="21">
        <v>153.19999999999999</v>
      </c>
      <c r="L92" s="21">
        <v>165.7</v>
      </c>
      <c r="M92" s="21">
        <v>84.4</v>
      </c>
      <c r="N92" s="21">
        <v>87.7</v>
      </c>
      <c r="O92" s="21">
        <v>190.8</v>
      </c>
      <c r="P92" s="21">
        <v>204.5</v>
      </c>
      <c r="Q92" s="21">
        <v>261.10000000000002</v>
      </c>
      <c r="R92" s="21">
        <v>274.5</v>
      </c>
      <c r="S92" s="21">
        <v>284</v>
      </c>
      <c r="T92" s="21">
        <v>249.6</v>
      </c>
      <c r="U92" s="21">
        <v>192.6</v>
      </c>
      <c r="V92" s="21">
        <v>212.1</v>
      </c>
      <c r="W92" s="21">
        <v>199.9</v>
      </c>
      <c r="X92" s="21">
        <v>226.6</v>
      </c>
      <c r="Y92" s="21">
        <v>238.4</v>
      </c>
      <c r="Z92" s="21">
        <v>211.9</v>
      </c>
      <c r="AA92" s="21">
        <v>226.1</v>
      </c>
      <c r="AB92" s="21">
        <v>396.4</v>
      </c>
      <c r="AC92" s="21">
        <v>209.1</v>
      </c>
      <c r="AD92" s="21">
        <v>185.8</v>
      </c>
      <c r="AE92" s="21">
        <v>163</v>
      </c>
      <c r="AF92" s="21">
        <v>184.1</v>
      </c>
      <c r="AG92" s="21">
        <v>175.5</v>
      </c>
      <c r="AH92" s="21">
        <v>179.3</v>
      </c>
      <c r="AI92" s="21">
        <v>220.6</v>
      </c>
      <c r="AJ92" s="21">
        <v>206.7</v>
      </c>
      <c r="AK92" s="21">
        <v>291.39999999999998</v>
      </c>
      <c r="AL92" s="21">
        <v>346.2</v>
      </c>
      <c r="AM92" s="21">
        <v>578.79999999999995</v>
      </c>
      <c r="AN92" s="21">
        <v>611</v>
      </c>
      <c r="AO92" s="21">
        <v>537.5</v>
      </c>
      <c r="AP92" s="21">
        <v>1153.5</v>
      </c>
      <c r="AQ92" s="21">
        <v>637.20000000000005</v>
      </c>
      <c r="AR92" s="21">
        <v>118</v>
      </c>
      <c r="AS92" s="21">
        <v>135.80000000000001</v>
      </c>
      <c r="AT92" s="21">
        <v>102</v>
      </c>
      <c r="AU92" s="21">
        <v>140.30000000000001</v>
      </c>
      <c r="AV92" s="21">
        <v>187.1</v>
      </c>
      <c r="AW92" s="21">
        <v>148.9</v>
      </c>
      <c r="AX92" s="21">
        <v>171.7</v>
      </c>
      <c r="AY92" s="21">
        <v>236.8</v>
      </c>
      <c r="AZ92" s="21">
        <v>256.39999999999998</v>
      </c>
      <c r="BA92" s="21">
        <v>213.3</v>
      </c>
      <c r="BB92" s="21">
        <v>136.69999999999999</v>
      </c>
      <c r="BC92" s="21">
        <v>240.6</v>
      </c>
    </row>
    <row r="93" spans="1:55" x14ac:dyDescent="0.2">
      <c r="A93" s="21" t="s">
        <v>1413</v>
      </c>
      <c r="B93" s="21" t="s">
        <v>1414</v>
      </c>
      <c r="C93" s="21" t="s">
        <v>482</v>
      </c>
      <c r="D93" s="21">
        <v>1.24</v>
      </c>
      <c r="E93" s="21">
        <v>1.29</v>
      </c>
      <c r="F93" s="21">
        <v>1.3</v>
      </c>
      <c r="G93" s="21">
        <v>1.4</v>
      </c>
      <c r="H93" s="21">
        <v>2.44</v>
      </c>
      <c r="I93" s="21">
        <v>2.5299999999999998</v>
      </c>
      <c r="J93" s="21">
        <v>2.77</v>
      </c>
      <c r="K93" s="21">
        <v>3.17</v>
      </c>
      <c r="L93" s="21">
        <v>3.36</v>
      </c>
      <c r="M93" s="21">
        <v>3.93</v>
      </c>
      <c r="N93" s="21">
        <v>4.96</v>
      </c>
      <c r="O93" s="21">
        <v>5.68</v>
      </c>
      <c r="P93" s="21">
        <v>6.03</v>
      </c>
      <c r="Q93" s="21">
        <v>6.47</v>
      </c>
      <c r="R93" s="21">
        <v>6.43</v>
      </c>
      <c r="S93" s="21">
        <v>8.84</v>
      </c>
      <c r="T93" s="21">
        <v>8.44</v>
      </c>
      <c r="U93" s="21">
        <v>7.94</v>
      </c>
      <c r="V93" s="21">
        <v>8.1300000000000008</v>
      </c>
      <c r="W93" s="21">
        <v>7.66</v>
      </c>
      <c r="X93" s="21">
        <v>8.77</v>
      </c>
      <c r="Y93" s="21">
        <v>9.25</v>
      </c>
      <c r="Z93" s="21">
        <v>8.61</v>
      </c>
      <c r="AA93" s="21">
        <v>8.7100000000000009</v>
      </c>
      <c r="AB93" s="21">
        <v>8.7899999999999991</v>
      </c>
      <c r="AC93" s="21">
        <v>8.89</v>
      </c>
      <c r="AD93" s="21">
        <v>10.11</v>
      </c>
      <c r="AE93" s="21">
        <v>10.33</v>
      </c>
      <c r="AF93" s="21">
        <v>9.36</v>
      </c>
      <c r="AG93" s="21">
        <v>9.14</v>
      </c>
      <c r="AH93" s="21">
        <v>11.93</v>
      </c>
      <c r="AI93" s="21">
        <v>12.9</v>
      </c>
      <c r="AJ93" s="21">
        <v>10.53</v>
      </c>
      <c r="AK93" s="21">
        <v>12.5</v>
      </c>
      <c r="AL93" s="21">
        <v>14.48</v>
      </c>
      <c r="AM93" s="21">
        <v>16.920000000000002</v>
      </c>
      <c r="AN93" s="21">
        <v>18.87</v>
      </c>
      <c r="AO93" s="21">
        <v>20.74</v>
      </c>
      <c r="AP93" s="21">
        <v>24.61</v>
      </c>
      <c r="AQ93" s="21">
        <v>19.489999999999998</v>
      </c>
      <c r="AR93" s="21">
        <v>21.62</v>
      </c>
      <c r="AS93" s="21">
        <v>25.3</v>
      </c>
      <c r="AT93" s="21">
        <v>19.5</v>
      </c>
      <c r="AU93" s="21">
        <v>19.7</v>
      </c>
      <c r="AV93" s="21">
        <v>21.3</v>
      </c>
      <c r="AW93" s="21">
        <v>12.66</v>
      </c>
      <c r="AX93" s="21">
        <v>12.04</v>
      </c>
      <c r="AY93" s="21">
        <v>15.76</v>
      </c>
      <c r="AZ93" s="21">
        <v>16.8</v>
      </c>
      <c r="BA93" s="21">
        <v>13.59</v>
      </c>
      <c r="BB93" s="21">
        <v>12.35</v>
      </c>
      <c r="BC93" s="21">
        <v>19.77</v>
      </c>
    </row>
    <row r="94" spans="1:55" x14ac:dyDescent="0.2">
      <c r="A94" s="21" t="s">
        <v>1413</v>
      </c>
      <c r="B94" s="21" t="s">
        <v>1414</v>
      </c>
      <c r="C94" s="21" t="s">
        <v>485</v>
      </c>
      <c r="D94" s="21">
        <v>176.7</v>
      </c>
      <c r="E94" s="21">
        <v>186.8</v>
      </c>
      <c r="F94" s="21">
        <v>200.3</v>
      </c>
      <c r="G94" s="21">
        <v>205.2</v>
      </c>
      <c r="H94" s="21">
        <v>328.5</v>
      </c>
      <c r="I94" s="21">
        <v>328.5</v>
      </c>
      <c r="J94" s="21">
        <v>377.1</v>
      </c>
      <c r="K94" s="21">
        <v>428.7</v>
      </c>
      <c r="L94" s="21">
        <v>441.6</v>
      </c>
      <c r="M94" s="21">
        <v>374.8</v>
      </c>
      <c r="N94" s="21">
        <v>437.7</v>
      </c>
      <c r="O94" s="21">
        <v>492.4</v>
      </c>
      <c r="P94" s="21">
        <v>488.9</v>
      </c>
      <c r="Q94" s="21">
        <v>624.79999999999995</v>
      </c>
      <c r="R94" s="21">
        <v>536.20000000000005</v>
      </c>
      <c r="S94" s="21">
        <v>842.2</v>
      </c>
      <c r="T94" s="21">
        <v>786.2</v>
      </c>
      <c r="U94" s="21">
        <v>807.4</v>
      </c>
      <c r="V94" s="21">
        <v>808.4</v>
      </c>
      <c r="W94" s="21">
        <v>839.5</v>
      </c>
      <c r="X94" s="21">
        <v>897.7</v>
      </c>
      <c r="Y94" s="21">
        <v>1002.3</v>
      </c>
      <c r="Z94" s="21">
        <v>921.6</v>
      </c>
      <c r="AA94" s="21">
        <v>952.3</v>
      </c>
      <c r="AB94" s="21">
        <v>944.3</v>
      </c>
      <c r="AC94" s="21">
        <v>967.4</v>
      </c>
      <c r="AD94" s="21">
        <v>1238.8</v>
      </c>
      <c r="AE94" s="21">
        <v>1243.5999999999999</v>
      </c>
      <c r="AF94" s="21">
        <v>1101.8</v>
      </c>
      <c r="AG94" s="21">
        <v>1283.2</v>
      </c>
      <c r="AH94" s="21">
        <v>1796.1</v>
      </c>
      <c r="AI94" s="21">
        <v>1843.6</v>
      </c>
      <c r="AJ94" s="21">
        <v>1485.2</v>
      </c>
      <c r="AK94" s="21">
        <v>1963.5</v>
      </c>
      <c r="AL94" s="21">
        <v>2203</v>
      </c>
      <c r="AM94" s="21">
        <v>2225.6</v>
      </c>
      <c r="AN94" s="21">
        <v>2327.4</v>
      </c>
      <c r="AO94" s="21">
        <v>2521.6</v>
      </c>
      <c r="AP94" s="21">
        <v>3892.6</v>
      </c>
      <c r="AQ94" s="21">
        <v>2709.4</v>
      </c>
      <c r="AR94" s="21">
        <v>3027.1</v>
      </c>
      <c r="AS94" s="21">
        <v>3605.3</v>
      </c>
      <c r="AT94" s="21">
        <v>2643.1</v>
      </c>
      <c r="AU94" s="21">
        <v>2986.2</v>
      </c>
      <c r="AV94" s="21">
        <v>3417.7</v>
      </c>
      <c r="AW94" s="21">
        <v>1874.6</v>
      </c>
      <c r="AX94" s="21">
        <v>1806</v>
      </c>
      <c r="AY94" s="21">
        <v>2453.6999999999998</v>
      </c>
      <c r="AZ94" s="21">
        <v>2956.4</v>
      </c>
      <c r="BA94" s="21">
        <v>2474.3000000000002</v>
      </c>
      <c r="BB94" s="21">
        <v>2483.1</v>
      </c>
      <c r="BC94" s="21">
        <v>4289.6000000000004</v>
      </c>
    </row>
    <row r="95" spans="1:55" x14ac:dyDescent="0.2">
      <c r="A95" s="21" t="s">
        <v>1413</v>
      </c>
      <c r="B95" s="21" t="s">
        <v>1414</v>
      </c>
      <c r="C95" s="21" t="s">
        <v>489</v>
      </c>
      <c r="D95" s="21">
        <v>1.1399999999999999</v>
      </c>
      <c r="E95" s="21">
        <v>1.21</v>
      </c>
      <c r="F95" s="21">
        <v>1.23</v>
      </c>
      <c r="G95" s="21">
        <v>1.37</v>
      </c>
      <c r="H95" s="21">
        <v>2.5299999999999998</v>
      </c>
      <c r="I95" s="21">
        <v>2.64</v>
      </c>
      <c r="J95" s="21">
        <v>2.84</v>
      </c>
      <c r="K95" s="21">
        <v>3.34</v>
      </c>
      <c r="L95" s="21">
        <v>3.32</v>
      </c>
      <c r="M95" s="21">
        <v>4.24</v>
      </c>
      <c r="N95" s="21">
        <v>5.4</v>
      </c>
      <c r="O95" s="21">
        <v>6.03</v>
      </c>
      <c r="P95" s="21">
        <v>6.5</v>
      </c>
      <c r="Q95" s="21">
        <v>7.04</v>
      </c>
      <c r="R95" s="21">
        <v>6.84</v>
      </c>
      <c r="S95" s="21">
        <v>6.22</v>
      </c>
      <c r="T95" s="21">
        <v>6.14</v>
      </c>
      <c r="U95" s="21">
        <v>5.63</v>
      </c>
      <c r="V95" s="21">
        <v>5.45</v>
      </c>
      <c r="W95" s="21">
        <v>4.4400000000000004</v>
      </c>
      <c r="X95" s="21">
        <v>5.95</v>
      </c>
      <c r="Y95" s="21">
        <v>6.01</v>
      </c>
      <c r="Z95" s="21">
        <v>5.43</v>
      </c>
      <c r="AA95" s="21">
        <v>5.41</v>
      </c>
      <c r="AB95" s="21">
        <v>5.88</v>
      </c>
      <c r="AC95" s="21">
        <v>5.81</v>
      </c>
      <c r="AD95" s="21">
        <v>7.28</v>
      </c>
      <c r="AE95" s="21">
        <v>6.54</v>
      </c>
      <c r="AF95" s="21">
        <v>4.97</v>
      </c>
      <c r="AG95" s="21">
        <v>5.76</v>
      </c>
      <c r="AH95" s="21">
        <v>8.68</v>
      </c>
      <c r="AI95" s="21">
        <v>8.16</v>
      </c>
      <c r="AJ95" s="21">
        <v>7.04</v>
      </c>
      <c r="AK95" s="21">
        <v>9.2200000000000006</v>
      </c>
      <c r="AL95" s="21">
        <v>11.37</v>
      </c>
      <c r="AM95" s="21">
        <v>13.62</v>
      </c>
      <c r="AN95" s="21">
        <v>16.260000000000002</v>
      </c>
      <c r="AO95" s="21">
        <v>18.2</v>
      </c>
      <c r="AP95" s="21">
        <v>22.6</v>
      </c>
      <c r="AQ95" s="21">
        <v>14.45</v>
      </c>
      <c r="AR95" s="21">
        <v>17.350000000000001</v>
      </c>
      <c r="AS95" s="21">
        <v>21.41</v>
      </c>
      <c r="AT95" s="21">
        <v>15.46</v>
      </c>
      <c r="AU95" s="21">
        <v>14.74</v>
      </c>
      <c r="AV95" s="21">
        <v>14.89</v>
      </c>
      <c r="AW95" s="21">
        <v>8.49</v>
      </c>
      <c r="AX95" s="21">
        <v>8.15</v>
      </c>
      <c r="AY95" s="21">
        <v>10.5</v>
      </c>
      <c r="AZ95" s="21">
        <v>12.02</v>
      </c>
      <c r="BA95" s="21">
        <v>8.65</v>
      </c>
      <c r="BB95" s="21">
        <v>7.22</v>
      </c>
      <c r="BC95" s="21">
        <v>13.27</v>
      </c>
    </row>
    <row r="96" spans="1:55" x14ac:dyDescent="0.2">
      <c r="A96" s="21" t="s">
        <v>1413</v>
      </c>
      <c r="B96" s="21" t="s">
        <v>1414</v>
      </c>
      <c r="C96" s="21" t="s">
        <v>494</v>
      </c>
      <c r="D96" s="21">
        <v>1045.9000000000001</v>
      </c>
      <c r="E96" s="21">
        <v>1112.7</v>
      </c>
      <c r="F96" s="21">
        <v>1311.5</v>
      </c>
      <c r="G96" s="21">
        <v>1565.7</v>
      </c>
      <c r="H96" s="21">
        <v>2881.7</v>
      </c>
      <c r="I96" s="21">
        <v>2760</v>
      </c>
      <c r="J96" s="21">
        <v>3183.9</v>
      </c>
      <c r="K96" s="21">
        <v>3747.2</v>
      </c>
      <c r="L96" s="21">
        <v>3679.2</v>
      </c>
      <c r="M96" s="21">
        <v>6711.5</v>
      </c>
      <c r="N96" s="21">
        <v>7967.5</v>
      </c>
      <c r="O96" s="21">
        <v>8789.1</v>
      </c>
      <c r="P96" s="21">
        <v>9656.2000000000007</v>
      </c>
      <c r="Q96" s="21">
        <v>10064</v>
      </c>
      <c r="R96" s="21">
        <v>10781.9</v>
      </c>
      <c r="S96" s="21">
        <v>9804.1</v>
      </c>
      <c r="T96" s="21">
        <v>9217.6</v>
      </c>
      <c r="U96" s="21">
        <v>9078.6</v>
      </c>
      <c r="V96" s="21">
        <v>9070.7999999999993</v>
      </c>
      <c r="W96" s="21">
        <v>7273.7</v>
      </c>
      <c r="X96" s="21">
        <v>8916.1</v>
      </c>
      <c r="Y96" s="21">
        <v>9828.2999999999993</v>
      </c>
      <c r="Z96" s="21">
        <v>9432.7999999999993</v>
      </c>
      <c r="AA96" s="21">
        <v>9061.7999999999993</v>
      </c>
      <c r="AB96" s="21">
        <v>11028</v>
      </c>
      <c r="AC96" s="21">
        <v>11060.9</v>
      </c>
      <c r="AD96" s="21">
        <v>14347.5</v>
      </c>
      <c r="AE96" s="21">
        <v>13235.5</v>
      </c>
      <c r="AF96" s="21">
        <v>9646.4</v>
      </c>
      <c r="AG96" s="21">
        <v>12290.2</v>
      </c>
      <c r="AH96" s="21">
        <v>18555</v>
      </c>
      <c r="AI96" s="21">
        <v>15757.1</v>
      </c>
      <c r="AJ96" s="21">
        <v>14626.7</v>
      </c>
      <c r="AK96" s="21">
        <v>17928.5</v>
      </c>
      <c r="AL96" s="21">
        <v>23384.9</v>
      </c>
      <c r="AM96" s="21">
        <v>26247.9</v>
      </c>
      <c r="AN96" s="21">
        <v>32857.599999999999</v>
      </c>
      <c r="AO96" s="21">
        <v>36734.5</v>
      </c>
      <c r="AP96" s="21">
        <v>39332.6</v>
      </c>
      <c r="AQ96" s="21">
        <v>26801.599999999999</v>
      </c>
      <c r="AR96" s="21">
        <v>38127.9</v>
      </c>
      <c r="AS96" s="21">
        <v>46383</v>
      </c>
      <c r="AT96" s="21">
        <v>36261.9</v>
      </c>
      <c r="AU96" s="21">
        <v>37429.199999999997</v>
      </c>
      <c r="AV96" s="21">
        <v>35736.199999999997</v>
      </c>
      <c r="AW96" s="21">
        <v>22132.400000000001</v>
      </c>
      <c r="AX96" s="21">
        <v>21061.9</v>
      </c>
      <c r="AY96" s="21">
        <v>27953.1</v>
      </c>
      <c r="AZ96" s="21">
        <v>36259.9</v>
      </c>
      <c r="BA96" s="21">
        <v>27071.8</v>
      </c>
      <c r="BB96" s="21">
        <v>23416.9</v>
      </c>
      <c r="BC96" s="21">
        <v>46634.400000000001</v>
      </c>
    </row>
    <row r="97" spans="1:55" x14ac:dyDescent="0.2">
      <c r="A97" s="21" t="s">
        <v>1413</v>
      </c>
      <c r="B97" s="21" t="s">
        <v>1414</v>
      </c>
      <c r="C97" s="21" t="s">
        <v>496</v>
      </c>
      <c r="D97" s="21">
        <v>915761</v>
      </c>
      <c r="E97" s="21">
        <v>922889</v>
      </c>
      <c r="F97" s="21">
        <v>1070482</v>
      </c>
      <c r="G97" s="21">
        <v>1145829</v>
      </c>
      <c r="H97" s="21">
        <v>1138450</v>
      </c>
      <c r="I97" s="21">
        <v>1044104</v>
      </c>
      <c r="J97" s="21">
        <v>1119776</v>
      </c>
      <c r="K97" s="21">
        <v>1123384</v>
      </c>
      <c r="L97" s="21">
        <v>1109154</v>
      </c>
      <c r="M97" s="21">
        <v>1584457</v>
      </c>
      <c r="N97" s="21">
        <v>1474792</v>
      </c>
      <c r="O97" s="21">
        <v>1457724</v>
      </c>
      <c r="P97" s="21">
        <v>1485954</v>
      </c>
      <c r="Q97" s="21">
        <v>1429336</v>
      </c>
      <c r="R97" s="21">
        <v>1575404</v>
      </c>
      <c r="S97" s="21">
        <v>1576081</v>
      </c>
      <c r="T97" s="21">
        <v>1501699</v>
      </c>
      <c r="U97" s="21">
        <v>1611987</v>
      </c>
      <c r="V97" s="21">
        <v>1665651</v>
      </c>
      <c r="W97" s="21">
        <v>1639448</v>
      </c>
      <c r="X97" s="21">
        <v>1499243</v>
      </c>
      <c r="Y97" s="21">
        <v>1634704</v>
      </c>
      <c r="Z97" s="21">
        <v>1737516</v>
      </c>
      <c r="AA97" s="21">
        <v>1674717</v>
      </c>
      <c r="AB97" s="21">
        <v>1877044</v>
      </c>
      <c r="AC97" s="21">
        <v>1905291</v>
      </c>
      <c r="AD97" s="21">
        <v>1970157</v>
      </c>
      <c r="AE97" s="21">
        <v>2024495</v>
      </c>
      <c r="AF97" s="21">
        <v>1941383</v>
      </c>
      <c r="AG97" s="21">
        <v>2132324</v>
      </c>
      <c r="AH97" s="21">
        <v>2138501</v>
      </c>
      <c r="AI97" s="21">
        <v>1930513</v>
      </c>
      <c r="AJ97" s="21">
        <v>2076702</v>
      </c>
      <c r="AK97" s="21">
        <v>1944695</v>
      </c>
      <c r="AL97" s="21">
        <v>2056587</v>
      </c>
      <c r="AM97" s="21">
        <v>1927003</v>
      </c>
      <c r="AN97" s="21">
        <v>2021163</v>
      </c>
      <c r="AO97" s="21">
        <v>2017864</v>
      </c>
      <c r="AP97" s="21">
        <v>1740465</v>
      </c>
      <c r="AQ97" s="21">
        <v>1854474</v>
      </c>
      <c r="AR97" s="21">
        <v>2197572</v>
      </c>
      <c r="AS97" s="21">
        <v>2166614</v>
      </c>
      <c r="AT97" s="21">
        <v>2345288</v>
      </c>
      <c r="AU97" s="21">
        <v>2539558</v>
      </c>
      <c r="AV97" s="21">
        <v>2400080</v>
      </c>
      <c r="AW97" s="21">
        <v>2606150</v>
      </c>
      <c r="AX97" s="21">
        <v>2582848</v>
      </c>
      <c r="AY97" s="21">
        <v>2663215</v>
      </c>
      <c r="AZ97" s="21">
        <v>3015380</v>
      </c>
      <c r="BA97" s="21">
        <v>3130448</v>
      </c>
      <c r="BB97" s="21">
        <v>3243811</v>
      </c>
      <c r="BC97" s="21">
        <v>3513936</v>
      </c>
    </row>
    <row r="98" spans="1:55" x14ac:dyDescent="0.2">
      <c r="A98" s="21" t="s">
        <v>1413</v>
      </c>
      <c r="B98" s="21" t="s">
        <v>1414</v>
      </c>
      <c r="C98" s="21" t="s">
        <v>500</v>
      </c>
      <c r="D98" s="21">
        <v>2.0499999999999998</v>
      </c>
      <c r="E98" s="21">
        <v>2.02</v>
      </c>
      <c r="F98" s="21">
        <v>2.1</v>
      </c>
      <c r="G98" s="21">
        <v>3.59</v>
      </c>
      <c r="H98" s="21">
        <v>3.68</v>
      </c>
      <c r="I98" s="21">
        <v>3.96</v>
      </c>
      <c r="J98" s="21">
        <v>4.34</v>
      </c>
      <c r="K98" s="21">
        <v>4.83</v>
      </c>
      <c r="L98" s="21">
        <v>4.68</v>
      </c>
      <c r="M98" s="21">
        <v>6.53</v>
      </c>
      <c r="N98" s="21">
        <v>7.82</v>
      </c>
      <c r="O98" s="21">
        <v>8.1999999999999993</v>
      </c>
      <c r="P98" s="21">
        <v>9.08</v>
      </c>
      <c r="Q98" s="21">
        <v>9.31</v>
      </c>
      <c r="R98" s="21">
        <v>9.31</v>
      </c>
      <c r="S98" s="21">
        <v>8.98</v>
      </c>
      <c r="T98" s="21">
        <v>8.41</v>
      </c>
      <c r="U98" s="21">
        <v>8.44</v>
      </c>
      <c r="V98" s="21">
        <v>8.25</v>
      </c>
      <c r="W98" s="21">
        <v>10.32</v>
      </c>
      <c r="X98" s="21">
        <v>10.79</v>
      </c>
      <c r="Y98" s="21">
        <v>10.7</v>
      </c>
      <c r="Z98" s="21">
        <v>10.11</v>
      </c>
      <c r="AA98" s="21">
        <v>9.94</v>
      </c>
      <c r="AB98" s="21">
        <v>10.09</v>
      </c>
      <c r="AC98" s="21">
        <v>10.02</v>
      </c>
      <c r="AD98" s="21">
        <v>11.32</v>
      </c>
      <c r="AE98" s="21">
        <v>11.28</v>
      </c>
      <c r="AF98" s="21">
        <v>10.15</v>
      </c>
      <c r="AG98" s="21">
        <v>10.039999999999999</v>
      </c>
      <c r="AH98" s="21">
        <v>13.39</v>
      </c>
      <c r="AI98" s="21">
        <v>14.67</v>
      </c>
      <c r="AJ98" s="21">
        <v>12.38</v>
      </c>
      <c r="AK98" s="21">
        <v>14.65</v>
      </c>
      <c r="AL98" s="21">
        <v>16.54</v>
      </c>
      <c r="AM98" s="21">
        <v>19.13</v>
      </c>
      <c r="AN98" s="21">
        <v>21.43</v>
      </c>
      <c r="AO98" s="21">
        <v>23.31</v>
      </c>
      <c r="AP98" s="21">
        <v>27.52</v>
      </c>
      <c r="AQ98" s="21">
        <v>23.56</v>
      </c>
      <c r="AR98" s="21">
        <v>25.65</v>
      </c>
      <c r="AS98" s="21">
        <v>28.25</v>
      </c>
      <c r="AT98" s="21">
        <v>25.91</v>
      </c>
      <c r="AU98" s="21">
        <v>25.3</v>
      </c>
      <c r="AV98" s="21">
        <v>30.05</v>
      </c>
      <c r="AW98" s="21">
        <v>22.75</v>
      </c>
      <c r="AX98" s="21">
        <v>21.56</v>
      </c>
      <c r="AY98" s="21">
        <v>25.15</v>
      </c>
      <c r="AZ98" s="21">
        <v>25.93</v>
      </c>
      <c r="BA98" s="21">
        <v>22.72</v>
      </c>
      <c r="BB98" s="21">
        <v>20.59</v>
      </c>
      <c r="BC98" s="21">
        <v>26.81</v>
      </c>
    </row>
    <row r="99" spans="1:55" x14ac:dyDescent="0.2">
      <c r="A99" s="21" t="s">
        <v>1413</v>
      </c>
      <c r="B99" s="21" t="s">
        <v>1414</v>
      </c>
      <c r="C99" s="21" t="s">
        <v>503</v>
      </c>
      <c r="D99" s="21">
        <v>1124.0999999999999</v>
      </c>
      <c r="E99" s="21">
        <v>1123.5</v>
      </c>
      <c r="F99" s="21">
        <v>1259.7</v>
      </c>
      <c r="G99" s="21">
        <v>2047.6</v>
      </c>
      <c r="H99" s="21">
        <v>1936.9</v>
      </c>
      <c r="I99" s="21">
        <v>2030.1</v>
      </c>
      <c r="J99" s="21">
        <v>2310.3000000000002</v>
      </c>
      <c r="K99" s="21">
        <v>2512.8000000000002</v>
      </c>
      <c r="L99" s="21">
        <v>2362.6999999999998</v>
      </c>
      <c r="M99" s="21">
        <v>2221.5</v>
      </c>
      <c r="N99" s="21">
        <v>2436.5</v>
      </c>
      <c r="O99" s="21">
        <v>2452.5</v>
      </c>
      <c r="P99" s="21">
        <v>2625.4</v>
      </c>
      <c r="Q99" s="21">
        <v>3201.6</v>
      </c>
      <c r="R99" s="21">
        <v>2608.1999999999998</v>
      </c>
      <c r="S99" s="21">
        <v>2825.1</v>
      </c>
      <c r="T99" s="21">
        <v>2593.4</v>
      </c>
      <c r="U99" s="21">
        <v>2893.9</v>
      </c>
      <c r="V99" s="21">
        <v>2818.2</v>
      </c>
      <c r="W99" s="21">
        <v>3958.1</v>
      </c>
      <c r="X99" s="21">
        <v>3804.8</v>
      </c>
      <c r="Y99" s="21">
        <v>4052.5</v>
      </c>
      <c r="Z99" s="21">
        <v>3741.1</v>
      </c>
      <c r="AA99" s="21">
        <v>3878.8</v>
      </c>
      <c r="AB99" s="21">
        <v>3874.6</v>
      </c>
      <c r="AC99" s="21">
        <v>3959.7</v>
      </c>
      <c r="AD99" s="21">
        <v>5314.2</v>
      </c>
      <c r="AE99" s="21">
        <v>5138.7</v>
      </c>
      <c r="AF99" s="21">
        <v>4308.8999999999996</v>
      </c>
      <c r="AG99" s="21">
        <v>5289.3</v>
      </c>
      <c r="AH99" s="21">
        <v>7439.7</v>
      </c>
      <c r="AI99" s="21">
        <v>7721.2</v>
      </c>
      <c r="AJ99" s="21">
        <v>6661</v>
      </c>
      <c r="AK99" s="21">
        <v>7984.3</v>
      </c>
      <c r="AL99" s="21">
        <v>8473.7999999999993</v>
      </c>
      <c r="AM99" s="21">
        <v>9822.1</v>
      </c>
      <c r="AN99" s="21">
        <v>9559.1</v>
      </c>
      <c r="AO99" s="21">
        <v>11286.9</v>
      </c>
      <c r="AP99" s="21">
        <v>15230.8</v>
      </c>
      <c r="AQ99" s="21">
        <v>12904.2</v>
      </c>
      <c r="AR99" s="21">
        <v>13589.5</v>
      </c>
      <c r="AS99" s="21">
        <v>13914.7</v>
      </c>
      <c r="AT99" s="21">
        <v>10250.700000000001</v>
      </c>
      <c r="AU99" s="21">
        <v>11725.8</v>
      </c>
      <c r="AV99" s="21">
        <v>14707.7</v>
      </c>
      <c r="AW99" s="21">
        <v>10141.700000000001</v>
      </c>
      <c r="AX99" s="21">
        <v>9267.7999999999993</v>
      </c>
      <c r="AY99" s="21">
        <v>10830.2</v>
      </c>
      <c r="AZ99" s="21">
        <v>13134</v>
      </c>
      <c r="BA99" s="21">
        <v>12801.6</v>
      </c>
      <c r="BB99" s="21">
        <v>10189.1</v>
      </c>
      <c r="BC99" s="21">
        <v>12981.4</v>
      </c>
    </row>
    <row r="100" spans="1:55" x14ac:dyDescent="0.2">
      <c r="A100" s="21" t="s">
        <v>1413</v>
      </c>
      <c r="B100" s="21" t="s">
        <v>1414</v>
      </c>
      <c r="C100" s="21" t="s">
        <v>505</v>
      </c>
      <c r="D100" s="21">
        <v>14735</v>
      </c>
      <c r="E100" s="21">
        <v>24890</v>
      </c>
      <c r="F100" s="21">
        <v>48507</v>
      </c>
      <c r="G100" s="21">
        <v>46542</v>
      </c>
      <c r="H100" s="21">
        <v>68211</v>
      </c>
      <c r="I100" s="21">
        <v>82044</v>
      </c>
      <c r="J100" s="21">
        <v>40910</v>
      </c>
      <c r="K100" s="21">
        <v>37648</v>
      </c>
      <c r="L100" s="21">
        <v>49033</v>
      </c>
      <c r="M100" s="21">
        <v>171678</v>
      </c>
      <c r="N100" s="21">
        <v>242898</v>
      </c>
      <c r="O100" s="21">
        <v>220150</v>
      </c>
      <c r="P100" s="21">
        <v>204649</v>
      </c>
      <c r="Q100" s="21">
        <v>72854</v>
      </c>
      <c r="R100" s="21">
        <v>247943</v>
      </c>
      <c r="S100" s="21">
        <v>236432</v>
      </c>
      <c r="T100" s="21">
        <v>227810</v>
      </c>
      <c r="U100" s="21">
        <v>261028</v>
      </c>
      <c r="V100" s="21">
        <v>242961</v>
      </c>
      <c r="W100" s="21">
        <v>248284</v>
      </c>
      <c r="X100" s="21">
        <v>281375</v>
      </c>
      <c r="Y100" s="21">
        <v>323001</v>
      </c>
      <c r="Z100" s="21">
        <v>360870</v>
      </c>
      <c r="AA100" s="21">
        <v>362732</v>
      </c>
      <c r="AB100" s="21">
        <v>374188</v>
      </c>
      <c r="AC100" s="21">
        <v>363411</v>
      </c>
      <c r="AD100" s="21">
        <v>373350</v>
      </c>
      <c r="AE100" s="21">
        <v>341120</v>
      </c>
      <c r="AF100" s="21">
        <v>307717</v>
      </c>
      <c r="AG100" s="21">
        <v>379754</v>
      </c>
      <c r="AH100" s="21">
        <v>359042</v>
      </c>
      <c r="AI100" s="21">
        <v>281161</v>
      </c>
      <c r="AJ100" s="21">
        <v>236508</v>
      </c>
      <c r="AK100" s="21">
        <v>240432</v>
      </c>
      <c r="AL100" s="21">
        <v>235538</v>
      </c>
      <c r="AM100" s="21">
        <v>211335</v>
      </c>
      <c r="AN100" s="21">
        <v>149734</v>
      </c>
      <c r="AO100" s="21">
        <v>189094</v>
      </c>
      <c r="AP100" s="21">
        <v>163517</v>
      </c>
      <c r="AQ100" s="21">
        <v>137527</v>
      </c>
      <c r="AR100" s="21">
        <v>9234</v>
      </c>
      <c r="AS100" s="21">
        <v>4959</v>
      </c>
      <c r="AT100" s="21">
        <v>5842</v>
      </c>
      <c r="AU100" s="21">
        <v>5032</v>
      </c>
      <c r="AV100" s="21">
        <v>8857</v>
      </c>
      <c r="AW100" s="21">
        <v>11546</v>
      </c>
      <c r="AX100" s="21">
        <v>9591</v>
      </c>
      <c r="AY100" s="21">
        <v>10259</v>
      </c>
      <c r="AZ100" s="21">
        <v>9007</v>
      </c>
      <c r="BA100" s="21">
        <v>8362</v>
      </c>
      <c r="BB100" s="21">
        <v>7824</v>
      </c>
      <c r="BC100" s="21">
        <v>5477</v>
      </c>
    </row>
    <row r="101" spans="1:55" x14ac:dyDescent="0.2">
      <c r="A101" s="21" t="s">
        <v>1413</v>
      </c>
      <c r="B101" s="21" t="s">
        <v>1414</v>
      </c>
      <c r="C101" s="21" t="s">
        <v>507</v>
      </c>
      <c r="D101" s="21">
        <v>1652286</v>
      </c>
      <c r="E101" s="21">
        <v>1675406</v>
      </c>
      <c r="F101" s="21">
        <v>1878297</v>
      </c>
      <c r="G101" s="21">
        <v>1912855</v>
      </c>
      <c r="H101" s="21">
        <v>1845381</v>
      </c>
      <c r="I101" s="21">
        <v>1729258</v>
      </c>
      <c r="J101" s="21">
        <v>1835639</v>
      </c>
      <c r="K101" s="21">
        <v>1829018</v>
      </c>
      <c r="L101" s="21">
        <v>1799111</v>
      </c>
      <c r="M101" s="21">
        <v>2041924</v>
      </c>
      <c r="N101" s="21">
        <v>1892329</v>
      </c>
      <c r="O101" s="21">
        <v>1877363</v>
      </c>
      <c r="P101" s="21">
        <v>1890170</v>
      </c>
      <c r="Q101" s="21">
        <v>1910475</v>
      </c>
      <c r="R101" s="21">
        <v>1981654</v>
      </c>
      <c r="S101" s="21">
        <v>2015562</v>
      </c>
      <c r="T101" s="21">
        <v>1930422</v>
      </c>
      <c r="U101" s="21">
        <v>2077940</v>
      </c>
      <c r="V101" s="21">
        <v>2129919</v>
      </c>
      <c r="W101" s="21">
        <v>2155191</v>
      </c>
      <c r="X101" s="21">
        <v>1977155</v>
      </c>
      <c r="Y101" s="21">
        <v>2142871</v>
      </c>
      <c r="Z101" s="21">
        <v>2233891</v>
      </c>
      <c r="AA101" s="21">
        <v>2194456</v>
      </c>
      <c r="AB101" s="21">
        <v>2402669</v>
      </c>
      <c r="AC101" s="21">
        <v>2427239</v>
      </c>
      <c r="AD101" s="21">
        <v>2577710</v>
      </c>
      <c r="AE101" s="21">
        <v>2614524</v>
      </c>
      <c r="AF101" s="21">
        <v>2501211</v>
      </c>
      <c r="AG101" s="21">
        <v>2813629</v>
      </c>
      <c r="AH101" s="21">
        <v>2856602</v>
      </c>
      <c r="AI101" s="21">
        <v>2613480</v>
      </c>
      <c r="AJ101" s="21">
        <v>2769830</v>
      </c>
      <c r="AK101" s="21">
        <v>2664837</v>
      </c>
      <c r="AL101" s="21">
        <v>2740295</v>
      </c>
      <c r="AM101" s="21">
        <v>2600314</v>
      </c>
      <c r="AN101" s="21">
        <v>2618101</v>
      </c>
      <c r="AO101" s="21">
        <v>2645690</v>
      </c>
      <c r="AP101" s="21">
        <v>2492286</v>
      </c>
      <c r="AQ101" s="21">
        <v>2569358</v>
      </c>
      <c r="AR101" s="21">
        <v>2871992</v>
      </c>
      <c r="AS101" s="21">
        <v>2806336</v>
      </c>
      <c r="AT101" s="21">
        <v>2880889</v>
      </c>
      <c r="AU101" s="21">
        <v>3160740</v>
      </c>
      <c r="AV101" s="21">
        <v>3057697</v>
      </c>
      <c r="AW101" s="21">
        <v>3209881</v>
      </c>
      <c r="AX101" s="21">
        <v>3174567</v>
      </c>
      <c r="AY101" s="21">
        <v>3261984</v>
      </c>
      <c r="AZ101" s="21">
        <v>3710507</v>
      </c>
      <c r="BA101" s="21">
        <v>3888372</v>
      </c>
      <c r="BB101" s="21">
        <v>3948435</v>
      </c>
      <c r="BC101" s="21">
        <v>4224800</v>
      </c>
    </row>
    <row r="102" spans="1:55" x14ac:dyDescent="0.2">
      <c r="A102" s="21" t="s">
        <v>1413</v>
      </c>
      <c r="B102" s="21" t="s">
        <v>1414</v>
      </c>
      <c r="C102" s="21" t="s">
        <v>511</v>
      </c>
      <c r="D102" s="21">
        <v>1.45</v>
      </c>
      <c r="E102" s="21">
        <v>1.48</v>
      </c>
      <c r="F102" s="21">
        <v>1.51</v>
      </c>
      <c r="G102" s="21">
        <v>2.0299999999999998</v>
      </c>
      <c r="H102" s="21">
        <v>2.85</v>
      </c>
      <c r="I102" s="21">
        <v>3.02</v>
      </c>
      <c r="J102" s="21">
        <v>3.27</v>
      </c>
      <c r="K102" s="21">
        <v>3.74</v>
      </c>
      <c r="L102" s="21">
        <v>3.7</v>
      </c>
      <c r="M102" s="21">
        <v>4.5999999999999996</v>
      </c>
      <c r="N102" s="21">
        <v>5.78</v>
      </c>
      <c r="O102" s="21">
        <v>6.35</v>
      </c>
      <c r="P102" s="21">
        <v>6.86</v>
      </c>
      <c r="Q102" s="21">
        <v>7.41</v>
      </c>
      <c r="R102" s="21">
        <v>7.17</v>
      </c>
      <c r="S102" s="21">
        <v>6.82</v>
      </c>
      <c r="T102" s="21">
        <v>6.65</v>
      </c>
      <c r="U102" s="21">
        <v>6.24</v>
      </c>
      <c r="V102" s="21">
        <v>6.06</v>
      </c>
      <c r="W102" s="21">
        <v>5.69</v>
      </c>
      <c r="X102" s="21">
        <v>7</v>
      </c>
      <c r="Y102" s="21">
        <v>7.06</v>
      </c>
      <c r="Z102" s="21">
        <v>6.4</v>
      </c>
      <c r="AA102" s="21">
        <v>6.43</v>
      </c>
      <c r="AB102" s="21">
        <v>6.76</v>
      </c>
      <c r="AC102" s="21">
        <v>6.67</v>
      </c>
      <c r="AD102" s="21">
        <v>8.18</v>
      </c>
      <c r="AE102" s="21">
        <v>7.57</v>
      </c>
      <c r="AF102" s="21">
        <v>6.09</v>
      </c>
      <c r="AG102" s="21">
        <v>6.77</v>
      </c>
      <c r="AH102" s="21">
        <v>9.7899999999999991</v>
      </c>
      <c r="AI102" s="21">
        <v>9.77</v>
      </c>
      <c r="AJ102" s="21">
        <v>8.3000000000000007</v>
      </c>
      <c r="AK102" s="21">
        <v>10.57</v>
      </c>
      <c r="AL102" s="21">
        <v>12.56</v>
      </c>
      <c r="AM102" s="21">
        <v>14.95</v>
      </c>
      <c r="AN102" s="21">
        <v>17.32</v>
      </c>
      <c r="AO102" s="21">
        <v>19.309999999999999</v>
      </c>
      <c r="AP102" s="21">
        <v>23.92</v>
      </c>
      <c r="AQ102" s="21">
        <v>16.760000000000002</v>
      </c>
      <c r="AR102" s="21">
        <v>19.100000000000001</v>
      </c>
      <c r="AS102" s="21">
        <v>22.82</v>
      </c>
      <c r="AT102" s="21">
        <v>17.100000000000001</v>
      </c>
      <c r="AU102" s="21">
        <v>16.54</v>
      </c>
      <c r="AV102" s="21">
        <v>17.68</v>
      </c>
      <c r="AW102" s="21">
        <v>10.69</v>
      </c>
      <c r="AX102" s="21">
        <v>10.18</v>
      </c>
      <c r="AY102" s="21">
        <v>12.71</v>
      </c>
      <c r="AZ102" s="21">
        <v>14.18</v>
      </c>
      <c r="BA102" s="21">
        <v>10.95</v>
      </c>
      <c r="BB102" s="21">
        <v>9.17</v>
      </c>
      <c r="BC102" s="21">
        <v>15.18</v>
      </c>
    </row>
    <row r="103" spans="1:55" x14ac:dyDescent="0.2">
      <c r="A103" s="21" t="s">
        <v>1413</v>
      </c>
      <c r="B103" s="21" t="s">
        <v>1414</v>
      </c>
      <c r="C103" s="21" t="s">
        <v>516</v>
      </c>
      <c r="D103" s="21">
        <v>2395.3000000000002</v>
      </c>
      <c r="E103" s="21">
        <v>2482.6999999999998</v>
      </c>
      <c r="F103" s="21">
        <v>2834.3</v>
      </c>
      <c r="G103" s="21">
        <v>3883.3</v>
      </c>
      <c r="H103" s="21">
        <v>5256.5</v>
      </c>
      <c r="I103" s="21">
        <v>5223.6000000000004</v>
      </c>
      <c r="J103" s="21">
        <v>5994.8</v>
      </c>
      <c r="K103" s="21">
        <v>6841.9</v>
      </c>
      <c r="L103" s="21">
        <v>6649.1</v>
      </c>
      <c r="M103" s="21">
        <v>9392.2000000000007</v>
      </c>
      <c r="N103" s="21">
        <v>10929.4</v>
      </c>
      <c r="O103" s="21">
        <v>11924.9</v>
      </c>
      <c r="P103" s="21">
        <v>12974.9</v>
      </c>
      <c r="Q103" s="21">
        <v>14151.4</v>
      </c>
      <c r="R103" s="21">
        <v>14200.9</v>
      </c>
      <c r="S103" s="21">
        <v>13755.4</v>
      </c>
      <c r="T103" s="21">
        <v>12846.7</v>
      </c>
      <c r="U103" s="21">
        <v>12972.5</v>
      </c>
      <c r="V103" s="21">
        <v>12909.4</v>
      </c>
      <c r="W103" s="21">
        <v>12271.2</v>
      </c>
      <c r="X103" s="21">
        <v>13845.3</v>
      </c>
      <c r="Y103" s="21">
        <v>15121.5</v>
      </c>
      <c r="Z103" s="21">
        <v>14307.4</v>
      </c>
      <c r="AA103" s="21">
        <v>14119</v>
      </c>
      <c r="AB103" s="21">
        <v>16243.2</v>
      </c>
      <c r="AC103" s="21">
        <v>16197.1</v>
      </c>
      <c r="AD103" s="21">
        <v>21086.2</v>
      </c>
      <c r="AE103" s="21">
        <v>19780.8</v>
      </c>
      <c r="AF103" s="21">
        <v>15241.1</v>
      </c>
      <c r="AG103" s="21">
        <v>19038.2</v>
      </c>
      <c r="AH103" s="21">
        <v>27970.1</v>
      </c>
      <c r="AI103" s="21">
        <v>25542.5</v>
      </c>
      <c r="AJ103" s="21">
        <v>22979.599999999999</v>
      </c>
      <c r="AK103" s="21">
        <v>28167.7</v>
      </c>
      <c r="AL103" s="21">
        <v>34407.9</v>
      </c>
      <c r="AM103" s="21">
        <v>38874.400000000001</v>
      </c>
      <c r="AN103" s="21">
        <v>45355.199999999997</v>
      </c>
      <c r="AO103" s="21">
        <v>51080.6</v>
      </c>
      <c r="AP103" s="21">
        <v>59609.5</v>
      </c>
      <c r="AQ103" s="21">
        <v>43052.4</v>
      </c>
      <c r="AR103" s="21">
        <v>54862.5</v>
      </c>
      <c r="AS103" s="21">
        <v>64038.9</v>
      </c>
      <c r="AT103" s="21">
        <v>49257.7</v>
      </c>
      <c r="AU103" s="21">
        <v>52281.4</v>
      </c>
      <c r="AV103" s="21">
        <v>54048.800000000003</v>
      </c>
      <c r="AW103" s="21">
        <v>34297.699999999997</v>
      </c>
      <c r="AX103" s="21">
        <v>32307.5</v>
      </c>
      <c r="AY103" s="21">
        <v>41473.800000000003</v>
      </c>
      <c r="AZ103" s="21">
        <v>52606.8</v>
      </c>
      <c r="BA103" s="21">
        <v>42561.1</v>
      </c>
      <c r="BB103" s="21">
        <v>36225.9</v>
      </c>
      <c r="BC103" s="21">
        <v>64146.1</v>
      </c>
    </row>
    <row r="104" spans="1:55" x14ac:dyDescent="0.2">
      <c r="A104" s="21" t="s">
        <v>1413</v>
      </c>
      <c r="B104" s="21" t="s">
        <v>1414</v>
      </c>
      <c r="C104" s="21" t="s">
        <v>520</v>
      </c>
      <c r="D104" s="21">
        <v>1.45</v>
      </c>
      <c r="E104" s="21">
        <v>1.48</v>
      </c>
      <c r="F104" s="21">
        <v>1.51</v>
      </c>
      <c r="G104" s="21">
        <v>2.0299999999999998</v>
      </c>
      <c r="H104" s="21">
        <v>2.85</v>
      </c>
      <c r="I104" s="21">
        <v>3.02</v>
      </c>
      <c r="J104" s="21">
        <v>3.27</v>
      </c>
      <c r="K104" s="21">
        <v>3.74</v>
      </c>
      <c r="L104" s="21">
        <v>3.7</v>
      </c>
      <c r="M104" s="21">
        <v>4.5999999999999996</v>
      </c>
      <c r="N104" s="21">
        <v>5.78</v>
      </c>
      <c r="O104" s="21">
        <v>6.35</v>
      </c>
      <c r="P104" s="21">
        <v>6.86</v>
      </c>
      <c r="Q104" s="21">
        <v>7.41</v>
      </c>
      <c r="R104" s="21">
        <v>7.17</v>
      </c>
      <c r="S104" s="21">
        <v>6.82</v>
      </c>
      <c r="T104" s="21">
        <v>6.65</v>
      </c>
      <c r="U104" s="21">
        <v>6.24</v>
      </c>
      <c r="V104" s="21">
        <v>6.06</v>
      </c>
      <c r="W104" s="21">
        <v>5.69</v>
      </c>
      <c r="X104" s="21">
        <v>7</v>
      </c>
      <c r="Y104" s="21">
        <v>7.06</v>
      </c>
      <c r="Z104" s="21">
        <v>6.4</v>
      </c>
      <c r="AA104" s="21">
        <v>6.43</v>
      </c>
      <c r="AB104" s="21">
        <v>6.76</v>
      </c>
      <c r="AC104" s="21">
        <v>6.67</v>
      </c>
      <c r="AD104" s="21">
        <v>8.18</v>
      </c>
      <c r="AE104" s="21">
        <v>7.57</v>
      </c>
      <c r="AF104" s="21">
        <v>6.09</v>
      </c>
      <c r="AG104" s="21">
        <v>6.77</v>
      </c>
      <c r="AH104" s="21">
        <v>9.7899999999999991</v>
      </c>
      <c r="AI104" s="21">
        <v>9.77</v>
      </c>
      <c r="AJ104" s="21">
        <v>8.3000000000000007</v>
      </c>
      <c r="AK104" s="21">
        <v>10.57</v>
      </c>
      <c r="AL104" s="21">
        <v>12.56</v>
      </c>
      <c r="AM104" s="21">
        <v>14.95</v>
      </c>
      <c r="AN104" s="21">
        <v>17.32</v>
      </c>
      <c r="AO104" s="21">
        <v>19.309999999999999</v>
      </c>
      <c r="AP104" s="21">
        <v>23.92</v>
      </c>
      <c r="AQ104" s="21">
        <v>16.760000000000002</v>
      </c>
      <c r="AR104" s="21">
        <v>19.100000000000001</v>
      </c>
      <c r="AS104" s="21">
        <v>22.82</v>
      </c>
      <c r="AT104" s="21">
        <v>17.100000000000001</v>
      </c>
      <c r="AU104" s="21">
        <v>16.54</v>
      </c>
      <c r="AV104" s="21">
        <v>17.68</v>
      </c>
      <c r="AW104" s="21">
        <v>10.69</v>
      </c>
      <c r="AX104" s="21">
        <v>10.18</v>
      </c>
      <c r="AY104" s="21">
        <v>12.71</v>
      </c>
      <c r="AZ104" s="21">
        <v>14.18</v>
      </c>
      <c r="BA104" s="21">
        <v>10.95</v>
      </c>
      <c r="BB104" s="21">
        <v>9.17</v>
      </c>
      <c r="BC104" s="21">
        <v>15.18</v>
      </c>
    </row>
    <row r="105" spans="1:55" x14ac:dyDescent="0.2">
      <c r="A105" s="21" t="s">
        <v>1413</v>
      </c>
      <c r="B105" s="21" t="s">
        <v>1414</v>
      </c>
      <c r="C105" s="21" t="s">
        <v>523</v>
      </c>
      <c r="D105" s="21">
        <v>2395.3000000000002</v>
      </c>
      <c r="E105" s="21">
        <v>2482.6999999999998</v>
      </c>
      <c r="F105" s="21">
        <v>2834.3</v>
      </c>
      <c r="G105" s="21">
        <v>3883.3</v>
      </c>
      <c r="H105" s="21">
        <v>5256.5</v>
      </c>
      <c r="I105" s="21">
        <v>5223.6000000000004</v>
      </c>
      <c r="J105" s="21">
        <v>5994.8</v>
      </c>
      <c r="K105" s="21">
        <v>6841.9</v>
      </c>
      <c r="L105" s="21">
        <v>6649.1</v>
      </c>
      <c r="M105" s="21">
        <v>9392.2000000000007</v>
      </c>
      <c r="N105" s="21">
        <v>10929.4</v>
      </c>
      <c r="O105" s="21">
        <v>11924.9</v>
      </c>
      <c r="P105" s="21">
        <v>12974.9</v>
      </c>
      <c r="Q105" s="21">
        <v>14151.4</v>
      </c>
      <c r="R105" s="21">
        <v>14200.9</v>
      </c>
      <c r="S105" s="21">
        <v>13755.4</v>
      </c>
      <c r="T105" s="21">
        <v>12846.7</v>
      </c>
      <c r="U105" s="21">
        <v>12972.5</v>
      </c>
      <c r="V105" s="21">
        <v>12909.4</v>
      </c>
      <c r="W105" s="21">
        <v>12271.2</v>
      </c>
      <c r="X105" s="21">
        <v>13845.3</v>
      </c>
      <c r="Y105" s="21">
        <v>15121.5</v>
      </c>
      <c r="Z105" s="21">
        <v>14307.4</v>
      </c>
      <c r="AA105" s="21">
        <v>14119</v>
      </c>
      <c r="AB105" s="21">
        <v>16243.2</v>
      </c>
      <c r="AC105" s="21">
        <v>16197.1</v>
      </c>
      <c r="AD105" s="21">
        <v>21086.2</v>
      </c>
      <c r="AE105" s="21">
        <v>19780.8</v>
      </c>
      <c r="AF105" s="21">
        <v>15241.1</v>
      </c>
      <c r="AG105" s="21">
        <v>19038.2</v>
      </c>
      <c r="AH105" s="21">
        <v>27970.1</v>
      </c>
      <c r="AI105" s="21">
        <v>25542.5</v>
      </c>
      <c r="AJ105" s="21">
        <v>22979.599999999999</v>
      </c>
      <c r="AK105" s="21">
        <v>28167.7</v>
      </c>
      <c r="AL105" s="21">
        <v>34407.9</v>
      </c>
      <c r="AM105" s="21">
        <v>38874.400000000001</v>
      </c>
      <c r="AN105" s="21">
        <v>45355.199999999997</v>
      </c>
      <c r="AO105" s="21">
        <v>51080.6</v>
      </c>
      <c r="AP105" s="21">
        <v>59609.5</v>
      </c>
      <c r="AQ105" s="21">
        <v>43052.4</v>
      </c>
      <c r="AR105" s="21">
        <v>54862.5</v>
      </c>
      <c r="AS105" s="21">
        <v>64038.9</v>
      </c>
      <c r="AT105" s="21">
        <v>49257.7</v>
      </c>
      <c r="AU105" s="21">
        <v>52281.4</v>
      </c>
      <c r="AV105" s="21">
        <v>54048.800000000003</v>
      </c>
      <c r="AW105" s="21">
        <v>34297.699999999997</v>
      </c>
      <c r="AX105" s="21">
        <v>32307.5</v>
      </c>
      <c r="AY105" s="21">
        <v>41473.800000000003</v>
      </c>
      <c r="AZ105" s="21">
        <v>52606.8</v>
      </c>
      <c r="BA105" s="21">
        <v>42561.1</v>
      </c>
      <c r="BB105" s="21">
        <v>36225.9</v>
      </c>
      <c r="BC105" s="21">
        <v>64146.1</v>
      </c>
    </row>
    <row r="106" spans="1:55" x14ac:dyDescent="0.2">
      <c r="A106" s="21" t="s">
        <v>1413</v>
      </c>
      <c r="B106" s="21" t="s">
        <v>1414</v>
      </c>
      <c r="C106" s="21" t="s">
        <v>563</v>
      </c>
      <c r="D106" s="21">
        <v>0.73</v>
      </c>
      <c r="E106" s="21">
        <v>0.77</v>
      </c>
      <c r="F106" s="21">
        <v>0.77</v>
      </c>
      <c r="G106" s="21">
        <v>0.91</v>
      </c>
      <c r="H106" s="21">
        <v>1.57</v>
      </c>
      <c r="I106" s="21">
        <v>2.0499999999999998</v>
      </c>
      <c r="J106" s="21">
        <v>2.25</v>
      </c>
      <c r="K106" s="21">
        <v>2.59</v>
      </c>
      <c r="L106" s="21">
        <v>2.87</v>
      </c>
      <c r="M106" s="21">
        <v>3.9</v>
      </c>
      <c r="N106" s="21">
        <v>6.36</v>
      </c>
      <c r="O106" s="21">
        <v>7.57</v>
      </c>
      <c r="P106" s="21">
        <v>7.23</v>
      </c>
      <c r="Q106" s="21">
        <v>6.53</v>
      </c>
      <c r="R106" s="21">
        <v>6.25</v>
      </c>
      <c r="S106" s="21">
        <v>5.91</v>
      </c>
      <c r="T106" s="21">
        <v>3.92</v>
      </c>
      <c r="U106" s="21">
        <v>4.03</v>
      </c>
      <c r="V106" s="21">
        <v>3.8</v>
      </c>
      <c r="W106" s="21">
        <v>4.3899999999999997</v>
      </c>
      <c r="X106" s="21">
        <v>5.68</v>
      </c>
      <c r="Y106" s="21">
        <v>4.83</v>
      </c>
      <c r="Z106" s="21">
        <v>4.5199999999999996</v>
      </c>
      <c r="AA106" s="21">
        <v>4.29</v>
      </c>
      <c r="AB106" s="21">
        <v>3.95</v>
      </c>
      <c r="AC106" s="21">
        <v>4</v>
      </c>
      <c r="AD106" s="21">
        <v>4.82</v>
      </c>
      <c r="AE106" s="21">
        <v>4.53</v>
      </c>
      <c r="AF106" s="21">
        <v>3.35</v>
      </c>
      <c r="AG106" s="21">
        <v>4.01</v>
      </c>
      <c r="AH106" s="21">
        <v>6.64</v>
      </c>
      <c r="AI106" s="21">
        <v>5.72</v>
      </c>
      <c r="AJ106" s="21">
        <v>5.33</v>
      </c>
      <c r="AK106" s="21">
        <v>6.46</v>
      </c>
      <c r="AL106" s="21">
        <v>8.93</v>
      </c>
      <c r="AM106" s="21">
        <v>12.86</v>
      </c>
      <c r="AN106" s="21">
        <v>14.8</v>
      </c>
      <c r="AO106" s="21">
        <v>16.010000000000002</v>
      </c>
      <c r="AP106" s="21">
        <v>22.56</v>
      </c>
      <c r="AQ106" s="21">
        <v>12.61</v>
      </c>
      <c r="AR106" s="21">
        <v>16.32</v>
      </c>
      <c r="AS106" s="21">
        <v>22.64</v>
      </c>
      <c r="AT106" s="21">
        <v>23.04</v>
      </c>
      <c r="AU106" s="21">
        <v>22.12</v>
      </c>
      <c r="AV106" s="21">
        <v>20.63</v>
      </c>
      <c r="AW106" s="21">
        <v>12.12</v>
      </c>
      <c r="AX106" s="21">
        <v>9.83</v>
      </c>
      <c r="AY106" s="21">
        <v>12.09</v>
      </c>
      <c r="AZ106" s="21">
        <v>15.72</v>
      </c>
      <c r="BA106" s="21">
        <v>14.61</v>
      </c>
      <c r="BB106" s="21">
        <v>9.7899999999999991</v>
      </c>
      <c r="BC106" s="21">
        <v>14.51</v>
      </c>
    </row>
    <row r="107" spans="1:55" x14ac:dyDescent="0.2">
      <c r="A107" s="21" t="s">
        <v>1413</v>
      </c>
      <c r="B107" s="21" t="s">
        <v>1414</v>
      </c>
      <c r="C107" s="21" t="s">
        <v>566</v>
      </c>
      <c r="D107" s="21">
        <v>1441.1</v>
      </c>
      <c r="E107" s="21">
        <v>1582.4</v>
      </c>
      <c r="F107" s="21">
        <v>1600.6</v>
      </c>
      <c r="G107" s="21">
        <v>1937.7</v>
      </c>
      <c r="H107" s="21">
        <v>3138.6</v>
      </c>
      <c r="I107" s="21">
        <v>4149.7</v>
      </c>
      <c r="J107" s="21">
        <v>4506.3999999999996</v>
      </c>
      <c r="K107" s="21">
        <v>5417</v>
      </c>
      <c r="L107" s="21">
        <v>6129.9</v>
      </c>
      <c r="M107" s="21">
        <v>8533.2000000000007</v>
      </c>
      <c r="N107" s="21">
        <v>13855.8</v>
      </c>
      <c r="O107" s="21">
        <v>15575.5</v>
      </c>
      <c r="P107" s="21">
        <v>14955.1</v>
      </c>
      <c r="Q107" s="21">
        <v>13979.4</v>
      </c>
      <c r="R107" s="21">
        <v>15096.9</v>
      </c>
      <c r="S107" s="21">
        <v>14746.7</v>
      </c>
      <c r="T107" s="21">
        <v>10504.6</v>
      </c>
      <c r="U107" s="21">
        <v>11447.5</v>
      </c>
      <c r="V107" s="21">
        <v>11318.1</v>
      </c>
      <c r="W107" s="21">
        <v>13434.2</v>
      </c>
      <c r="X107" s="21">
        <v>17783.900000000001</v>
      </c>
      <c r="Y107" s="21">
        <v>14609</v>
      </c>
      <c r="Z107" s="21">
        <v>13559</v>
      </c>
      <c r="AA107" s="21">
        <v>13001.8</v>
      </c>
      <c r="AB107" s="21">
        <v>12473.7</v>
      </c>
      <c r="AC107" s="21">
        <v>12525.5</v>
      </c>
      <c r="AD107" s="21">
        <v>15769.8</v>
      </c>
      <c r="AE107" s="21">
        <v>14999.9</v>
      </c>
      <c r="AF107" s="21">
        <v>11238.7</v>
      </c>
      <c r="AG107" s="21">
        <v>13877.8</v>
      </c>
      <c r="AH107" s="21">
        <v>23781.4</v>
      </c>
      <c r="AI107" s="21">
        <v>19602</v>
      </c>
      <c r="AJ107" s="21">
        <v>17801.599999999999</v>
      </c>
      <c r="AK107" s="21">
        <v>21095.5</v>
      </c>
      <c r="AL107" s="21">
        <v>30218.9</v>
      </c>
      <c r="AM107" s="21">
        <v>44679.4</v>
      </c>
      <c r="AN107" s="21">
        <v>50006.6</v>
      </c>
      <c r="AO107" s="21">
        <v>53754</v>
      </c>
      <c r="AP107" s="21">
        <v>72045.7</v>
      </c>
      <c r="AQ107" s="21">
        <v>36354</v>
      </c>
      <c r="AR107" s="21">
        <v>48345.7</v>
      </c>
      <c r="AS107" s="21">
        <v>66772.7</v>
      </c>
      <c r="AT107" s="21">
        <v>66845</v>
      </c>
      <c r="AU107" s="21">
        <v>65667.8</v>
      </c>
      <c r="AV107" s="21">
        <v>62744.9</v>
      </c>
      <c r="AW107" s="21">
        <v>38820.199999999997</v>
      </c>
      <c r="AX107" s="21">
        <v>32927.699999999997</v>
      </c>
      <c r="AY107" s="21">
        <v>42094.9</v>
      </c>
      <c r="AZ107" s="21">
        <v>55549.4</v>
      </c>
      <c r="BA107" s="21">
        <v>52706.3</v>
      </c>
      <c r="BB107" s="21">
        <v>21862.5</v>
      </c>
      <c r="BC107" s="21">
        <v>41143.300000000003</v>
      </c>
    </row>
    <row r="108" spans="1:55" x14ac:dyDescent="0.2">
      <c r="A108" s="21" t="s">
        <v>1413</v>
      </c>
      <c r="B108" s="21" t="s">
        <v>1414</v>
      </c>
      <c r="C108" s="21" t="s">
        <v>570</v>
      </c>
      <c r="D108" s="21">
        <v>0.73</v>
      </c>
      <c r="E108" s="21">
        <v>0.77</v>
      </c>
      <c r="F108" s="21">
        <v>0.79</v>
      </c>
      <c r="G108" s="21">
        <v>0.92</v>
      </c>
      <c r="H108" s="21">
        <v>1.58</v>
      </c>
      <c r="I108" s="21">
        <v>2.0499999999999998</v>
      </c>
      <c r="J108" s="21">
        <v>2.25</v>
      </c>
      <c r="K108" s="21">
        <v>2.59</v>
      </c>
      <c r="L108" s="21">
        <v>2.87</v>
      </c>
      <c r="M108" s="21">
        <v>3.9</v>
      </c>
      <c r="N108" s="21">
        <v>6.36</v>
      </c>
      <c r="O108" s="21">
        <v>7.57</v>
      </c>
      <c r="P108" s="21">
        <v>7.23</v>
      </c>
      <c r="Q108" s="21">
        <v>6.53</v>
      </c>
      <c r="R108" s="21">
        <v>6.25</v>
      </c>
      <c r="S108" s="21">
        <v>5.91</v>
      </c>
      <c r="T108" s="21">
        <v>3.92</v>
      </c>
      <c r="U108" s="21">
        <v>4.03</v>
      </c>
      <c r="V108" s="21">
        <v>3.8</v>
      </c>
      <c r="W108" s="21">
        <v>4.3899999999999997</v>
      </c>
      <c r="X108" s="21">
        <v>5.68</v>
      </c>
      <c r="Y108" s="21">
        <v>4.83</v>
      </c>
      <c r="Z108" s="21">
        <v>4.5199999999999996</v>
      </c>
      <c r="AA108" s="21">
        <v>4.29</v>
      </c>
      <c r="AB108" s="21">
        <v>3.95</v>
      </c>
      <c r="AC108" s="21">
        <v>4</v>
      </c>
      <c r="AD108" s="21">
        <v>4.82</v>
      </c>
      <c r="AE108" s="21">
        <v>4.53</v>
      </c>
      <c r="AF108" s="21">
        <v>3.35</v>
      </c>
      <c r="AG108" s="21">
        <v>4.01</v>
      </c>
      <c r="AH108" s="21">
        <v>6.64</v>
      </c>
      <c r="AI108" s="21">
        <v>5.72</v>
      </c>
      <c r="AJ108" s="21">
        <v>5.33</v>
      </c>
      <c r="AK108" s="21">
        <v>6.46</v>
      </c>
      <c r="AL108" s="21">
        <v>8.93</v>
      </c>
      <c r="AM108" s="21">
        <v>12.86</v>
      </c>
      <c r="AN108" s="21">
        <v>14.8</v>
      </c>
      <c r="AO108" s="21">
        <v>16.010000000000002</v>
      </c>
      <c r="AP108" s="21">
        <v>22.56</v>
      </c>
      <c r="AQ108" s="21">
        <v>12.61</v>
      </c>
      <c r="AR108" s="21">
        <v>16.32</v>
      </c>
      <c r="AS108" s="21">
        <v>22.64</v>
      </c>
      <c r="AT108" s="21">
        <v>23.04</v>
      </c>
      <c r="AU108" s="21">
        <v>22.12</v>
      </c>
      <c r="AV108" s="21">
        <v>20.63</v>
      </c>
      <c r="AW108" s="21">
        <v>12.12</v>
      </c>
      <c r="AX108" s="21">
        <v>9.83</v>
      </c>
      <c r="AY108" s="21">
        <v>12.09</v>
      </c>
      <c r="AZ108" s="21">
        <v>15.72</v>
      </c>
      <c r="BA108" s="21">
        <v>14.61</v>
      </c>
      <c r="BB108" s="21">
        <v>9.7899999999999991</v>
      </c>
      <c r="BC108" s="21">
        <v>14.51</v>
      </c>
    </row>
    <row r="109" spans="1:55" x14ac:dyDescent="0.2">
      <c r="A109" s="21" t="s">
        <v>1413</v>
      </c>
      <c r="B109" s="21" t="s">
        <v>1414</v>
      </c>
      <c r="C109" s="21" t="s">
        <v>573</v>
      </c>
      <c r="D109" s="21">
        <v>1441.1</v>
      </c>
      <c r="E109" s="21">
        <v>1582.4</v>
      </c>
      <c r="F109" s="21">
        <v>1682</v>
      </c>
      <c r="G109" s="21">
        <v>2000.9</v>
      </c>
      <c r="H109" s="21">
        <v>3207.7</v>
      </c>
      <c r="I109" s="21">
        <v>4193.3</v>
      </c>
      <c r="J109" s="21">
        <v>4567</v>
      </c>
      <c r="K109" s="21">
        <v>5516.9</v>
      </c>
      <c r="L109" s="21">
        <v>6204.6</v>
      </c>
      <c r="M109" s="21">
        <v>8603.1</v>
      </c>
      <c r="N109" s="21">
        <v>13923.3</v>
      </c>
      <c r="O109" s="21">
        <v>15607.4</v>
      </c>
      <c r="P109" s="21">
        <v>14974.3</v>
      </c>
      <c r="Q109" s="21">
        <v>13979.4</v>
      </c>
      <c r="R109" s="21">
        <v>15096.9</v>
      </c>
      <c r="S109" s="21">
        <v>14746.7</v>
      </c>
      <c r="T109" s="21">
        <v>10504.6</v>
      </c>
      <c r="U109" s="21">
        <v>11447.5</v>
      </c>
      <c r="V109" s="21">
        <v>11318.1</v>
      </c>
      <c r="W109" s="21">
        <v>13434.2</v>
      </c>
      <c r="X109" s="21">
        <v>17783.900000000001</v>
      </c>
      <c r="Y109" s="21">
        <v>14609</v>
      </c>
      <c r="Z109" s="21">
        <v>13559</v>
      </c>
      <c r="AA109" s="21">
        <v>13001.8</v>
      </c>
      <c r="AB109" s="21">
        <v>12473.7</v>
      </c>
      <c r="AC109" s="21">
        <v>12525.5</v>
      </c>
      <c r="AD109" s="21">
        <v>15769.8</v>
      </c>
      <c r="AE109" s="21">
        <v>14999.9</v>
      </c>
      <c r="AF109" s="21">
        <v>11238.7</v>
      </c>
      <c r="AG109" s="21">
        <v>13877.8</v>
      </c>
      <c r="AH109" s="21">
        <v>23781.4</v>
      </c>
      <c r="AI109" s="21">
        <v>19602</v>
      </c>
      <c r="AJ109" s="21">
        <v>17801.599999999999</v>
      </c>
      <c r="AK109" s="21">
        <v>21095.5</v>
      </c>
      <c r="AL109" s="21">
        <v>30218.9</v>
      </c>
      <c r="AM109" s="21">
        <v>44679.4</v>
      </c>
      <c r="AN109" s="21">
        <v>50006.6</v>
      </c>
      <c r="AO109" s="21">
        <v>53754</v>
      </c>
      <c r="AP109" s="21">
        <v>72045.7</v>
      </c>
      <c r="AQ109" s="21">
        <v>36354</v>
      </c>
      <c r="AR109" s="21">
        <v>48345.7</v>
      </c>
      <c r="AS109" s="21">
        <v>66772.7</v>
      </c>
      <c r="AT109" s="21">
        <v>66845</v>
      </c>
      <c r="AU109" s="21">
        <v>65667.8</v>
      </c>
      <c r="AV109" s="21">
        <v>62744.9</v>
      </c>
      <c r="AW109" s="21">
        <v>38820.199999999997</v>
      </c>
      <c r="AX109" s="21">
        <v>32927.699999999997</v>
      </c>
      <c r="AY109" s="21">
        <v>42094.9</v>
      </c>
      <c r="AZ109" s="21">
        <v>55549.4</v>
      </c>
      <c r="BA109" s="21">
        <v>52706.3</v>
      </c>
      <c r="BB109" s="21">
        <v>21862.5</v>
      </c>
      <c r="BC109" s="21">
        <v>41143.300000000003</v>
      </c>
    </row>
    <row r="110" spans="1:55" x14ac:dyDescent="0.2">
      <c r="A110" s="21" t="s">
        <v>1413</v>
      </c>
      <c r="B110" s="21" t="s">
        <v>1414</v>
      </c>
      <c r="C110" s="21" t="s">
        <v>577</v>
      </c>
      <c r="D110" s="21">
        <v>0.73</v>
      </c>
      <c r="E110" s="21">
        <v>0.77</v>
      </c>
      <c r="F110" s="21">
        <v>0.77</v>
      </c>
      <c r="G110" s="21">
        <v>0.91</v>
      </c>
      <c r="H110" s="21">
        <v>1.57</v>
      </c>
      <c r="I110" s="21">
        <v>2.0499999999999998</v>
      </c>
      <c r="J110" s="21">
        <v>2.25</v>
      </c>
      <c r="K110" s="21">
        <v>2.59</v>
      </c>
      <c r="L110" s="21">
        <v>2.87</v>
      </c>
      <c r="M110" s="21">
        <v>3.9</v>
      </c>
      <c r="N110" s="21">
        <v>6.36</v>
      </c>
      <c r="O110" s="21">
        <v>7.57</v>
      </c>
      <c r="P110" s="21">
        <v>7.23</v>
      </c>
      <c r="Q110" s="21">
        <v>6.53</v>
      </c>
      <c r="R110" s="21">
        <v>6.25</v>
      </c>
      <c r="S110" s="21">
        <v>5.91</v>
      </c>
      <c r="T110" s="21">
        <v>3.92</v>
      </c>
      <c r="U110" s="21">
        <v>4.03</v>
      </c>
      <c r="V110" s="21">
        <v>3.8</v>
      </c>
      <c r="W110" s="21">
        <v>4.3899999999999997</v>
      </c>
      <c r="X110" s="21">
        <v>5.68</v>
      </c>
      <c r="Y110" s="21">
        <v>4.83</v>
      </c>
      <c r="Z110" s="21">
        <v>4.5199999999999996</v>
      </c>
      <c r="AA110" s="21">
        <v>4.29</v>
      </c>
      <c r="AB110" s="21">
        <v>3.95</v>
      </c>
      <c r="AC110" s="21">
        <v>4</v>
      </c>
      <c r="AD110" s="21">
        <v>4.82</v>
      </c>
      <c r="AE110" s="21">
        <v>4.53</v>
      </c>
      <c r="AF110" s="21">
        <v>3.35</v>
      </c>
      <c r="AG110" s="21">
        <v>4.01</v>
      </c>
      <c r="AH110" s="21">
        <v>6.64</v>
      </c>
      <c r="AI110" s="21">
        <v>5.72</v>
      </c>
      <c r="AJ110" s="21">
        <v>5.33</v>
      </c>
      <c r="AK110" s="21">
        <v>6.46</v>
      </c>
      <c r="AL110" s="21">
        <v>8.93</v>
      </c>
      <c r="AM110" s="21">
        <v>12.86</v>
      </c>
      <c r="AN110" s="21">
        <v>14.8</v>
      </c>
      <c r="AO110" s="21">
        <v>16.010000000000002</v>
      </c>
      <c r="AP110" s="21">
        <v>22.56</v>
      </c>
      <c r="AQ110" s="21">
        <v>12.61</v>
      </c>
      <c r="AR110" s="21">
        <v>16.32</v>
      </c>
      <c r="AS110" s="21">
        <v>22.64</v>
      </c>
      <c r="AT110" s="21">
        <v>23.04</v>
      </c>
      <c r="AU110" s="21">
        <v>22.12</v>
      </c>
      <c r="AV110" s="21">
        <v>20.63</v>
      </c>
      <c r="AW110" s="21">
        <v>12.12</v>
      </c>
      <c r="AX110" s="21">
        <v>9.83</v>
      </c>
      <c r="AY110" s="21">
        <v>12.09</v>
      </c>
      <c r="AZ110" s="21">
        <v>15.72</v>
      </c>
      <c r="BA110" s="21">
        <v>14.61</v>
      </c>
      <c r="BB110" s="21">
        <v>9.7899999999999991</v>
      </c>
      <c r="BC110" s="21">
        <v>14.51</v>
      </c>
    </row>
    <row r="111" spans="1:55" x14ac:dyDescent="0.2">
      <c r="A111" s="21" t="s">
        <v>1413</v>
      </c>
      <c r="B111" s="21" t="s">
        <v>1414</v>
      </c>
      <c r="C111" s="21" t="s">
        <v>580</v>
      </c>
      <c r="D111" s="21">
        <v>1441.1</v>
      </c>
      <c r="E111" s="21">
        <v>1582.4</v>
      </c>
      <c r="F111" s="21">
        <v>1600.6</v>
      </c>
      <c r="G111" s="21">
        <v>1937.7</v>
      </c>
      <c r="H111" s="21">
        <v>3138.6</v>
      </c>
      <c r="I111" s="21">
        <v>4149.7</v>
      </c>
      <c r="J111" s="21">
        <v>4506.3999999999996</v>
      </c>
      <c r="K111" s="21">
        <v>5417</v>
      </c>
      <c r="L111" s="21">
        <v>6129.9</v>
      </c>
      <c r="M111" s="21">
        <v>8533.2000000000007</v>
      </c>
      <c r="N111" s="21">
        <v>13855.8</v>
      </c>
      <c r="O111" s="21">
        <v>15575.5</v>
      </c>
      <c r="P111" s="21">
        <v>14955.1</v>
      </c>
      <c r="Q111" s="21">
        <v>13979.4</v>
      </c>
      <c r="R111" s="21">
        <v>15096.9</v>
      </c>
      <c r="S111" s="21">
        <v>14746.7</v>
      </c>
      <c r="T111" s="21">
        <v>10504.6</v>
      </c>
      <c r="U111" s="21">
        <v>11447.5</v>
      </c>
      <c r="V111" s="21">
        <v>11318.1</v>
      </c>
      <c r="W111" s="21">
        <v>13434.2</v>
      </c>
      <c r="X111" s="21">
        <v>17783.900000000001</v>
      </c>
      <c r="Y111" s="21">
        <v>14609</v>
      </c>
      <c r="Z111" s="21">
        <v>13559</v>
      </c>
      <c r="AA111" s="21">
        <v>13001.8</v>
      </c>
      <c r="AB111" s="21">
        <v>12473.7</v>
      </c>
      <c r="AC111" s="21">
        <v>12525.5</v>
      </c>
      <c r="AD111" s="21">
        <v>15769.8</v>
      </c>
      <c r="AE111" s="21">
        <v>14999.9</v>
      </c>
      <c r="AF111" s="21">
        <v>11238.7</v>
      </c>
      <c r="AG111" s="21">
        <v>13877.8</v>
      </c>
      <c r="AH111" s="21">
        <v>23781.4</v>
      </c>
      <c r="AI111" s="21">
        <v>19602</v>
      </c>
      <c r="AJ111" s="21">
        <v>17801.599999999999</v>
      </c>
      <c r="AK111" s="21">
        <v>21095.5</v>
      </c>
      <c r="AL111" s="21">
        <v>30218.9</v>
      </c>
      <c r="AM111" s="21">
        <v>44679.4</v>
      </c>
      <c r="AN111" s="21">
        <v>50006.6</v>
      </c>
      <c r="AO111" s="21">
        <v>53754</v>
      </c>
      <c r="AP111" s="21">
        <v>72045.7</v>
      </c>
      <c r="AQ111" s="21">
        <v>36354</v>
      </c>
      <c r="AR111" s="21">
        <v>48345.7</v>
      </c>
      <c r="AS111" s="21">
        <v>66772.7</v>
      </c>
      <c r="AT111" s="21">
        <v>66845</v>
      </c>
      <c r="AU111" s="21">
        <v>65667.8</v>
      </c>
      <c r="AV111" s="21">
        <v>62744.9</v>
      </c>
      <c r="AW111" s="21">
        <v>38820.199999999997</v>
      </c>
      <c r="AX111" s="21">
        <v>32927.699999999997</v>
      </c>
      <c r="AY111" s="21">
        <v>42094.9</v>
      </c>
      <c r="AZ111" s="21">
        <v>55549.4</v>
      </c>
      <c r="BA111" s="21">
        <v>52706.3</v>
      </c>
      <c r="BB111" s="21">
        <v>21862.5</v>
      </c>
      <c r="BC111" s="21">
        <v>41143.300000000003</v>
      </c>
    </row>
    <row r="112" spans="1:55" x14ac:dyDescent="0.2">
      <c r="A112" s="21" t="s">
        <v>1413</v>
      </c>
      <c r="B112" s="21" t="s">
        <v>1414</v>
      </c>
      <c r="C112" s="21" t="s">
        <v>584</v>
      </c>
      <c r="D112" s="21">
        <v>0.77</v>
      </c>
      <c r="E112" s="21">
        <v>0.81</v>
      </c>
      <c r="F112" s="21">
        <v>0.8</v>
      </c>
      <c r="G112" s="21">
        <v>0.96</v>
      </c>
      <c r="H112" s="21">
        <v>2.16</v>
      </c>
      <c r="I112" s="21">
        <v>2.3199999999999998</v>
      </c>
      <c r="J112" s="21">
        <v>2.67</v>
      </c>
      <c r="K112" s="21">
        <v>2.96</v>
      </c>
      <c r="L112" s="21">
        <v>3.15</v>
      </c>
      <c r="M112" s="21">
        <v>4.54</v>
      </c>
      <c r="N112" s="21">
        <v>6.46</v>
      </c>
      <c r="O112" s="21">
        <v>7.48</v>
      </c>
      <c r="P112" s="21">
        <v>7.31</v>
      </c>
      <c r="Q112" s="21">
        <v>7.1</v>
      </c>
      <c r="R112" s="21">
        <v>8.0299999999999994</v>
      </c>
      <c r="S112" s="21">
        <v>8.18</v>
      </c>
      <c r="T112" s="21">
        <v>5.21</v>
      </c>
      <c r="U112" s="21">
        <v>5.1100000000000003</v>
      </c>
      <c r="V112" s="21">
        <v>6.11</v>
      </c>
      <c r="W112" s="21">
        <v>6.01</v>
      </c>
      <c r="X112" s="21">
        <v>7.31</v>
      </c>
      <c r="Y112" s="21">
        <v>6.67</v>
      </c>
      <c r="Z112" s="21">
        <v>5.96</v>
      </c>
      <c r="AA112" s="21">
        <v>5.64</v>
      </c>
      <c r="AB112" s="21">
        <v>5.94</v>
      </c>
      <c r="AC112" s="21">
        <v>5.55</v>
      </c>
      <c r="AD112" s="21">
        <v>6.4</v>
      </c>
      <c r="AE112" s="21">
        <v>6.18</v>
      </c>
      <c r="AF112" s="21">
        <v>4.88</v>
      </c>
      <c r="AG112" s="21">
        <v>5.33</v>
      </c>
      <c r="AH112" s="21">
        <v>8.8699999999999992</v>
      </c>
      <c r="AI112" s="21">
        <v>8.3800000000000008</v>
      </c>
      <c r="AJ112" s="21">
        <v>8.14</v>
      </c>
      <c r="AK112" s="21">
        <v>9.8000000000000007</v>
      </c>
      <c r="AL112" s="21">
        <v>11.41</v>
      </c>
      <c r="AM112" s="21">
        <v>14.96</v>
      </c>
      <c r="AN112" s="21">
        <v>18.73</v>
      </c>
      <c r="AO112" s="21">
        <v>21.13</v>
      </c>
      <c r="AP112" s="21">
        <v>25.61</v>
      </c>
      <c r="AQ112" s="21">
        <v>21.92</v>
      </c>
      <c r="AR112" s="21">
        <v>24.43</v>
      </c>
      <c r="AS112" s="21">
        <v>28.4</v>
      </c>
      <c r="AT112" s="21">
        <v>30.06</v>
      </c>
      <c r="AU112" s="21">
        <v>30.05</v>
      </c>
      <c r="AV112" s="21">
        <v>30.65</v>
      </c>
      <c r="AW112" s="21">
        <v>16.850000000000001</v>
      </c>
      <c r="AX112" s="21">
        <v>13.43</v>
      </c>
      <c r="AY112" s="21">
        <v>16.82</v>
      </c>
      <c r="AZ112" s="21">
        <v>24.61</v>
      </c>
      <c r="BA112" s="21">
        <v>22.84</v>
      </c>
      <c r="BB112" s="21">
        <v>15.52</v>
      </c>
      <c r="BC112" s="21">
        <v>23.12</v>
      </c>
    </row>
    <row r="113" spans="1:55" x14ac:dyDescent="0.2">
      <c r="A113" s="21" t="s">
        <v>1413</v>
      </c>
      <c r="B113" s="21" t="s">
        <v>1414</v>
      </c>
      <c r="C113" s="21" t="s">
        <v>587</v>
      </c>
      <c r="D113" s="21">
        <v>46.7</v>
      </c>
      <c r="E113" s="21">
        <v>44.6</v>
      </c>
      <c r="F113" s="21">
        <v>44.4</v>
      </c>
      <c r="G113" s="21">
        <v>61.9</v>
      </c>
      <c r="H113" s="21">
        <v>118.1</v>
      </c>
      <c r="I113" s="21">
        <v>114.3</v>
      </c>
      <c r="J113" s="21">
        <v>117.1</v>
      </c>
      <c r="K113" s="21">
        <v>154.4</v>
      </c>
      <c r="L113" s="21">
        <v>172.5</v>
      </c>
      <c r="M113" s="21">
        <v>356.2</v>
      </c>
      <c r="N113" s="21">
        <v>262.2</v>
      </c>
      <c r="O113" s="21">
        <v>518.70000000000005</v>
      </c>
      <c r="P113" s="21">
        <v>221.8</v>
      </c>
      <c r="Q113" s="21">
        <v>789.8</v>
      </c>
      <c r="R113" s="21">
        <v>288</v>
      </c>
      <c r="S113" s="21">
        <v>268.5</v>
      </c>
      <c r="T113" s="21">
        <v>260.10000000000002</v>
      </c>
      <c r="U113" s="21">
        <v>248.7</v>
      </c>
      <c r="V113" s="21">
        <v>159.6</v>
      </c>
      <c r="W113" s="21">
        <v>165.9</v>
      </c>
      <c r="X113" s="21">
        <v>86.5</v>
      </c>
      <c r="Y113" s="21">
        <v>80.599999999999994</v>
      </c>
      <c r="Z113" s="21">
        <v>66.2</v>
      </c>
      <c r="AA113" s="21">
        <v>79.099999999999994</v>
      </c>
      <c r="AB113" s="21">
        <v>115.5</v>
      </c>
      <c r="AC113" s="21">
        <v>122.6</v>
      </c>
      <c r="AD113" s="21">
        <v>134.69999999999999</v>
      </c>
      <c r="AE113" s="21">
        <v>152.30000000000001</v>
      </c>
      <c r="AF113" s="21">
        <v>152.19999999999999</v>
      </c>
      <c r="AG113" s="21">
        <v>143.5</v>
      </c>
      <c r="AH113" s="21">
        <v>263</v>
      </c>
      <c r="AI113" s="21">
        <v>263.10000000000002</v>
      </c>
      <c r="AJ113" s="21">
        <v>129.9</v>
      </c>
      <c r="AK113" s="21">
        <v>182.6</v>
      </c>
      <c r="AL113" s="21">
        <v>233.8</v>
      </c>
      <c r="AM113" s="21">
        <v>323.10000000000002</v>
      </c>
      <c r="AN113" s="21">
        <v>284.2</v>
      </c>
      <c r="AO113" s="21">
        <v>193.9</v>
      </c>
      <c r="AP113" s="21">
        <v>113.6</v>
      </c>
      <c r="AQ113" s="21">
        <v>92.6</v>
      </c>
      <c r="AR113" s="21">
        <v>117.8</v>
      </c>
      <c r="AS113" s="21">
        <v>90.7</v>
      </c>
      <c r="AT113" s="21">
        <v>36.200000000000003</v>
      </c>
      <c r="AU113" s="21">
        <v>30.6</v>
      </c>
      <c r="AV113" s="21">
        <v>62.5</v>
      </c>
      <c r="AW113" s="21">
        <v>23.1</v>
      </c>
      <c r="AX113" s="21">
        <v>27.9</v>
      </c>
      <c r="AY113" s="21">
        <v>20</v>
      </c>
      <c r="AZ113" s="21">
        <v>32.9</v>
      </c>
      <c r="BA113" s="21">
        <v>42</v>
      </c>
      <c r="BB113" s="21">
        <v>26.3</v>
      </c>
      <c r="BC113" s="21">
        <v>33.200000000000003</v>
      </c>
    </row>
    <row r="114" spans="1:55" x14ac:dyDescent="0.2">
      <c r="A114" s="21" t="s">
        <v>1413</v>
      </c>
      <c r="B114" s="21" t="s">
        <v>1414</v>
      </c>
      <c r="C114" s="21" t="s">
        <v>591</v>
      </c>
      <c r="D114" s="21">
        <v>0.77</v>
      </c>
      <c r="E114" s="21">
        <v>0.81</v>
      </c>
      <c r="F114" s="21">
        <v>0.81</v>
      </c>
      <c r="G114" s="21">
        <v>0.97</v>
      </c>
      <c r="H114" s="21">
        <v>2.14</v>
      </c>
      <c r="I114" s="21">
        <v>2.34</v>
      </c>
      <c r="J114" s="21">
        <v>2.58</v>
      </c>
      <c r="K114" s="21">
        <v>2.91</v>
      </c>
      <c r="L114" s="21">
        <v>3.09</v>
      </c>
      <c r="M114" s="21">
        <v>4.32</v>
      </c>
      <c r="N114" s="21">
        <v>6.3</v>
      </c>
      <c r="O114" s="21">
        <v>7.22</v>
      </c>
      <c r="P114" s="21">
        <v>7.41</v>
      </c>
      <c r="Q114" s="21">
        <v>6.92</v>
      </c>
      <c r="R114" s="21">
        <v>7.11</v>
      </c>
      <c r="S114" s="21">
        <v>6.86</v>
      </c>
      <c r="T114" s="21">
        <v>4.7699999999999996</v>
      </c>
      <c r="U114" s="21">
        <v>4.66</v>
      </c>
      <c r="V114" s="21">
        <v>4.34</v>
      </c>
      <c r="W114" s="21">
        <v>5.25</v>
      </c>
      <c r="X114" s="21">
        <v>6.61</v>
      </c>
      <c r="Y114" s="21">
        <v>5.75</v>
      </c>
      <c r="Z114" s="21">
        <v>5</v>
      </c>
      <c r="AA114" s="21">
        <v>4.84</v>
      </c>
      <c r="AB114" s="21">
        <v>5</v>
      </c>
      <c r="AC114" s="21">
        <v>4.55</v>
      </c>
      <c r="AD114" s="21">
        <v>5.62</v>
      </c>
      <c r="AE114" s="21">
        <v>5.12</v>
      </c>
      <c r="AF114" s="21">
        <v>3.8</v>
      </c>
      <c r="AG114" s="21">
        <v>4.49</v>
      </c>
      <c r="AH114" s="21">
        <v>7.87</v>
      </c>
      <c r="AI114" s="21">
        <v>6.39</v>
      </c>
      <c r="AJ114" s="21">
        <v>5.94</v>
      </c>
      <c r="AK114" s="21">
        <v>7.43</v>
      </c>
      <c r="AL114" s="21">
        <v>10.44</v>
      </c>
      <c r="AM114" s="21">
        <v>13.46</v>
      </c>
      <c r="AN114" s="21">
        <v>15.83</v>
      </c>
      <c r="AO114" s="21">
        <v>17.170000000000002</v>
      </c>
      <c r="AP114" s="21">
        <v>21.44</v>
      </c>
      <c r="AQ114" s="21">
        <v>15.32</v>
      </c>
      <c r="AR114" s="21">
        <v>19.09</v>
      </c>
      <c r="AS114" s="21">
        <v>25.02</v>
      </c>
      <c r="AT114" s="21">
        <v>25.98</v>
      </c>
      <c r="AU114" s="21">
        <v>25.86</v>
      </c>
      <c r="AV114" s="21">
        <v>25.19</v>
      </c>
      <c r="AW114" s="21">
        <v>15.06</v>
      </c>
      <c r="AX114" s="21">
        <v>11.89</v>
      </c>
      <c r="AY114" s="21">
        <v>15.22</v>
      </c>
      <c r="AZ114" s="21">
        <v>18.399999999999999</v>
      </c>
      <c r="BA114" s="21">
        <v>17.45</v>
      </c>
      <c r="BB114" s="21">
        <v>12.83</v>
      </c>
      <c r="BC114" s="21">
        <v>17.45</v>
      </c>
    </row>
    <row r="115" spans="1:55" x14ac:dyDescent="0.2">
      <c r="A115" s="21" t="s">
        <v>1413</v>
      </c>
      <c r="B115" s="21" t="s">
        <v>1414</v>
      </c>
      <c r="C115" s="21" t="s">
        <v>594</v>
      </c>
      <c r="D115" s="21">
        <v>142.4</v>
      </c>
      <c r="E115" s="21">
        <v>133.4</v>
      </c>
      <c r="F115" s="21">
        <v>129.69999999999999</v>
      </c>
      <c r="G115" s="21">
        <v>150.6</v>
      </c>
      <c r="H115" s="21">
        <v>271.10000000000002</v>
      </c>
      <c r="I115" s="21">
        <v>278.5</v>
      </c>
      <c r="J115" s="21">
        <v>317.3</v>
      </c>
      <c r="K115" s="21">
        <v>417</v>
      </c>
      <c r="L115" s="21">
        <v>479.9</v>
      </c>
      <c r="M115" s="21">
        <v>766.1</v>
      </c>
      <c r="N115" s="21">
        <v>1142.5</v>
      </c>
      <c r="O115" s="21">
        <v>779.3</v>
      </c>
      <c r="P115" s="21">
        <v>1044.4000000000001</v>
      </c>
      <c r="Q115" s="21">
        <v>457.7</v>
      </c>
      <c r="R115" s="21">
        <v>305.89999999999998</v>
      </c>
      <c r="S115" s="21">
        <v>304.10000000000002</v>
      </c>
      <c r="T115" s="21">
        <v>153</v>
      </c>
      <c r="U115" s="21">
        <v>132</v>
      </c>
      <c r="V115" s="21">
        <v>129.69999999999999</v>
      </c>
      <c r="W115" s="21">
        <v>155.1</v>
      </c>
      <c r="X115" s="21">
        <v>81.099999999999994</v>
      </c>
      <c r="Y115" s="21">
        <v>65.400000000000006</v>
      </c>
      <c r="Z115" s="21">
        <v>48.9</v>
      </c>
      <c r="AA115" s="21">
        <v>63.1</v>
      </c>
      <c r="AB115" s="21">
        <v>84.5</v>
      </c>
      <c r="AC115" s="21">
        <v>70.3</v>
      </c>
      <c r="AD115" s="21">
        <v>102.8</v>
      </c>
      <c r="AE115" s="21">
        <v>96.4</v>
      </c>
      <c r="AF115" s="21">
        <v>83.9</v>
      </c>
      <c r="AG115" s="21">
        <v>57.6</v>
      </c>
      <c r="AH115" s="21">
        <v>123.1</v>
      </c>
      <c r="AI115" s="21">
        <v>148.30000000000001</v>
      </c>
      <c r="AJ115" s="21">
        <v>82</v>
      </c>
      <c r="AK115" s="21">
        <v>179.2</v>
      </c>
      <c r="AL115" s="21">
        <v>294.7</v>
      </c>
      <c r="AM115" s="21">
        <v>525.79999999999995</v>
      </c>
      <c r="AN115" s="21">
        <v>468.2</v>
      </c>
      <c r="AO115" s="21">
        <v>230.5</v>
      </c>
      <c r="AP115" s="21">
        <v>82.1</v>
      </c>
      <c r="AQ115" s="21">
        <v>67.400000000000006</v>
      </c>
      <c r="AR115" s="21">
        <v>139.69999999999999</v>
      </c>
      <c r="AS115" s="21">
        <v>90.4</v>
      </c>
      <c r="AT115" s="21">
        <v>52.2</v>
      </c>
      <c r="AU115" s="21">
        <v>38.200000000000003</v>
      </c>
      <c r="AV115" s="21">
        <v>71.3</v>
      </c>
      <c r="AW115" s="21">
        <v>26</v>
      </c>
      <c r="AX115" s="21">
        <v>26.9</v>
      </c>
      <c r="AY115" s="21">
        <v>17</v>
      </c>
      <c r="AZ115" s="21">
        <v>29.9</v>
      </c>
      <c r="BA115" s="21">
        <v>24.8</v>
      </c>
      <c r="BB115" s="21">
        <v>38.799999999999997</v>
      </c>
      <c r="BC115" s="21">
        <v>25.4</v>
      </c>
    </row>
    <row r="116" spans="1:55" x14ac:dyDescent="0.2">
      <c r="A116" s="21" t="s">
        <v>1413</v>
      </c>
      <c r="B116" s="21" t="s">
        <v>1414</v>
      </c>
      <c r="C116" s="21" t="s">
        <v>598</v>
      </c>
      <c r="D116" s="21">
        <v>1.54</v>
      </c>
      <c r="E116" s="21">
        <v>1.59</v>
      </c>
      <c r="F116" s="21">
        <v>1.59</v>
      </c>
      <c r="G116" s="21">
        <v>1.87</v>
      </c>
      <c r="H116" s="21">
        <v>2.93</v>
      </c>
      <c r="I116" s="21">
        <v>3.14</v>
      </c>
      <c r="J116" s="21">
        <v>3.32</v>
      </c>
      <c r="K116" s="21">
        <v>3.78</v>
      </c>
      <c r="L116" s="21">
        <v>4.04</v>
      </c>
      <c r="M116" s="21">
        <v>5.56</v>
      </c>
      <c r="N116" s="21">
        <v>8.32</v>
      </c>
      <c r="O116" s="21">
        <v>10.53</v>
      </c>
      <c r="P116" s="21">
        <v>10.47</v>
      </c>
      <c r="Q116" s="21">
        <v>7.64</v>
      </c>
      <c r="R116" s="21">
        <v>8.1999999999999993</v>
      </c>
      <c r="S116" s="21">
        <v>7.9</v>
      </c>
      <c r="T116" s="21">
        <v>6.37</v>
      </c>
      <c r="U116" s="21">
        <v>6.44</v>
      </c>
      <c r="V116" s="21">
        <v>6.31</v>
      </c>
      <c r="W116" s="21">
        <v>6.19</v>
      </c>
      <c r="X116" s="21">
        <v>7.46</v>
      </c>
      <c r="Y116" s="21">
        <v>7.09</v>
      </c>
      <c r="Z116" s="21">
        <v>6.36</v>
      </c>
      <c r="AA116" s="21">
        <v>5.89</v>
      </c>
      <c r="AB116" s="21">
        <v>6.05</v>
      </c>
      <c r="AC116" s="21">
        <v>5.74</v>
      </c>
      <c r="AD116" s="21">
        <v>6.33</v>
      </c>
      <c r="AE116" s="21">
        <v>6.29</v>
      </c>
      <c r="AF116" s="21">
        <v>5.25</v>
      </c>
      <c r="AG116" s="21">
        <v>5.73</v>
      </c>
      <c r="AH116" s="21">
        <v>9.1300000000000008</v>
      </c>
      <c r="AI116" s="21">
        <v>8.81</v>
      </c>
      <c r="AJ116" s="21">
        <v>8.26</v>
      </c>
      <c r="AK116" s="21">
        <v>9.83</v>
      </c>
      <c r="AL116" s="21">
        <v>11.33</v>
      </c>
      <c r="AM116" s="21">
        <v>14.76</v>
      </c>
      <c r="AN116" s="21">
        <v>18.59</v>
      </c>
      <c r="AO116" s="21">
        <v>21.27</v>
      </c>
      <c r="AP116" s="21">
        <v>25.59</v>
      </c>
      <c r="AQ116" s="21">
        <v>22</v>
      </c>
      <c r="AR116" s="21">
        <v>24.44</v>
      </c>
      <c r="AS116" s="21">
        <v>28.49</v>
      </c>
      <c r="AT116" s="21">
        <v>30.19</v>
      </c>
      <c r="AU116" s="21">
        <v>30.19</v>
      </c>
      <c r="AV116" s="21">
        <v>30.67</v>
      </c>
      <c r="AW116" s="21">
        <v>16.809999999999999</v>
      </c>
      <c r="AX116" s="21">
        <v>13.39</v>
      </c>
      <c r="AY116" s="21">
        <v>16.739999999999998</v>
      </c>
      <c r="AZ116" s="21">
        <v>24.33</v>
      </c>
      <c r="BA116" s="21">
        <v>22.74</v>
      </c>
      <c r="BB116" s="21">
        <v>15.37</v>
      </c>
      <c r="BC116" s="21">
        <v>23.05</v>
      </c>
    </row>
    <row r="117" spans="1:55" x14ac:dyDescent="0.2">
      <c r="A117" s="21" t="s">
        <v>1413</v>
      </c>
      <c r="B117" s="21" t="s">
        <v>1414</v>
      </c>
      <c r="C117" s="21" t="s">
        <v>601</v>
      </c>
      <c r="D117" s="21">
        <v>458.7</v>
      </c>
      <c r="E117" s="21">
        <v>469.3</v>
      </c>
      <c r="F117" s="21">
        <v>431.6</v>
      </c>
      <c r="G117" s="21">
        <v>425.5</v>
      </c>
      <c r="H117" s="21">
        <v>537.9</v>
      </c>
      <c r="I117" s="21">
        <v>504</v>
      </c>
      <c r="J117" s="21">
        <v>613.20000000000005</v>
      </c>
      <c r="K117" s="21">
        <v>632.6</v>
      </c>
      <c r="L117" s="21">
        <v>617.29999999999995</v>
      </c>
      <c r="M117" s="21">
        <v>738.6</v>
      </c>
      <c r="N117" s="21">
        <v>886.7</v>
      </c>
      <c r="O117" s="21">
        <v>899.1</v>
      </c>
      <c r="P117" s="21">
        <v>995.4</v>
      </c>
      <c r="Q117" s="21">
        <v>652.29999999999995</v>
      </c>
      <c r="R117" s="21">
        <v>1315.1</v>
      </c>
      <c r="S117" s="21">
        <v>1252.3</v>
      </c>
      <c r="T117" s="21">
        <v>773</v>
      </c>
      <c r="U117" s="21">
        <v>765</v>
      </c>
      <c r="V117" s="21">
        <v>905.6</v>
      </c>
      <c r="W117" s="21">
        <v>725.6</v>
      </c>
      <c r="X117" s="21">
        <v>476.9</v>
      </c>
      <c r="Y117" s="21">
        <v>512.70000000000005</v>
      </c>
      <c r="Z117" s="21">
        <v>413.3</v>
      </c>
      <c r="AA117" s="21">
        <v>445.1</v>
      </c>
      <c r="AB117" s="21">
        <v>392.7</v>
      </c>
      <c r="AC117" s="21">
        <v>426.2</v>
      </c>
      <c r="AD117" s="21">
        <v>562.1</v>
      </c>
      <c r="AE117" s="21">
        <v>584.20000000000005</v>
      </c>
      <c r="AF117" s="21">
        <v>568.9</v>
      </c>
      <c r="AG117" s="21">
        <v>636.9</v>
      </c>
      <c r="AH117" s="21">
        <v>863.7</v>
      </c>
      <c r="AI117" s="21">
        <v>837.4</v>
      </c>
      <c r="AJ117" s="21">
        <v>494.9</v>
      </c>
      <c r="AK117" s="21">
        <v>691.3</v>
      </c>
      <c r="AL117" s="21">
        <v>960.7</v>
      </c>
      <c r="AM117" s="21">
        <v>1236.8</v>
      </c>
      <c r="AN117" s="21">
        <v>1233.4000000000001</v>
      </c>
      <c r="AO117" s="21">
        <v>934.1</v>
      </c>
      <c r="AP117" s="21">
        <v>544.1</v>
      </c>
      <c r="AQ117" s="21">
        <v>609.1</v>
      </c>
      <c r="AR117" s="21">
        <v>711.2</v>
      </c>
      <c r="AS117" s="21">
        <v>527.79999999999995</v>
      </c>
      <c r="AT117" s="21">
        <v>233.6</v>
      </c>
      <c r="AU117" s="21">
        <v>249.3</v>
      </c>
      <c r="AV117" s="21">
        <v>421.7</v>
      </c>
      <c r="AW117" s="21">
        <v>170.1</v>
      </c>
      <c r="AX117" s="21">
        <v>182.8</v>
      </c>
      <c r="AY117" s="21">
        <v>140.9</v>
      </c>
      <c r="AZ117" s="21">
        <v>200.6</v>
      </c>
      <c r="BA117" s="21">
        <v>244.6</v>
      </c>
      <c r="BB117" s="21">
        <v>166.6</v>
      </c>
      <c r="BC117" s="21">
        <v>216.8</v>
      </c>
    </row>
    <row r="118" spans="1:55" x14ac:dyDescent="0.2">
      <c r="A118" s="21" t="s">
        <v>1413</v>
      </c>
      <c r="B118" s="21" t="s">
        <v>1414</v>
      </c>
      <c r="C118" s="21" t="s">
        <v>605</v>
      </c>
      <c r="D118" s="21">
        <v>1.19</v>
      </c>
      <c r="E118" s="21">
        <v>1.26</v>
      </c>
      <c r="F118" s="21">
        <v>1.24</v>
      </c>
      <c r="G118" s="21">
        <v>1.43</v>
      </c>
      <c r="H118" s="21">
        <v>2.54</v>
      </c>
      <c r="I118" s="21">
        <v>2.73</v>
      </c>
      <c r="J118" s="21">
        <v>2.98</v>
      </c>
      <c r="K118" s="21">
        <v>3.32</v>
      </c>
      <c r="L118" s="21">
        <v>3.5</v>
      </c>
      <c r="M118" s="21">
        <v>4.79</v>
      </c>
      <c r="N118" s="21">
        <v>6.97</v>
      </c>
      <c r="O118" s="21">
        <v>8.3699999999999992</v>
      </c>
      <c r="P118" s="21">
        <v>8.49</v>
      </c>
      <c r="Q118" s="21">
        <v>7.23</v>
      </c>
      <c r="R118" s="21">
        <v>7.98</v>
      </c>
      <c r="S118" s="21">
        <v>7.74</v>
      </c>
      <c r="T118" s="21">
        <v>5.83</v>
      </c>
      <c r="U118" s="21">
        <v>5.85</v>
      </c>
      <c r="V118" s="21">
        <v>5.99</v>
      </c>
      <c r="W118" s="21">
        <v>6</v>
      </c>
      <c r="X118" s="21">
        <v>7.32</v>
      </c>
      <c r="Y118" s="21">
        <v>6.88</v>
      </c>
      <c r="Z118" s="21">
        <v>6.15</v>
      </c>
      <c r="AA118" s="21">
        <v>5.72</v>
      </c>
      <c r="AB118" s="21">
        <v>5.85</v>
      </c>
      <c r="AC118" s="21">
        <v>5.54</v>
      </c>
      <c r="AD118" s="21">
        <v>6.24</v>
      </c>
      <c r="AE118" s="21">
        <v>6.11</v>
      </c>
      <c r="AF118" s="21">
        <v>4.9800000000000004</v>
      </c>
      <c r="AG118" s="21">
        <v>5.55</v>
      </c>
      <c r="AH118" s="21">
        <v>8.94</v>
      </c>
      <c r="AI118" s="21">
        <v>8.34</v>
      </c>
      <c r="AJ118" s="21">
        <v>7.88</v>
      </c>
      <c r="AK118" s="21">
        <v>9.32</v>
      </c>
      <c r="AL118" s="21">
        <v>11.16</v>
      </c>
      <c r="AM118" s="21">
        <v>14.44</v>
      </c>
      <c r="AN118" s="21">
        <v>17.87</v>
      </c>
      <c r="AO118" s="21">
        <v>20.420000000000002</v>
      </c>
      <c r="AP118" s="21">
        <v>25.05</v>
      </c>
      <c r="AQ118" s="21">
        <v>21.18</v>
      </c>
      <c r="AR118" s="21">
        <v>23.49</v>
      </c>
      <c r="AS118" s="21">
        <v>27.98</v>
      </c>
      <c r="AT118" s="21">
        <v>29.41</v>
      </c>
      <c r="AU118" s="21">
        <v>29.58</v>
      </c>
      <c r="AV118" s="21">
        <v>29.83</v>
      </c>
      <c r="AW118" s="21">
        <v>16.579999999999998</v>
      </c>
      <c r="AX118" s="21">
        <v>13.21</v>
      </c>
      <c r="AY118" s="21">
        <v>16.59</v>
      </c>
      <c r="AZ118" s="21">
        <v>23.51</v>
      </c>
      <c r="BA118" s="21">
        <v>22.22</v>
      </c>
      <c r="BB118" s="21">
        <v>14.89</v>
      </c>
      <c r="BC118" s="21">
        <v>22.39</v>
      </c>
    </row>
    <row r="119" spans="1:55" x14ac:dyDescent="0.2">
      <c r="A119" s="21" t="s">
        <v>1413</v>
      </c>
      <c r="B119" s="21" t="s">
        <v>1414</v>
      </c>
      <c r="C119" s="21" t="s">
        <v>608</v>
      </c>
      <c r="D119" s="21">
        <v>647.79999999999995</v>
      </c>
      <c r="E119" s="21">
        <v>647.4</v>
      </c>
      <c r="F119" s="21">
        <v>605.70000000000005</v>
      </c>
      <c r="G119" s="21">
        <v>638</v>
      </c>
      <c r="H119" s="21">
        <v>927.1</v>
      </c>
      <c r="I119" s="21">
        <v>896.8</v>
      </c>
      <c r="J119" s="21">
        <v>1047.5</v>
      </c>
      <c r="K119" s="21">
        <v>1203.9000000000001</v>
      </c>
      <c r="L119" s="21">
        <v>1269.8</v>
      </c>
      <c r="M119" s="21">
        <v>1860.9</v>
      </c>
      <c r="N119" s="21">
        <v>2291.4</v>
      </c>
      <c r="O119" s="21">
        <v>2197</v>
      </c>
      <c r="P119" s="21">
        <v>2261.5</v>
      </c>
      <c r="Q119" s="21">
        <v>1899.7</v>
      </c>
      <c r="R119" s="21">
        <v>1909</v>
      </c>
      <c r="S119" s="21">
        <v>1824.8</v>
      </c>
      <c r="T119" s="21">
        <v>1186.2</v>
      </c>
      <c r="U119" s="21">
        <v>1145.7</v>
      </c>
      <c r="V119" s="21">
        <v>1194.8</v>
      </c>
      <c r="W119" s="21">
        <v>1046.5999999999999</v>
      </c>
      <c r="X119" s="21">
        <v>644.5</v>
      </c>
      <c r="Y119" s="21">
        <v>658.7</v>
      </c>
      <c r="Z119" s="21">
        <v>528.5</v>
      </c>
      <c r="AA119" s="21">
        <v>587.29999999999995</v>
      </c>
      <c r="AB119" s="21">
        <v>592.79999999999995</v>
      </c>
      <c r="AC119" s="21">
        <v>619</v>
      </c>
      <c r="AD119" s="21">
        <v>799.5</v>
      </c>
      <c r="AE119" s="21">
        <v>832.8</v>
      </c>
      <c r="AF119" s="21">
        <v>804.9</v>
      </c>
      <c r="AG119" s="21">
        <v>838</v>
      </c>
      <c r="AH119" s="21">
        <v>1249.8</v>
      </c>
      <c r="AI119" s="21">
        <v>1248.8</v>
      </c>
      <c r="AJ119" s="21">
        <v>706.8</v>
      </c>
      <c r="AK119" s="21">
        <v>1053.2</v>
      </c>
      <c r="AL119" s="21">
        <v>1489.2</v>
      </c>
      <c r="AM119" s="21">
        <v>2085.6999999999998</v>
      </c>
      <c r="AN119" s="21">
        <v>1985.8</v>
      </c>
      <c r="AO119" s="21">
        <v>1358.5</v>
      </c>
      <c r="AP119" s="21">
        <v>739.8</v>
      </c>
      <c r="AQ119" s="21">
        <v>769.1</v>
      </c>
      <c r="AR119" s="21">
        <v>968.7</v>
      </c>
      <c r="AS119" s="21">
        <v>708.9</v>
      </c>
      <c r="AT119" s="21">
        <v>322</v>
      </c>
      <c r="AU119" s="21">
        <v>318.2</v>
      </c>
      <c r="AV119" s="21">
        <v>555.5</v>
      </c>
      <c r="AW119" s="21">
        <v>219.2</v>
      </c>
      <c r="AX119" s="21">
        <v>237.6</v>
      </c>
      <c r="AY119" s="21">
        <v>177.8</v>
      </c>
      <c r="AZ119" s="21">
        <v>263.39999999999998</v>
      </c>
      <c r="BA119" s="21">
        <v>311.39999999999998</v>
      </c>
      <c r="BB119" s="21">
        <v>231.6</v>
      </c>
      <c r="BC119" s="21">
        <v>275.39999999999998</v>
      </c>
    </row>
    <row r="120" spans="1:55" x14ac:dyDescent="0.2">
      <c r="A120" s="21" t="s">
        <v>1413</v>
      </c>
      <c r="B120" s="21" t="s">
        <v>1414</v>
      </c>
      <c r="C120" s="21" t="s">
        <v>612</v>
      </c>
      <c r="D120" s="21">
        <v>1.19</v>
      </c>
      <c r="E120" s="21">
        <v>1.26</v>
      </c>
      <c r="F120" s="21">
        <v>1.24</v>
      </c>
      <c r="G120" s="21">
        <v>1.43</v>
      </c>
      <c r="H120" s="21">
        <v>2.54</v>
      </c>
      <c r="I120" s="21">
        <v>2.73</v>
      </c>
      <c r="J120" s="21">
        <v>2.98</v>
      </c>
      <c r="K120" s="21">
        <v>3.32</v>
      </c>
      <c r="L120" s="21">
        <v>3.5</v>
      </c>
      <c r="M120" s="21">
        <v>4.79</v>
      </c>
      <c r="N120" s="21">
        <v>6.97</v>
      </c>
      <c r="O120" s="21">
        <v>8.3699999999999992</v>
      </c>
      <c r="P120" s="21">
        <v>8.49</v>
      </c>
      <c r="Q120" s="21">
        <v>7.23</v>
      </c>
      <c r="R120" s="21">
        <v>7.98</v>
      </c>
      <c r="S120" s="21">
        <v>7.74</v>
      </c>
      <c r="T120" s="21">
        <v>5.83</v>
      </c>
      <c r="U120" s="21">
        <v>5.85</v>
      </c>
      <c r="V120" s="21">
        <v>5.99</v>
      </c>
      <c r="W120" s="21">
        <v>6</v>
      </c>
      <c r="X120" s="21">
        <v>7.32</v>
      </c>
      <c r="Y120" s="21">
        <v>6.88</v>
      </c>
      <c r="Z120" s="21">
        <v>6.15</v>
      </c>
      <c r="AA120" s="21">
        <v>5.72</v>
      </c>
      <c r="AB120" s="21">
        <v>5.85</v>
      </c>
      <c r="AC120" s="21">
        <v>5.54</v>
      </c>
      <c r="AD120" s="21">
        <v>6.24</v>
      </c>
      <c r="AE120" s="21">
        <v>6.11</v>
      </c>
      <c r="AF120" s="21">
        <v>4.9800000000000004</v>
      </c>
      <c r="AG120" s="21">
        <v>5.55</v>
      </c>
      <c r="AH120" s="21">
        <v>8.94</v>
      </c>
      <c r="AI120" s="21">
        <v>8.34</v>
      </c>
      <c r="AJ120" s="21">
        <v>7.88</v>
      </c>
      <c r="AK120" s="21">
        <v>9.32</v>
      </c>
      <c r="AL120" s="21">
        <v>11.16</v>
      </c>
      <c r="AM120" s="21">
        <v>14.44</v>
      </c>
      <c r="AN120" s="21">
        <v>17.87</v>
      </c>
      <c r="AO120" s="21">
        <v>20.420000000000002</v>
      </c>
      <c r="AP120" s="21">
        <v>25.05</v>
      </c>
      <c r="AQ120" s="21">
        <v>21.18</v>
      </c>
      <c r="AR120" s="21">
        <v>23.49</v>
      </c>
      <c r="AS120" s="21">
        <v>27.98</v>
      </c>
      <c r="AT120" s="21">
        <v>29.41</v>
      </c>
      <c r="AU120" s="21">
        <v>29.58</v>
      </c>
      <c r="AV120" s="21">
        <v>29.83</v>
      </c>
      <c r="AW120" s="21">
        <v>16.579999999999998</v>
      </c>
      <c r="AX120" s="21">
        <v>13.21</v>
      </c>
      <c r="AY120" s="21">
        <v>16.59</v>
      </c>
      <c r="AZ120" s="21">
        <v>23.51</v>
      </c>
      <c r="BA120" s="21">
        <v>22.22</v>
      </c>
      <c r="BB120" s="21">
        <v>14.89</v>
      </c>
      <c r="BC120" s="21">
        <v>22.39</v>
      </c>
    </row>
    <row r="121" spans="1:55" x14ac:dyDescent="0.2">
      <c r="A121" s="21" t="s">
        <v>1413</v>
      </c>
      <c r="B121" s="21" t="s">
        <v>1414</v>
      </c>
      <c r="C121" s="21" t="s">
        <v>615</v>
      </c>
      <c r="D121" s="21">
        <v>647.79999999999995</v>
      </c>
      <c r="E121" s="21">
        <v>647.4</v>
      </c>
      <c r="F121" s="21">
        <v>605.70000000000005</v>
      </c>
      <c r="G121" s="21">
        <v>638</v>
      </c>
      <c r="H121" s="21">
        <v>927.1</v>
      </c>
      <c r="I121" s="21">
        <v>896.8</v>
      </c>
      <c r="J121" s="21">
        <v>1047.5</v>
      </c>
      <c r="K121" s="21">
        <v>1203.9000000000001</v>
      </c>
      <c r="L121" s="21">
        <v>1269.8</v>
      </c>
      <c r="M121" s="21">
        <v>1860.9</v>
      </c>
      <c r="N121" s="21">
        <v>2291.4</v>
      </c>
      <c r="O121" s="21">
        <v>2197</v>
      </c>
      <c r="P121" s="21">
        <v>2261.5</v>
      </c>
      <c r="Q121" s="21">
        <v>1899.7</v>
      </c>
      <c r="R121" s="21">
        <v>1909</v>
      </c>
      <c r="S121" s="21">
        <v>1824.8</v>
      </c>
      <c r="T121" s="21">
        <v>1186.2</v>
      </c>
      <c r="U121" s="21">
        <v>1145.7</v>
      </c>
      <c r="V121" s="21">
        <v>1194.8</v>
      </c>
      <c r="W121" s="21">
        <v>1046.5999999999999</v>
      </c>
      <c r="X121" s="21">
        <v>644.5</v>
      </c>
      <c r="Y121" s="21">
        <v>658.7</v>
      </c>
      <c r="Z121" s="21">
        <v>528.5</v>
      </c>
      <c r="AA121" s="21">
        <v>587.29999999999995</v>
      </c>
      <c r="AB121" s="21">
        <v>592.79999999999995</v>
      </c>
      <c r="AC121" s="21">
        <v>619</v>
      </c>
      <c r="AD121" s="21">
        <v>799.5</v>
      </c>
      <c r="AE121" s="21">
        <v>832.8</v>
      </c>
      <c r="AF121" s="21">
        <v>804.9</v>
      </c>
      <c r="AG121" s="21">
        <v>838</v>
      </c>
      <c r="AH121" s="21">
        <v>1249.8</v>
      </c>
      <c r="AI121" s="21">
        <v>1248.8</v>
      </c>
      <c r="AJ121" s="21">
        <v>706.8</v>
      </c>
      <c r="AK121" s="21">
        <v>1053.2</v>
      </c>
      <c r="AL121" s="21">
        <v>1489.2</v>
      </c>
      <c r="AM121" s="21">
        <v>2085.6999999999998</v>
      </c>
      <c r="AN121" s="21">
        <v>1985.8</v>
      </c>
      <c r="AO121" s="21">
        <v>1358.5</v>
      </c>
      <c r="AP121" s="21">
        <v>739.8</v>
      </c>
      <c r="AQ121" s="21">
        <v>769.1</v>
      </c>
      <c r="AR121" s="21">
        <v>968.7</v>
      </c>
      <c r="AS121" s="21">
        <v>708.9</v>
      </c>
      <c r="AT121" s="21">
        <v>322</v>
      </c>
      <c r="AU121" s="21">
        <v>318.2</v>
      </c>
      <c r="AV121" s="21">
        <v>555.5</v>
      </c>
      <c r="AW121" s="21">
        <v>219.2</v>
      </c>
      <c r="AX121" s="21">
        <v>237.6</v>
      </c>
      <c r="AY121" s="21">
        <v>177.8</v>
      </c>
      <c r="AZ121" s="21">
        <v>263.39999999999998</v>
      </c>
      <c r="BA121" s="21">
        <v>311.39999999999998</v>
      </c>
      <c r="BB121" s="21">
        <v>231.6</v>
      </c>
      <c r="BC121" s="21">
        <v>275.39999999999998</v>
      </c>
    </row>
    <row r="122" spans="1:55" x14ac:dyDescent="0.2">
      <c r="A122" s="21" t="s">
        <v>1413</v>
      </c>
      <c r="B122" s="21" t="s">
        <v>1414</v>
      </c>
      <c r="C122" s="21" t="s">
        <v>631</v>
      </c>
      <c r="D122" s="21">
        <v>5.08</v>
      </c>
      <c r="E122" s="21">
        <v>5.27</v>
      </c>
      <c r="F122" s="21">
        <v>5.58</v>
      </c>
      <c r="G122" s="21">
        <v>5.33</v>
      </c>
      <c r="H122" s="21">
        <v>7.22</v>
      </c>
      <c r="I122" s="21">
        <v>7.48</v>
      </c>
      <c r="J122" s="21">
        <v>7.05</v>
      </c>
      <c r="K122" s="21">
        <v>6.97</v>
      </c>
      <c r="L122" s="21">
        <v>7.6</v>
      </c>
      <c r="M122" s="21">
        <v>10.210000000000001</v>
      </c>
      <c r="N122" s="21">
        <v>14.36</v>
      </c>
      <c r="O122" s="21">
        <v>18</v>
      </c>
      <c r="P122" s="21">
        <v>17.25</v>
      </c>
      <c r="Q122" s="21">
        <v>17.420000000000002</v>
      </c>
      <c r="R122" s="21">
        <v>18.14</v>
      </c>
      <c r="S122" s="21">
        <v>18.18</v>
      </c>
      <c r="T122" s="21">
        <v>18.02</v>
      </c>
      <c r="U122" s="21">
        <v>17.04</v>
      </c>
      <c r="V122" s="21">
        <v>18.18</v>
      </c>
      <c r="W122" s="21">
        <v>18.899999999999999</v>
      </c>
      <c r="X122" s="21">
        <v>20.61</v>
      </c>
      <c r="Y122" s="21">
        <v>22.58</v>
      </c>
      <c r="Z122" s="21">
        <v>22.49</v>
      </c>
      <c r="AA122" s="21">
        <v>22.37</v>
      </c>
      <c r="AB122" s="21">
        <v>21.71</v>
      </c>
      <c r="AC122" s="21">
        <v>21.75</v>
      </c>
      <c r="AD122" s="21">
        <v>21.63</v>
      </c>
      <c r="AE122" s="21">
        <v>21.82</v>
      </c>
      <c r="AF122" s="21">
        <v>21.44</v>
      </c>
      <c r="AG122" s="21">
        <v>23.04</v>
      </c>
      <c r="AH122" s="21">
        <v>23.2</v>
      </c>
      <c r="AI122" s="21">
        <v>24.51</v>
      </c>
      <c r="AJ122" s="21">
        <v>26.7</v>
      </c>
      <c r="AK122" s="21">
        <v>28.94</v>
      </c>
      <c r="AL122" s="21">
        <v>30.11</v>
      </c>
      <c r="AM122" s="21">
        <v>35.22</v>
      </c>
      <c r="AN122" s="21">
        <v>43.88</v>
      </c>
      <c r="AO122" s="21">
        <v>47.16</v>
      </c>
      <c r="AP122" s="21">
        <v>55.12</v>
      </c>
      <c r="AQ122" s="21">
        <v>56.07</v>
      </c>
      <c r="AR122" s="21">
        <v>58.8</v>
      </c>
      <c r="AS122" s="21">
        <v>69.540000000000006</v>
      </c>
      <c r="AT122" s="21">
        <v>72.11</v>
      </c>
      <c r="AU122" s="21">
        <v>69.42</v>
      </c>
      <c r="AV122" s="21">
        <v>69.44</v>
      </c>
      <c r="AW122" s="21">
        <v>67.28</v>
      </c>
      <c r="AX122" s="21">
        <v>65.78</v>
      </c>
      <c r="AY122" s="21">
        <v>67.25</v>
      </c>
      <c r="AZ122" s="21">
        <v>72.37</v>
      </c>
      <c r="BA122" s="21">
        <v>74.92</v>
      </c>
      <c r="BB122" s="21">
        <v>75.34</v>
      </c>
      <c r="BC122" s="21">
        <v>81.25</v>
      </c>
    </row>
    <row r="123" spans="1:55" x14ac:dyDescent="0.2">
      <c r="A123" s="21" t="s">
        <v>1413</v>
      </c>
      <c r="B123" s="21" t="s">
        <v>1414</v>
      </c>
      <c r="C123" s="21" t="s">
        <v>634</v>
      </c>
      <c r="D123" s="21">
        <v>745.4</v>
      </c>
      <c r="E123" s="21">
        <v>776.1</v>
      </c>
      <c r="F123" s="21">
        <v>879.8</v>
      </c>
      <c r="G123" s="21">
        <v>870.2</v>
      </c>
      <c r="H123" s="21">
        <v>1130.3</v>
      </c>
      <c r="I123" s="21">
        <v>1158.4000000000001</v>
      </c>
      <c r="J123" s="21">
        <v>1212.0999999999999</v>
      </c>
      <c r="K123" s="21">
        <v>1197.9000000000001</v>
      </c>
      <c r="L123" s="21">
        <v>1401.9</v>
      </c>
      <c r="M123" s="21">
        <v>1970.2</v>
      </c>
      <c r="N123" s="21">
        <v>2468</v>
      </c>
      <c r="O123" s="21">
        <v>2967.6</v>
      </c>
      <c r="P123" s="21">
        <v>2592.8000000000002</v>
      </c>
      <c r="Q123" s="21">
        <v>2741.8</v>
      </c>
      <c r="R123" s="21">
        <v>3045.3</v>
      </c>
      <c r="S123" s="21">
        <v>2843.5</v>
      </c>
      <c r="T123" s="21">
        <v>2756.6</v>
      </c>
      <c r="U123" s="21">
        <v>2946.5</v>
      </c>
      <c r="V123" s="21">
        <v>3031.2</v>
      </c>
      <c r="W123" s="21">
        <v>3233</v>
      </c>
      <c r="X123" s="21">
        <v>3627.5</v>
      </c>
      <c r="Y123" s="21">
        <v>3554.8</v>
      </c>
      <c r="Z123" s="21">
        <v>3610.4</v>
      </c>
      <c r="AA123" s="21">
        <v>3656.6</v>
      </c>
      <c r="AB123" s="21">
        <v>3709.9</v>
      </c>
      <c r="AC123" s="21">
        <v>3652</v>
      </c>
      <c r="AD123" s="21">
        <v>3524.5</v>
      </c>
      <c r="AE123" s="21">
        <v>3755.9</v>
      </c>
      <c r="AF123" s="21">
        <v>3863.5</v>
      </c>
      <c r="AG123" s="21">
        <v>4196</v>
      </c>
      <c r="AH123" s="21">
        <v>4161</v>
      </c>
      <c r="AI123" s="21">
        <v>4027.8</v>
      </c>
      <c r="AJ123" s="21">
        <v>4335.8</v>
      </c>
      <c r="AK123" s="21">
        <v>4345.1000000000004</v>
      </c>
      <c r="AL123" s="21">
        <v>4580.3999999999996</v>
      </c>
      <c r="AM123" s="21">
        <v>5329</v>
      </c>
      <c r="AN123" s="21">
        <v>6468.3</v>
      </c>
      <c r="AO123" s="21">
        <v>7178.5</v>
      </c>
      <c r="AP123" s="21">
        <v>7790.5</v>
      </c>
      <c r="AQ123" s="21">
        <v>7124.8</v>
      </c>
      <c r="AR123" s="21">
        <v>9100.2999999999993</v>
      </c>
      <c r="AS123" s="21">
        <v>10318.200000000001</v>
      </c>
      <c r="AT123" s="21">
        <v>9764.7000000000007</v>
      </c>
      <c r="AU123" s="21">
        <v>9952.2999999999993</v>
      </c>
      <c r="AV123" s="21">
        <v>10371.4</v>
      </c>
      <c r="AW123" s="21">
        <v>10954.5</v>
      </c>
      <c r="AX123" s="21">
        <v>10153.700000000001</v>
      </c>
      <c r="AY123" s="21">
        <v>9548.2000000000007</v>
      </c>
      <c r="AZ123" s="21">
        <v>9913.9</v>
      </c>
      <c r="BA123" s="21">
        <v>9839.6</v>
      </c>
      <c r="BB123" s="21">
        <v>8710.2000000000007</v>
      </c>
      <c r="BC123" s="21">
        <v>9672.2000000000007</v>
      </c>
    </row>
    <row r="124" spans="1:55" x14ac:dyDescent="0.2">
      <c r="A124" s="21" t="s">
        <v>1413</v>
      </c>
      <c r="B124" s="21" t="s">
        <v>1414</v>
      </c>
      <c r="C124" s="21" t="s">
        <v>638</v>
      </c>
      <c r="D124" s="21">
        <v>5.08</v>
      </c>
      <c r="E124" s="21">
        <v>5.27</v>
      </c>
      <c r="F124" s="21">
        <v>5.58</v>
      </c>
      <c r="G124" s="21">
        <v>5.33</v>
      </c>
      <c r="H124" s="21">
        <v>7.22</v>
      </c>
      <c r="I124" s="21">
        <v>7.48</v>
      </c>
      <c r="J124" s="21">
        <v>7.05</v>
      </c>
      <c r="K124" s="21">
        <v>6.97</v>
      </c>
      <c r="L124" s="21">
        <v>7.6</v>
      </c>
      <c r="M124" s="21">
        <v>10.210000000000001</v>
      </c>
      <c r="N124" s="21">
        <v>14.36</v>
      </c>
      <c r="O124" s="21">
        <v>18</v>
      </c>
      <c r="P124" s="21">
        <v>17.25</v>
      </c>
      <c r="Q124" s="21">
        <v>17.420000000000002</v>
      </c>
      <c r="R124" s="21">
        <v>18.14</v>
      </c>
      <c r="S124" s="21">
        <v>18.18</v>
      </c>
      <c r="T124" s="21">
        <v>18.02</v>
      </c>
      <c r="U124" s="21">
        <v>17.04</v>
      </c>
      <c r="V124" s="21">
        <v>18.18</v>
      </c>
      <c r="W124" s="21">
        <v>18.899999999999999</v>
      </c>
      <c r="X124" s="21">
        <v>20.61</v>
      </c>
      <c r="Y124" s="21">
        <v>22.58</v>
      </c>
      <c r="Z124" s="21">
        <v>22.49</v>
      </c>
      <c r="AA124" s="21">
        <v>22.37</v>
      </c>
      <c r="AB124" s="21">
        <v>21.71</v>
      </c>
      <c r="AC124" s="21">
        <v>21.75</v>
      </c>
      <c r="AD124" s="21">
        <v>21.63</v>
      </c>
      <c r="AE124" s="21">
        <v>21.82</v>
      </c>
      <c r="AF124" s="21">
        <v>21.44</v>
      </c>
      <c r="AG124" s="21">
        <v>23.04</v>
      </c>
      <c r="AH124" s="21">
        <v>23.2</v>
      </c>
      <c r="AI124" s="21">
        <v>24.51</v>
      </c>
      <c r="AJ124" s="21">
        <v>26.7</v>
      </c>
      <c r="AK124" s="21">
        <v>28.94</v>
      </c>
      <c r="AL124" s="21">
        <v>30.11</v>
      </c>
      <c r="AM124" s="21">
        <v>35.22</v>
      </c>
      <c r="AN124" s="21">
        <v>43.88</v>
      </c>
      <c r="AO124" s="21">
        <v>47.16</v>
      </c>
      <c r="AP124" s="21">
        <v>55.12</v>
      </c>
      <c r="AQ124" s="21">
        <v>56.07</v>
      </c>
      <c r="AR124" s="21">
        <v>58.8</v>
      </c>
      <c r="AS124" s="21">
        <v>69.540000000000006</v>
      </c>
      <c r="AT124" s="21">
        <v>72.11</v>
      </c>
      <c r="AU124" s="21">
        <v>69.42</v>
      </c>
      <c r="AV124" s="21">
        <v>69.44</v>
      </c>
      <c r="AW124" s="21">
        <v>67.28</v>
      </c>
      <c r="AX124" s="21">
        <v>65.78</v>
      </c>
      <c r="AY124" s="21">
        <v>67.25</v>
      </c>
      <c r="AZ124" s="21">
        <v>72.37</v>
      </c>
      <c r="BA124" s="21">
        <v>74.92</v>
      </c>
      <c r="BB124" s="21">
        <v>75.34</v>
      </c>
      <c r="BC124" s="21">
        <v>81.25</v>
      </c>
    </row>
    <row r="125" spans="1:55" x14ac:dyDescent="0.2">
      <c r="A125" s="21" t="s">
        <v>1413</v>
      </c>
      <c r="B125" s="21" t="s">
        <v>1414</v>
      </c>
      <c r="C125" s="21" t="s">
        <v>641</v>
      </c>
      <c r="D125" s="21">
        <v>786.5</v>
      </c>
      <c r="E125" s="21">
        <v>800.9</v>
      </c>
      <c r="F125" s="21">
        <v>907.9</v>
      </c>
      <c r="G125" s="21">
        <v>1041.0999999999999</v>
      </c>
      <c r="H125" s="21">
        <v>1352.4</v>
      </c>
      <c r="I125" s="21">
        <v>1118.9000000000001</v>
      </c>
      <c r="J125" s="21">
        <v>1170.8</v>
      </c>
      <c r="K125" s="21">
        <v>1268.3</v>
      </c>
      <c r="L125" s="21">
        <v>1484.3</v>
      </c>
      <c r="M125" s="21">
        <v>2086</v>
      </c>
      <c r="N125" s="21">
        <v>2613.1</v>
      </c>
      <c r="O125" s="21">
        <v>3142</v>
      </c>
      <c r="P125" s="21">
        <v>2745.2</v>
      </c>
      <c r="Q125" s="21">
        <v>2902.9</v>
      </c>
      <c r="R125" s="21">
        <v>3224.3</v>
      </c>
      <c r="S125" s="21">
        <v>3010.6</v>
      </c>
      <c r="T125" s="21">
        <v>2918.6</v>
      </c>
      <c r="U125" s="21">
        <v>3119.6</v>
      </c>
      <c r="V125" s="21">
        <v>3209.4</v>
      </c>
      <c r="W125" s="21">
        <v>3423</v>
      </c>
      <c r="X125" s="21">
        <v>3840.7</v>
      </c>
      <c r="Y125" s="21">
        <v>3763.7</v>
      </c>
      <c r="Z125" s="21">
        <v>3822.6</v>
      </c>
      <c r="AA125" s="21">
        <v>3871.5</v>
      </c>
      <c r="AB125" s="21">
        <v>3927.9</v>
      </c>
      <c r="AC125" s="21">
        <v>3866.6</v>
      </c>
      <c r="AD125" s="21">
        <v>3731.7</v>
      </c>
      <c r="AE125" s="21">
        <v>3976.7</v>
      </c>
      <c r="AF125" s="21">
        <v>4090.6</v>
      </c>
      <c r="AG125" s="21">
        <v>4442.6000000000004</v>
      </c>
      <c r="AH125" s="21">
        <v>4405.5</v>
      </c>
      <c r="AI125" s="21">
        <v>4264.5</v>
      </c>
      <c r="AJ125" s="21">
        <v>4590.6000000000004</v>
      </c>
      <c r="AK125" s="21">
        <v>4600.5</v>
      </c>
      <c r="AL125" s="21">
        <v>4849.5</v>
      </c>
      <c r="AM125" s="21">
        <v>5642.1</v>
      </c>
      <c r="AN125" s="21">
        <v>6848.4</v>
      </c>
      <c r="AO125" s="21">
        <v>7600.3</v>
      </c>
      <c r="AP125" s="21">
        <v>8248.4</v>
      </c>
      <c r="AQ125" s="21">
        <v>7543.5</v>
      </c>
      <c r="AR125" s="21">
        <v>7989.4</v>
      </c>
      <c r="AS125" s="21">
        <v>8859.5</v>
      </c>
      <c r="AT125" s="21">
        <v>8531.9</v>
      </c>
      <c r="AU125" s="21">
        <v>8683.9</v>
      </c>
      <c r="AV125" s="21">
        <v>9073</v>
      </c>
      <c r="AW125" s="21">
        <v>9563.2999999999993</v>
      </c>
      <c r="AX125" s="21">
        <v>8890.4</v>
      </c>
      <c r="AY125" s="21">
        <v>8399</v>
      </c>
      <c r="AZ125" s="21">
        <v>8828.4</v>
      </c>
      <c r="BA125" s="21">
        <v>8864.5</v>
      </c>
      <c r="BB125" s="21">
        <v>8369.2000000000007</v>
      </c>
      <c r="BC125" s="21">
        <v>9221.6</v>
      </c>
    </row>
    <row r="126" spans="1:55" x14ac:dyDescent="0.2">
      <c r="A126" s="21" t="s">
        <v>1413</v>
      </c>
      <c r="B126" s="21" t="s">
        <v>1414</v>
      </c>
      <c r="C126" s="21" t="s">
        <v>645</v>
      </c>
      <c r="D126" s="21">
        <v>5.08</v>
      </c>
      <c r="E126" s="21">
        <v>5.27</v>
      </c>
      <c r="F126" s="21">
        <v>5.58</v>
      </c>
      <c r="G126" s="21">
        <v>5.33</v>
      </c>
      <c r="H126" s="21">
        <v>7.22</v>
      </c>
      <c r="I126" s="21">
        <v>7.48</v>
      </c>
      <c r="J126" s="21">
        <v>7.05</v>
      </c>
      <c r="K126" s="21">
        <v>6.97</v>
      </c>
      <c r="L126" s="21">
        <v>7.6</v>
      </c>
      <c r="M126" s="21">
        <v>10.210000000000001</v>
      </c>
      <c r="N126" s="21">
        <v>14.36</v>
      </c>
      <c r="O126" s="21">
        <v>18</v>
      </c>
      <c r="P126" s="21">
        <v>17.25</v>
      </c>
      <c r="Q126" s="21">
        <v>17.420000000000002</v>
      </c>
      <c r="R126" s="21">
        <v>18.14</v>
      </c>
      <c r="S126" s="21">
        <v>18.18</v>
      </c>
      <c r="T126" s="21">
        <v>18.02</v>
      </c>
      <c r="U126" s="21">
        <v>17.04</v>
      </c>
      <c r="V126" s="21">
        <v>18.18</v>
      </c>
      <c r="W126" s="21">
        <v>18.899999999999999</v>
      </c>
      <c r="X126" s="21">
        <v>20.61</v>
      </c>
      <c r="Y126" s="21">
        <v>22.58</v>
      </c>
      <c r="Z126" s="21">
        <v>22.49</v>
      </c>
      <c r="AA126" s="21">
        <v>22.37</v>
      </c>
      <c r="AB126" s="21">
        <v>21.71</v>
      </c>
      <c r="AC126" s="21">
        <v>21.75</v>
      </c>
      <c r="AD126" s="21">
        <v>21.63</v>
      </c>
      <c r="AE126" s="21">
        <v>21.82</v>
      </c>
      <c r="AF126" s="21">
        <v>21.44</v>
      </c>
      <c r="AG126" s="21">
        <v>23.04</v>
      </c>
      <c r="AH126" s="21">
        <v>23.2</v>
      </c>
      <c r="AI126" s="21">
        <v>24.51</v>
      </c>
      <c r="AJ126" s="21">
        <v>26.7</v>
      </c>
      <c r="AK126" s="21">
        <v>28.94</v>
      </c>
      <c r="AL126" s="21">
        <v>30.11</v>
      </c>
      <c r="AM126" s="21">
        <v>35.22</v>
      </c>
      <c r="AN126" s="21">
        <v>43.88</v>
      </c>
      <c r="AO126" s="21">
        <v>47.16</v>
      </c>
      <c r="AP126" s="21">
        <v>55.12</v>
      </c>
      <c r="AQ126" s="21">
        <v>56.07</v>
      </c>
      <c r="AR126" s="21">
        <v>58.8</v>
      </c>
      <c r="AS126" s="21">
        <v>69.540000000000006</v>
      </c>
      <c r="AT126" s="21">
        <v>72.11</v>
      </c>
      <c r="AU126" s="21">
        <v>69.42</v>
      </c>
      <c r="AV126" s="21">
        <v>69.44</v>
      </c>
      <c r="AW126" s="21">
        <v>67.28</v>
      </c>
      <c r="AX126" s="21">
        <v>65.78</v>
      </c>
      <c r="AY126" s="21">
        <v>67.25</v>
      </c>
      <c r="AZ126" s="21">
        <v>72.37</v>
      </c>
      <c r="BA126" s="21">
        <v>74.92</v>
      </c>
      <c r="BB126" s="21">
        <v>75.34</v>
      </c>
      <c r="BC126" s="21">
        <v>81.25</v>
      </c>
    </row>
    <row r="127" spans="1:55" x14ac:dyDescent="0.2">
      <c r="A127" s="21" t="s">
        <v>1413</v>
      </c>
      <c r="B127" s="21" t="s">
        <v>1414</v>
      </c>
      <c r="C127" s="21" t="s">
        <v>648</v>
      </c>
      <c r="D127" s="21">
        <v>1531.8</v>
      </c>
      <c r="E127" s="21">
        <v>1577</v>
      </c>
      <c r="F127" s="21">
        <v>1787.7</v>
      </c>
      <c r="G127" s="21">
        <v>1911.3</v>
      </c>
      <c r="H127" s="21">
        <v>2482.6999999999998</v>
      </c>
      <c r="I127" s="21">
        <v>2277.4</v>
      </c>
      <c r="J127" s="21">
        <v>2382.9</v>
      </c>
      <c r="K127" s="21">
        <v>2466.3000000000002</v>
      </c>
      <c r="L127" s="21">
        <v>2886.2</v>
      </c>
      <c r="M127" s="21">
        <v>4056.1</v>
      </c>
      <c r="N127" s="21">
        <v>5081.1000000000004</v>
      </c>
      <c r="O127" s="21">
        <v>6109.5</v>
      </c>
      <c r="P127" s="21">
        <v>5338</v>
      </c>
      <c r="Q127" s="21">
        <v>5644.6</v>
      </c>
      <c r="R127" s="21">
        <v>6269.6</v>
      </c>
      <c r="S127" s="21">
        <v>5854.1</v>
      </c>
      <c r="T127" s="21">
        <v>5675.2</v>
      </c>
      <c r="U127" s="21">
        <v>6066.1</v>
      </c>
      <c r="V127" s="21">
        <v>6240.6</v>
      </c>
      <c r="W127" s="21">
        <v>6656</v>
      </c>
      <c r="X127" s="21">
        <v>7468.2</v>
      </c>
      <c r="Y127" s="21">
        <v>7318.5</v>
      </c>
      <c r="Z127" s="21">
        <v>7433</v>
      </c>
      <c r="AA127" s="21">
        <v>7528.1</v>
      </c>
      <c r="AB127" s="21">
        <v>7637.8</v>
      </c>
      <c r="AC127" s="21">
        <v>7518.6</v>
      </c>
      <c r="AD127" s="21">
        <v>7256.2</v>
      </c>
      <c r="AE127" s="21">
        <v>7732.6</v>
      </c>
      <c r="AF127" s="21">
        <v>7954.1</v>
      </c>
      <c r="AG127" s="21">
        <v>8638.7000000000007</v>
      </c>
      <c r="AH127" s="21">
        <v>8566.5</v>
      </c>
      <c r="AI127" s="21">
        <v>8292.2999999999993</v>
      </c>
      <c r="AJ127" s="21">
        <v>8926.5</v>
      </c>
      <c r="AK127" s="21">
        <v>8945.6</v>
      </c>
      <c r="AL127" s="21">
        <v>9429.9</v>
      </c>
      <c r="AM127" s="21">
        <v>10971.1</v>
      </c>
      <c r="AN127" s="21">
        <v>13316.7</v>
      </c>
      <c r="AO127" s="21">
        <v>14778.8</v>
      </c>
      <c r="AP127" s="21">
        <v>16038.9</v>
      </c>
      <c r="AQ127" s="21">
        <v>14668.2</v>
      </c>
      <c r="AR127" s="21">
        <v>17089.599999999999</v>
      </c>
      <c r="AS127" s="21">
        <v>19177.7</v>
      </c>
      <c r="AT127" s="21">
        <v>18296.599999999999</v>
      </c>
      <c r="AU127" s="21">
        <v>18636.2</v>
      </c>
      <c r="AV127" s="21">
        <v>19444.400000000001</v>
      </c>
      <c r="AW127" s="21">
        <v>20517.900000000001</v>
      </c>
      <c r="AX127" s="21">
        <v>19044.099999999999</v>
      </c>
      <c r="AY127" s="21">
        <v>17947.2</v>
      </c>
      <c r="AZ127" s="21">
        <v>18742.400000000001</v>
      </c>
      <c r="BA127" s="21">
        <v>18704.099999999999</v>
      </c>
      <c r="BB127" s="21">
        <v>17079.400000000001</v>
      </c>
      <c r="BC127" s="21">
        <v>18893.7</v>
      </c>
    </row>
    <row r="128" spans="1:55" x14ac:dyDescent="0.2">
      <c r="A128" s="21" t="s">
        <v>1413</v>
      </c>
      <c r="B128" s="21" t="s">
        <v>1414</v>
      </c>
      <c r="C128" s="21" t="s">
        <v>652</v>
      </c>
      <c r="D128" s="21">
        <v>5.08</v>
      </c>
      <c r="E128" s="21">
        <v>5.27</v>
      </c>
      <c r="F128" s="21">
        <v>5.58</v>
      </c>
      <c r="G128" s="21">
        <v>5.33</v>
      </c>
      <c r="H128" s="21">
        <v>7.22</v>
      </c>
      <c r="I128" s="21">
        <v>7.48</v>
      </c>
      <c r="J128" s="21">
        <v>7.05</v>
      </c>
      <c r="K128" s="21">
        <v>6.97</v>
      </c>
      <c r="L128" s="21">
        <v>7.6</v>
      </c>
      <c r="M128" s="21">
        <v>10.210000000000001</v>
      </c>
      <c r="N128" s="21">
        <v>14.36</v>
      </c>
      <c r="O128" s="21">
        <v>18</v>
      </c>
      <c r="P128" s="21">
        <v>17.25</v>
      </c>
      <c r="Q128" s="21">
        <v>17.420000000000002</v>
      </c>
      <c r="R128" s="21">
        <v>18.14</v>
      </c>
      <c r="S128" s="21">
        <v>18.18</v>
      </c>
      <c r="T128" s="21">
        <v>18.02</v>
      </c>
      <c r="U128" s="21">
        <v>17.04</v>
      </c>
      <c r="V128" s="21">
        <v>18.18</v>
      </c>
      <c r="W128" s="21">
        <v>18.899999999999999</v>
      </c>
      <c r="X128" s="21">
        <v>20.61</v>
      </c>
      <c r="Y128" s="21">
        <v>22.58</v>
      </c>
      <c r="Z128" s="21">
        <v>22.49</v>
      </c>
      <c r="AA128" s="21">
        <v>22.37</v>
      </c>
      <c r="AB128" s="21">
        <v>21.71</v>
      </c>
      <c r="AC128" s="21">
        <v>21.75</v>
      </c>
      <c r="AD128" s="21">
        <v>21.63</v>
      </c>
      <c r="AE128" s="21">
        <v>21.82</v>
      </c>
      <c r="AF128" s="21">
        <v>21.44</v>
      </c>
      <c r="AG128" s="21">
        <v>23.04</v>
      </c>
      <c r="AH128" s="21">
        <v>23.2</v>
      </c>
      <c r="AI128" s="21">
        <v>24.51</v>
      </c>
      <c r="AJ128" s="21">
        <v>26.7</v>
      </c>
      <c r="AK128" s="21">
        <v>28.94</v>
      </c>
      <c r="AL128" s="21">
        <v>30.11</v>
      </c>
      <c r="AM128" s="21">
        <v>35.22</v>
      </c>
      <c r="AN128" s="21">
        <v>43.88</v>
      </c>
      <c r="AO128" s="21">
        <v>47.16</v>
      </c>
      <c r="AP128" s="21">
        <v>55.12</v>
      </c>
      <c r="AQ128" s="21">
        <v>56.07</v>
      </c>
      <c r="AR128" s="21">
        <v>58.8</v>
      </c>
      <c r="AS128" s="21">
        <v>69.540000000000006</v>
      </c>
      <c r="AT128" s="21">
        <v>72.11</v>
      </c>
      <c r="AU128" s="21">
        <v>69.42</v>
      </c>
      <c r="AV128" s="21">
        <v>69.44</v>
      </c>
      <c r="AW128" s="21">
        <v>67.28</v>
      </c>
      <c r="AX128" s="21">
        <v>65.78</v>
      </c>
      <c r="AY128" s="21">
        <v>67.25</v>
      </c>
      <c r="AZ128" s="21">
        <v>72.37</v>
      </c>
      <c r="BA128" s="21">
        <v>74.92</v>
      </c>
      <c r="BB128" s="21">
        <v>75.34</v>
      </c>
      <c r="BC128" s="21">
        <v>81.25</v>
      </c>
    </row>
    <row r="129" spans="1:55" x14ac:dyDescent="0.2">
      <c r="A129" s="21" t="s">
        <v>1413</v>
      </c>
      <c r="B129" s="21" t="s">
        <v>1414</v>
      </c>
      <c r="C129" s="21" t="s">
        <v>655</v>
      </c>
      <c r="D129" s="21">
        <v>1531.8</v>
      </c>
      <c r="E129" s="21">
        <v>1577</v>
      </c>
      <c r="F129" s="21">
        <v>1787.7</v>
      </c>
      <c r="G129" s="21">
        <v>1911.3</v>
      </c>
      <c r="H129" s="21">
        <v>2482.6999999999998</v>
      </c>
      <c r="I129" s="21">
        <v>2277.4</v>
      </c>
      <c r="J129" s="21">
        <v>2382.9</v>
      </c>
      <c r="K129" s="21">
        <v>2466.3000000000002</v>
      </c>
      <c r="L129" s="21">
        <v>2886.2</v>
      </c>
      <c r="M129" s="21">
        <v>4056.1</v>
      </c>
      <c r="N129" s="21">
        <v>5081.1000000000004</v>
      </c>
      <c r="O129" s="21">
        <v>6109.5</v>
      </c>
      <c r="P129" s="21">
        <v>5338</v>
      </c>
      <c r="Q129" s="21">
        <v>5644.6</v>
      </c>
      <c r="R129" s="21">
        <v>6269.6</v>
      </c>
      <c r="S129" s="21">
        <v>5854.1</v>
      </c>
      <c r="T129" s="21">
        <v>5675.2</v>
      </c>
      <c r="U129" s="21">
        <v>6066.1</v>
      </c>
      <c r="V129" s="21">
        <v>6240.6</v>
      </c>
      <c r="W129" s="21">
        <v>6656</v>
      </c>
      <c r="X129" s="21">
        <v>7468.2</v>
      </c>
      <c r="Y129" s="21">
        <v>7318.5</v>
      </c>
      <c r="Z129" s="21">
        <v>7433</v>
      </c>
      <c r="AA129" s="21">
        <v>7528.1</v>
      </c>
      <c r="AB129" s="21">
        <v>7637.8</v>
      </c>
      <c r="AC129" s="21">
        <v>7518.6</v>
      </c>
      <c r="AD129" s="21">
        <v>7256.2</v>
      </c>
      <c r="AE129" s="21">
        <v>7732.6</v>
      </c>
      <c r="AF129" s="21">
        <v>7954.1</v>
      </c>
      <c r="AG129" s="21">
        <v>8638.7000000000007</v>
      </c>
      <c r="AH129" s="21">
        <v>8566.5</v>
      </c>
      <c r="AI129" s="21">
        <v>8292.2999999999993</v>
      </c>
      <c r="AJ129" s="21">
        <v>8926.5</v>
      </c>
      <c r="AK129" s="21">
        <v>8945.6</v>
      </c>
      <c r="AL129" s="21">
        <v>9429.9</v>
      </c>
      <c r="AM129" s="21">
        <v>10971.1</v>
      </c>
      <c r="AN129" s="21">
        <v>13316.7</v>
      </c>
      <c r="AO129" s="21">
        <v>14778.8</v>
      </c>
      <c r="AP129" s="21">
        <v>16038.9</v>
      </c>
      <c r="AQ129" s="21">
        <v>14668.2</v>
      </c>
      <c r="AR129" s="21">
        <v>17089.599999999999</v>
      </c>
      <c r="AS129" s="21">
        <v>19177.7</v>
      </c>
      <c r="AT129" s="21">
        <v>18296.599999999999</v>
      </c>
      <c r="AU129" s="21">
        <v>18636.2</v>
      </c>
      <c r="AV129" s="21">
        <v>19444.400000000001</v>
      </c>
      <c r="AW129" s="21">
        <v>20517.900000000001</v>
      </c>
      <c r="AX129" s="21">
        <v>19044.099999999999</v>
      </c>
      <c r="AY129" s="21">
        <v>17947.2</v>
      </c>
      <c r="AZ129" s="21">
        <v>18742.400000000001</v>
      </c>
      <c r="BA129" s="21">
        <v>18704.099999999999</v>
      </c>
      <c r="BB129" s="21">
        <v>17079.400000000001</v>
      </c>
      <c r="BC129" s="21">
        <v>18893.7</v>
      </c>
    </row>
    <row r="130" spans="1:55" x14ac:dyDescent="0.2">
      <c r="A130" s="21" t="s">
        <v>1413</v>
      </c>
      <c r="B130" s="21" t="s">
        <v>1414</v>
      </c>
      <c r="C130" s="21" t="s">
        <v>664</v>
      </c>
      <c r="D130" s="21">
        <v>2.85</v>
      </c>
      <c r="E130" s="21">
        <v>2.9</v>
      </c>
      <c r="F130" s="21">
        <v>2.88</v>
      </c>
      <c r="G130" s="21">
        <v>3.1</v>
      </c>
      <c r="H130" s="21">
        <v>4.32</v>
      </c>
      <c r="I130" s="21">
        <v>4.6399999999999997</v>
      </c>
      <c r="J130" s="21">
        <v>4.84</v>
      </c>
      <c r="K130" s="21">
        <v>5.13</v>
      </c>
      <c r="L130" s="21">
        <v>5.24</v>
      </c>
      <c r="M130" s="21">
        <v>7.11</v>
      </c>
      <c r="N130" s="21">
        <v>9.84</v>
      </c>
      <c r="O130" s="21">
        <v>10.94</v>
      </c>
      <c r="P130" s="21">
        <v>10.39</v>
      </c>
      <c r="Q130" s="21">
        <v>9.1199999999999992</v>
      </c>
      <c r="R130" s="21">
        <v>8.89</v>
      </c>
      <c r="S130" s="21">
        <v>9.01</v>
      </c>
      <c r="T130" s="21">
        <v>6.79</v>
      </c>
      <c r="U130" s="21">
        <v>7.23</v>
      </c>
      <c r="V130" s="21">
        <v>7.33</v>
      </c>
      <c r="W130" s="21">
        <v>8.02</v>
      </c>
      <c r="X130" s="21">
        <v>9.1199999999999992</v>
      </c>
      <c r="Y130" s="21">
        <v>8.93</v>
      </c>
      <c r="Z130" s="21">
        <v>8.9600000000000009</v>
      </c>
      <c r="AA130" s="21">
        <v>8.89</v>
      </c>
      <c r="AB130" s="21">
        <v>8.99</v>
      </c>
      <c r="AC130" s="21">
        <v>9.24</v>
      </c>
      <c r="AD130" s="21">
        <v>9.86</v>
      </c>
      <c r="AE130" s="21">
        <v>9.83</v>
      </c>
      <c r="AF130" s="21">
        <v>8.4700000000000006</v>
      </c>
      <c r="AG130" s="21">
        <v>9.32</v>
      </c>
      <c r="AH130" s="21">
        <v>11.91</v>
      </c>
      <c r="AI130" s="21">
        <v>11.36</v>
      </c>
      <c r="AJ130" s="21">
        <v>10.71</v>
      </c>
      <c r="AK130" s="21">
        <v>12.36</v>
      </c>
      <c r="AL130" s="21">
        <v>14.72</v>
      </c>
      <c r="AM130" s="21">
        <v>17.98</v>
      </c>
      <c r="AN130" s="21">
        <v>20.41</v>
      </c>
      <c r="AO130" s="21">
        <v>22.34</v>
      </c>
      <c r="AP130" s="21">
        <v>26.09</v>
      </c>
      <c r="AQ130" s="21">
        <v>18.97</v>
      </c>
      <c r="AR130" s="21">
        <v>22.64</v>
      </c>
      <c r="AS130" s="21">
        <v>28.59</v>
      </c>
      <c r="AT130" s="21">
        <v>29.42</v>
      </c>
      <c r="AU130" s="21">
        <v>28.61</v>
      </c>
      <c r="AV130" s="21">
        <v>27.49</v>
      </c>
      <c r="AW130" s="21">
        <v>20.21</v>
      </c>
      <c r="AX130" s="21">
        <v>18.03</v>
      </c>
      <c r="AY130" s="21">
        <v>20.25</v>
      </c>
      <c r="AZ130" s="21">
        <v>22.51</v>
      </c>
      <c r="BA130" s="21">
        <v>21.59</v>
      </c>
      <c r="BB130" s="21">
        <v>17.989999999999998</v>
      </c>
      <c r="BC130" s="21">
        <v>24.78</v>
      </c>
    </row>
    <row r="131" spans="1:55" x14ac:dyDescent="0.2">
      <c r="A131" s="21" t="s">
        <v>1413</v>
      </c>
      <c r="B131" s="21" t="s">
        <v>1414</v>
      </c>
      <c r="C131" s="21" t="s">
        <v>667</v>
      </c>
      <c r="D131" s="21">
        <v>30524.9</v>
      </c>
      <c r="E131" s="21">
        <v>32435</v>
      </c>
      <c r="F131" s="21">
        <v>34365.199999999997</v>
      </c>
      <c r="G131" s="21">
        <v>38597.9</v>
      </c>
      <c r="H131" s="21">
        <v>52819.6</v>
      </c>
      <c r="I131" s="21">
        <v>57991.9</v>
      </c>
      <c r="J131" s="21">
        <v>63479.8</v>
      </c>
      <c r="K131" s="21">
        <v>69059.100000000006</v>
      </c>
      <c r="L131" s="21">
        <v>73012.800000000003</v>
      </c>
      <c r="M131" s="21">
        <v>94013.4</v>
      </c>
      <c r="N131" s="21">
        <v>121808.5</v>
      </c>
      <c r="O131" s="21">
        <v>135393.70000000001</v>
      </c>
      <c r="P131" s="21">
        <v>127949</v>
      </c>
      <c r="Q131" s="21">
        <v>113830</v>
      </c>
      <c r="R131" s="21">
        <v>112035.1</v>
      </c>
      <c r="S131" s="21">
        <v>115205</v>
      </c>
      <c r="T131" s="21">
        <v>89407.3</v>
      </c>
      <c r="U131" s="21">
        <v>97573.8</v>
      </c>
      <c r="V131" s="21">
        <v>101100.6</v>
      </c>
      <c r="W131" s="21">
        <v>110299.8</v>
      </c>
      <c r="X131" s="21">
        <v>123844.9</v>
      </c>
      <c r="Y131" s="21">
        <v>120623.6</v>
      </c>
      <c r="Z131" s="21">
        <v>122790</v>
      </c>
      <c r="AA131" s="21">
        <v>124707.4</v>
      </c>
      <c r="AB131" s="21">
        <v>128112.1</v>
      </c>
      <c r="AC131" s="21">
        <v>134641</v>
      </c>
      <c r="AD131" s="21">
        <v>146106.20000000001</v>
      </c>
      <c r="AE131" s="21">
        <v>147163.6</v>
      </c>
      <c r="AF131" s="21">
        <v>130709.4</v>
      </c>
      <c r="AG131" s="21">
        <v>147591.9</v>
      </c>
      <c r="AH131" s="21">
        <v>189836.1</v>
      </c>
      <c r="AI131" s="21">
        <v>181978.9</v>
      </c>
      <c r="AJ131" s="21">
        <v>176006.3</v>
      </c>
      <c r="AK131" s="21">
        <v>204780.7</v>
      </c>
      <c r="AL131" s="21">
        <v>248796</v>
      </c>
      <c r="AM131" s="21">
        <v>304875.3</v>
      </c>
      <c r="AN131" s="21">
        <v>348694.6</v>
      </c>
      <c r="AO131" s="21">
        <v>381200.9</v>
      </c>
      <c r="AP131" s="21">
        <v>430705.4</v>
      </c>
      <c r="AQ131" s="21">
        <v>311613.09999999998</v>
      </c>
      <c r="AR131" s="21">
        <v>369432.5</v>
      </c>
      <c r="AS131" s="21">
        <v>453895.4</v>
      </c>
      <c r="AT131" s="21">
        <v>464634.6</v>
      </c>
      <c r="AU131" s="21">
        <v>458654.9</v>
      </c>
      <c r="AV131" s="21">
        <v>445572.1</v>
      </c>
      <c r="AW131" s="21">
        <v>329608.5</v>
      </c>
      <c r="AX131" s="21">
        <v>299361.3</v>
      </c>
      <c r="AY131" s="21">
        <v>335666.3</v>
      </c>
      <c r="AZ131" s="21">
        <v>373095.2</v>
      </c>
      <c r="BA131" s="21">
        <v>356961.8</v>
      </c>
      <c r="BB131" s="21">
        <v>256276.3</v>
      </c>
      <c r="BC131" s="21">
        <v>386884.3</v>
      </c>
    </row>
    <row r="132" spans="1:55" x14ac:dyDescent="0.2">
      <c r="A132" s="21" t="s">
        <v>1413</v>
      </c>
      <c r="B132" s="21" t="s">
        <v>1414</v>
      </c>
      <c r="C132" s="21" t="s">
        <v>671</v>
      </c>
      <c r="D132" s="21">
        <v>2.86</v>
      </c>
      <c r="E132" s="21">
        <v>2.91</v>
      </c>
      <c r="F132" s="21">
        <v>2.9</v>
      </c>
      <c r="G132" s="21">
        <v>3.11</v>
      </c>
      <c r="H132" s="21">
        <v>4.34</v>
      </c>
      <c r="I132" s="21">
        <v>4.66</v>
      </c>
      <c r="J132" s="21">
        <v>4.8499999999999996</v>
      </c>
      <c r="K132" s="21">
        <v>5.15</v>
      </c>
      <c r="L132" s="21">
        <v>5.3</v>
      </c>
      <c r="M132" s="21">
        <v>7.15</v>
      </c>
      <c r="N132" s="21">
        <v>9.77</v>
      </c>
      <c r="O132" s="21">
        <v>10.96</v>
      </c>
      <c r="P132" s="21">
        <v>10.44</v>
      </c>
      <c r="Q132" s="21">
        <v>9.1199999999999992</v>
      </c>
      <c r="R132" s="21">
        <v>8.93</v>
      </c>
      <c r="S132" s="21">
        <v>9.01</v>
      </c>
      <c r="T132" s="21">
        <v>6.77</v>
      </c>
      <c r="U132" s="21">
        <v>7.22</v>
      </c>
      <c r="V132" s="21">
        <v>7.33</v>
      </c>
      <c r="W132" s="21">
        <v>8.0399999999999991</v>
      </c>
      <c r="X132" s="21">
        <v>9.15</v>
      </c>
      <c r="Y132" s="21">
        <v>8.98</v>
      </c>
      <c r="Z132" s="21">
        <v>9.08</v>
      </c>
      <c r="AA132" s="21">
        <v>9.1999999999999993</v>
      </c>
      <c r="AB132" s="21">
        <v>9.23</v>
      </c>
      <c r="AC132" s="21">
        <v>9.42</v>
      </c>
      <c r="AD132" s="21">
        <v>10.29</v>
      </c>
      <c r="AE132" s="21">
        <v>10.029999999999999</v>
      </c>
      <c r="AF132" s="21">
        <v>8.74</v>
      </c>
      <c r="AG132" s="21">
        <v>9.4700000000000006</v>
      </c>
      <c r="AH132" s="21">
        <v>11.96</v>
      </c>
      <c r="AI132" s="21">
        <v>11.52</v>
      </c>
      <c r="AJ132" s="21">
        <v>10.83</v>
      </c>
      <c r="AK132" s="21">
        <v>12.28</v>
      </c>
      <c r="AL132" s="21">
        <v>14.49</v>
      </c>
      <c r="AM132" s="21">
        <v>17.95</v>
      </c>
      <c r="AN132" s="21">
        <v>20.329999999999998</v>
      </c>
      <c r="AO132" s="21">
        <v>22.27</v>
      </c>
      <c r="AP132" s="21">
        <v>26.02</v>
      </c>
      <c r="AQ132" s="21">
        <v>18.87</v>
      </c>
      <c r="AR132" s="21">
        <v>22.46</v>
      </c>
      <c r="AS132" s="21">
        <v>28.44</v>
      </c>
      <c r="AT132" s="21">
        <v>29.13</v>
      </c>
      <c r="AU132" s="21">
        <v>28.37</v>
      </c>
      <c r="AV132" s="21">
        <v>27.05</v>
      </c>
      <c r="AW132" s="21">
        <v>20.5</v>
      </c>
      <c r="AX132" s="21">
        <v>18.27</v>
      </c>
      <c r="AY132" s="21">
        <v>20.53</v>
      </c>
      <c r="AZ132" s="21">
        <v>22.87</v>
      </c>
      <c r="BA132" s="21">
        <v>22.07</v>
      </c>
      <c r="BB132" s="21">
        <v>18.559999999999999</v>
      </c>
      <c r="BC132" s="21">
        <v>25.35</v>
      </c>
    </row>
    <row r="133" spans="1:55" x14ac:dyDescent="0.2">
      <c r="A133" s="21" t="s">
        <v>1413</v>
      </c>
      <c r="B133" s="21" t="s">
        <v>1414</v>
      </c>
      <c r="C133" s="21" t="s">
        <v>674</v>
      </c>
      <c r="D133" s="21">
        <v>247.3</v>
      </c>
      <c r="E133" s="21">
        <v>243.9</v>
      </c>
      <c r="F133" s="21">
        <v>253</v>
      </c>
      <c r="G133" s="21">
        <v>270.10000000000002</v>
      </c>
      <c r="H133" s="21">
        <v>360.1</v>
      </c>
      <c r="I133" s="21">
        <v>414.8</v>
      </c>
      <c r="J133" s="21">
        <v>469.7</v>
      </c>
      <c r="K133" s="21">
        <v>518.4</v>
      </c>
      <c r="L133" s="21">
        <v>564.6</v>
      </c>
      <c r="M133" s="21">
        <v>747</v>
      </c>
      <c r="N133" s="21">
        <v>1046.3</v>
      </c>
      <c r="O133" s="21">
        <v>1003.5</v>
      </c>
      <c r="P133" s="21">
        <v>914.4</v>
      </c>
      <c r="Q133" s="21">
        <v>933.8</v>
      </c>
      <c r="R133" s="21">
        <v>957.1</v>
      </c>
      <c r="S133" s="21">
        <v>865.8</v>
      </c>
      <c r="T133" s="21">
        <v>720</v>
      </c>
      <c r="U133" s="21">
        <v>799.3</v>
      </c>
      <c r="V133" s="21">
        <v>809.1</v>
      </c>
      <c r="W133" s="21">
        <v>819.1</v>
      </c>
      <c r="X133" s="21">
        <v>1017.7</v>
      </c>
      <c r="Y133" s="21">
        <v>764.3</v>
      </c>
      <c r="Z133" s="21">
        <v>722.3</v>
      </c>
      <c r="AA133" s="21">
        <v>270.3</v>
      </c>
      <c r="AB133" s="21">
        <v>231.9</v>
      </c>
      <c r="AC133" s="21">
        <v>170.3</v>
      </c>
      <c r="AD133" s="21">
        <v>272.7</v>
      </c>
      <c r="AE133" s="21">
        <v>427.8</v>
      </c>
      <c r="AF133" s="21">
        <v>340</v>
      </c>
      <c r="AG133" s="21">
        <v>268.7</v>
      </c>
      <c r="AH133" s="21">
        <v>531.6</v>
      </c>
      <c r="AI133" s="21">
        <v>430.4</v>
      </c>
      <c r="AJ133" s="21">
        <v>487.5</v>
      </c>
      <c r="AK133" s="21">
        <v>734.6</v>
      </c>
      <c r="AL133" s="21">
        <v>645.4</v>
      </c>
      <c r="AM133" s="21">
        <v>817.2</v>
      </c>
      <c r="AN133" s="21">
        <v>983.7</v>
      </c>
      <c r="AO133" s="21">
        <v>1342.3</v>
      </c>
      <c r="AP133" s="21">
        <v>1164.4000000000001</v>
      </c>
      <c r="AQ133" s="21">
        <v>978.2</v>
      </c>
      <c r="AR133" s="21">
        <v>1163.9000000000001</v>
      </c>
      <c r="AS133" s="21">
        <v>1252.2</v>
      </c>
      <c r="AT133" s="21">
        <v>1124.5999999999999</v>
      </c>
      <c r="AU133" s="21">
        <v>1131.4000000000001</v>
      </c>
      <c r="AV133" s="21">
        <v>1455.9</v>
      </c>
      <c r="AW133" s="21">
        <v>7709.1</v>
      </c>
      <c r="AX133" s="21">
        <v>6846.8</v>
      </c>
      <c r="AY133" s="21">
        <v>7407.8</v>
      </c>
      <c r="AZ133" s="21">
        <v>8379.2000000000007</v>
      </c>
      <c r="BA133" s="21">
        <v>8144.2</v>
      </c>
      <c r="BB133" s="21">
        <v>6889.1</v>
      </c>
      <c r="BC133" s="21">
        <v>9494.7999999999993</v>
      </c>
    </row>
    <row r="134" spans="1:55" x14ac:dyDescent="0.2">
      <c r="A134" s="21" t="s">
        <v>1413</v>
      </c>
      <c r="B134" s="21" t="s">
        <v>1414</v>
      </c>
      <c r="C134" s="21" t="s">
        <v>678</v>
      </c>
      <c r="D134" s="21">
        <v>2.86</v>
      </c>
      <c r="E134" s="21">
        <v>2.91</v>
      </c>
      <c r="F134" s="21">
        <v>2.87</v>
      </c>
      <c r="G134" s="21">
        <v>3.13</v>
      </c>
      <c r="H134" s="21">
        <v>4.3099999999999996</v>
      </c>
      <c r="I134" s="21">
        <v>4.6500000000000004</v>
      </c>
      <c r="J134" s="21">
        <v>4.87</v>
      </c>
      <c r="K134" s="21">
        <v>5.16</v>
      </c>
      <c r="L134" s="21">
        <v>5.27</v>
      </c>
      <c r="M134" s="21">
        <v>7.16</v>
      </c>
      <c r="N134" s="21">
        <v>9.82</v>
      </c>
      <c r="O134" s="21">
        <v>10.89</v>
      </c>
      <c r="P134" s="21">
        <v>10.43</v>
      </c>
      <c r="Q134" s="21">
        <v>9.25</v>
      </c>
      <c r="R134" s="21">
        <v>8.98</v>
      </c>
      <c r="S134" s="21">
        <v>9.07</v>
      </c>
      <c r="T134" s="21">
        <v>6.8</v>
      </c>
      <c r="U134" s="21">
        <v>7.25</v>
      </c>
      <c r="V134" s="21">
        <v>7.32</v>
      </c>
      <c r="W134" s="21">
        <v>8.0500000000000007</v>
      </c>
      <c r="X134" s="21">
        <v>9.15</v>
      </c>
      <c r="Y134" s="21">
        <v>8.9499999999999993</v>
      </c>
      <c r="Z134" s="21">
        <v>8.94</v>
      </c>
      <c r="AA134" s="21">
        <v>8.8800000000000008</v>
      </c>
      <c r="AB134" s="21">
        <v>8.99</v>
      </c>
      <c r="AC134" s="21">
        <v>9.19</v>
      </c>
      <c r="AD134" s="21">
        <v>9.84</v>
      </c>
      <c r="AE134" s="21">
        <v>9.82</v>
      </c>
      <c r="AF134" s="21">
        <v>8.44</v>
      </c>
      <c r="AG134" s="21">
        <v>9.24</v>
      </c>
      <c r="AH134" s="21">
        <v>11.9</v>
      </c>
      <c r="AI134" s="21">
        <v>11.35</v>
      </c>
      <c r="AJ134" s="21">
        <v>10.71</v>
      </c>
      <c r="AK134" s="21">
        <v>12.3</v>
      </c>
      <c r="AL134" s="21">
        <v>14.64</v>
      </c>
      <c r="AM134" s="21">
        <v>17.93</v>
      </c>
      <c r="AN134" s="21">
        <v>20.34</v>
      </c>
      <c r="AO134" s="21">
        <v>22.34</v>
      </c>
      <c r="AP134" s="21">
        <v>26.02</v>
      </c>
      <c r="AQ134" s="21">
        <v>18.899999999999999</v>
      </c>
      <c r="AR134" s="21">
        <v>22.72</v>
      </c>
      <c r="AS134" s="21">
        <v>28.66</v>
      </c>
      <c r="AT134" s="21">
        <v>29.55</v>
      </c>
      <c r="AU134" s="21">
        <v>28.72</v>
      </c>
      <c r="AV134" s="21">
        <v>27.58</v>
      </c>
      <c r="AW134" s="21">
        <v>20.399999999999999</v>
      </c>
      <c r="AX134" s="21">
        <v>18.14</v>
      </c>
      <c r="AY134" s="21">
        <v>20.36</v>
      </c>
      <c r="AZ134" s="21">
        <v>22.68</v>
      </c>
      <c r="BA134" s="21">
        <v>21.85</v>
      </c>
      <c r="BB134" s="21">
        <v>18.329999999999998</v>
      </c>
      <c r="BC134" s="21">
        <v>25.14</v>
      </c>
    </row>
    <row r="135" spans="1:55" x14ac:dyDescent="0.2">
      <c r="A135" s="21" t="s">
        <v>1413</v>
      </c>
      <c r="B135" s="21" t="s">
        <v>1414</v>
      </c>
      <c r="C135" s="21" t="s">
        <v>681</v>
      </c>
      <c r="D135" s="21">
        <v>823.9</v>
      </c>
      <c r="E135" s="21">
        <v>799.2</v>
      </c>
      <c r="F135" s="21">
        <v>727.6</v>
      </c>
      <c r="G135" s="21">
        <v>798.6</v>
      </c>
      <c r="H135" s="21">
        <v>1014.1</v>
      </c>
      <c r="I135" s="21">
        <v>1039</v>
      </c>
      <c r="J135" s="21">
        <v>1027.9000000000001</v>
      </c>
      <c r="K135" s="21">
        <v>1013.7</v>
      </c>
      <c r="L135" s="21">
        <v>936</v>
      </c>
      <c r="M135" s="21">
        <v>1156.0999999999999</v>
      </c>
      <c r="N135" s="21">
        <v>1553</v>
      </c>
      <c r="O135" s="21">
        <v>1740.9</v>
      </c>
      <c r="P135" s="21">
        <v>1442.1</v>
      </c>
      <c r="Q135" s="21">
        <v>1039</v>
      </c>
      <c r="R135" s="21">
        <v>1436.5</v>
      </c>
      <c r="S135" s="21">
        <v>1977.6</v>
      </c>
      <c r="T135" s="21">
        <v>1401.9</v>
      </c>
      <c r="U135" s="21">
        <v>1490.5</v>
      </c>
      <c r="V135" s="21">
        <v>1412.8</v>
      </c>
      <c r="W135" s="21">
        <v>1600.6</v>
      </c>
      <c r="X135" s="21">
        <v>1695.3</v>
      </c>
      <c r="Y135" s="21">
        <v>1730.3</v>
      </c>
      <c r="Z135" s="21">
        <v>1737.2</v>
      </c>
      <c r="AA135" s="21">
        <v>1582.6</v>
      </c>
      <c r="AB135" s="21">
        <v>1723.9</v>
      </c>
      <c r="AC135" s="21">
        <v>1835.7</v>
      </c>
      <c r="AD135" s="21">
        <v>1965</v>
      </c>
      <c r="AE135" s="21">
        <v>2076.6</v>
      </c>
      <c r="AF135" s="21">
        <v>1680.6</v>
      </c>
      <c r="AG135" s="21">
        <v>1399.6</v>
      </c>
      <c r="AH135" s="21">
        <v>1784.7</v>
      </c>
      <c r="AI135" s="21">
        <v>3342.7</v>
      </c>
      <c r="AJ135" s="21">
        <v>3302.4</v>
      </c>
      <c r="AK135" s="21">
        <v>3977.9</v>
      </c>
      <c r="AL135" s="21">
        <v>5431.3</v>
      </c>
      <c r="AM135" s="21">
        <v>6354.3</v>
      </c>
      <c r="AN135" s="21">
        <v>7608.1</v>
      </c>
      <c r="AO135" s="21">
        <v>6738.7</v>
      </c>
      <c r="AP135" s="21">
        <v>6367</v>
      </c>
      <c r="AQ135" s="21">
        <v>4490.3999999999996</v>
      </c>
      <c r="AR135" s="21">
        <v>5895.1</v>
      </c>
      <c r="AS135" s="21">
        <v>7287</v>
      </c>
      <c r="AT135" s="21">
        <v>7456.9</v>
      </c>
      <c r="AU135" s="21">
        <v>7542</v>
      </c>
      <c r="AV135" s="21">
        <v>5792.7</v>
      </c>
      <c r="AW135" s="21">
        <v>5259.9</v>
      </c>
      <c r="AX135" s="21">
        <v>4752.8999999999996</v>
      </c>
      <c r="AY135" s="21">
        <v>5381.9</v>
      </c>
      <c r="AZ135" s="21">
        <v>6111.1</v>
      </c>
      <c r="BA135" s="21">
        <v>5824</v>
      </c>
      <c r="BB135" s="21">
        <v>4933</v>
      </c>
      <c r="BC135" s="21">
        <v>6642.5</v>
      </c>
    </row>
    <row r="136" spans="1:55" x14ac:dyDescent="0.2">
      <c r="A136" s="21" t="s">
        <v>1413</v>
      </c>
      <c r="B136" s="21" t="s">
        <v>1414</v>
      </c>
      <c r="C136" s="21" t="s">
        <v>685</v>
      </c>
      <c r="D136" s="21">
        <v>2.85</v>
      </c>
      <c r="E136" s="21">
        <v>2.9</v>
      </c>
      <c r="F136" s="21">
        <v>2.88</v>
      </c>
      <c r="G136" s="21">
        <v>3.1</v>
      </c>
      <c r="H136" s="21">
        <v>4.32</v>
      </c>
      <c r="I136" s="21">
        <v>4.6500000000000004</v>
      </c>
      <c r="J136" s="21">
        <v>4.84</v>
      </c>
      <c r="K136" s="21">
        <v>5.13</v>
      </c>
      <c r="L136" s="21">
        <v>5.24</v>
      </c>
      <c r="M136" s="21">
        <v>7.11</v>
      </c>
      <c r="N136" s="21">
        <v>9.84</v>
      </c>
      <c r="O136" s="21">
        <v>10.94</v>
      </c>
      <c r="P136" s="21">
        <v>10.39</v>
      </c>
      <c r="Q136" s="21">
        <v>9.1199999999999992</v>
      </c>
      <c r="R136" s="21">
        <v>8.89</v>
      </c>
      <c r="S136" s="21">
        <v>9.01</v>
      </c>
      <c r="T136" s="21">
        <v>6.79</v>
      </c>
      <c r="U136" s="21">
        <v>7.23</v>
      </c>
      <c r="V136" s="21">
        <v>7.33</v>
      </c>
      <c r="W136" s="21">
        <v>8.02</v>
      </c>
      <c r="X136" s="21">
        <v>9.1199999999999992</v>
      </c>
      <c r="Y136" s="21">
        <v>8.93</v>
      </c>
      <c r="Z136" s="21">
        <v>8.9600000000000009</v>
      </c>
      <c r="AA136" s="21">
        <v>8.89</v>
      </c>
      <c r="AB136" s="21">
        <v>8.99</v>
      </c>
      <c r="AC136" s="21">
        <v>9.24</v>
      </c>
      <c r="AD136" s="21">
        <v>9.86</v>
      </c>
      <c r="AE136" s="21">
        <v>9.83</v>
      </c>
      <c r="AF136" s="21">
        <v>8.4700000000000006</v>
      </c>
      <c r="AG136" s="21">
        <v>9.32</v>
      </c>
      <c r="AH136" s="21">
        <v>11.91</v>
      </c>
      <c r="AI136" s="21">
        <v>11.36</v>
      </c>
      <c r="AJ136" s="21">
        <v>10.71</v>
      </c>
      <c r="AK136" s="21">
        <v>12.36</v>
      </c>
      <c r="AL136" s="21">
        <v>14.72</v>
      </c>
      <c r="AM136" s="21">
        <v>17.98</v>
      </c>
      <c r="AN136" s="21">
        <v>20.399999999999999</v>
      </c>
      <c r="AO136" s="21">
        <v>22.34</v>
      </c>
      <c r="AP136" s="21">
        <v>26.09</v>
      </c>
      <c r="AQ136" s="21">
        <v>18.97</v>
      </c>
      <c r="AR136" s="21">
        <v>22.64</v>
      </c>
      <c r="AS136" s="21">
        <v>28.59</v>
      </c>
      <c r="AT136" s="21">
        <v>29.42</v>
      </c>
      <c r="AU136" s="21">
        <v>28.61</v>
      </c>
      <c r="AV136" s="21">
        <v>27.49</v>
      </c>
      <c r="AW136" s="21">
        <v>20.22</v>
      </c>
      <c r="AX136" s="21">
        <v>18.04</v>
      </c>
      <c r="AY136" s="21">
        <v>20.260000000000002</v>
      </c>
      <c r="AZ136" s="21">
        <v>22.52</v>
      </c>
      <c r="BA136" s="21">
        <v>21.61</v>
      </c>
      <c r="BB136" s="21">
        <v>18.010000000000002</v>
      </c>
      <c r="BC136" s="21">
        <v>24.8</v>
      </c>
    </row>
    <row r="137" spans="1:55" x14ac:dyDescent="0.2">
      <c r="A137" s="21" t="s">
        <v>1413</v>
      </c>
      <c r="B137" s="21" t="s">
        <v>1414</v>
      </c>
      <c r="C137" s="21" t="s">
        <v>690</v>
      </c>
      <c r="D137" s="21">
        <v>31596</v>
      </c>
      <c r="E137" s="21">
        <v>33478.199999999997</v>
      </c>
      <c r="F137" s="21">
        <v>35345.800000000003</v>
      </c>
      <c r="G137" s="21">
        <v>39666.6</v>
      </c>
      <c r="H137" s="21">
        <v>54193.7</v>
      </c>
      <c r="I137" s="21">
        <v>59445.7</v>
      </c>
      <c r="J137" s="21">
        <v>64977.4</v>
      </c>
      <c r="K137" s="21">
        <v>70591.199999999997</v>
      </c>
      <c r="L137" s="21">
        <v>74513.399999999994</v>
      </c>
      <c r="M137" s="21">
        <v>95916.5</v>
      </c>
      <c r="N137" s="21">
        <v>124407.7</v>
      </c>
      <c r="O137" s="21">
        <v>138138.1</v>
      </c>
      <c r="P137" s="21">
        <v>130305.5</v>
      </c>
      <c r="Q137" s="21">
        <v>115802.9</v>
      </c>
      <c r="R137" s="21">
        <v>114428.6</v>
      </c>
      <c r="S137" s="21">
        <v>118048.4</v>
      </c>
      <c r="T137" s="21">
        <v>91529.3</v>
      </c>
      <c r="U137" s="21">
        <v>99863.6</v>
      </c>
      <c r="V137" s="21">
        <v>103322.6</v>
      </c>
      <c r="W137" s="21">
        <v>112719.6</v>
      </c>
      <c r="X137" s="21">
        <v>126557.9</v>
      </c>
      <c r="Y137" s="21">
        <v>123118.2</v>
      </c>
      <c r="Z137" s="21">
        <v>125249.4</v>
      </c>
      <c r="AA137" s="21">
        <v>126560.2</v>
      </c>
      <c r="AB137" s="21">
        <v>130068</v>
      </c>
      <c r="AC137" s="21">
        <v>136646.9</v>
      </c>
      <c r="AD137" s="21">
        <v>148343.9</v>
      </c>
      <c r="AE137" s="21">
        <v>149668</v>
      </c>
      <c r="AF137" s="21">
        <v>132730</v>
      </c>
      <c r="AG137" s="21">
        <v>149260.20000000001</v>
      </c>
      <c r="AH137" s="21">
        <v>192152.5</v>
      </c>
      <c r="AI137" s="21">
        <v>185752.1</v>
      </c>
      <c r="AJ137" s="21">
        <v>179796.3</v>
      </c>
      <c r="AK137" s="21">
        <v>209493.1</v>
      </c>
      <c r="AL137" s="21">
        <v>254872.6</v>
      </c>
      <c r="AM137" s="21">
        <v>312046.8</v>
      </c>
      <c r="AN137" s="21">
        <v>357286.40000000002</v>
      </c>
      <c r="AO137" s="21">
        <v>389281.9</v>
      </c>
      <c r="AP137" s="21">
        <v>438236.7</v>
      </c>
      <c r="AQ137" s="21">
        <v>317081.7</v>
      </c>
      <c r="AR137" s="21">
        <v>376491.5</v>
      </c>
      <c r="AS137" s="21">
        <v>462434.7</v>
      </c>
      <c r="AT137" s="21">
        <v>473216</v>
      </c>
      <c r="AU137" s="21">
        <v>467328.2</v>
      </c>
      <c r="AV137" s="21">
        <v>452820.8</v>
      </c>
      <c r="AW137" s="21">
        <v>342577.5</v>
      </c>
      <c r="AX137" s="21">
        <v>310960.90000000002</v>
      </c>
      <c r="AY137" s="21">
        <v>348456.1</v>
      </c>
      <c r="AZ137" s="21">
        <v>387585.5</v>
      </c>
      <c r="BA137" s="21">
        <v>370929.9</v>
      </c>
      <c r="BB137" s="21">
        <v>268098.40000000002</v>
      </c>
      <c r="BC137" s="21">
        <v>403021.6</v>
      </c>
    </row>
    <row r="138" spans="1:55" x14ac:dyDescent="0.2">
      <c r="A138" s="21" t="s">
        <v>1413</v>
      </c>
      <c r="B138" s="21" t="s">
        <v>1414</v>
      </c>
      <c r="C138" s="21" t="s">
        <v>692</v>
      </c>
      <c r="D138" s="21">
        <v>154.1</v>
      </c>
      <c r="E138" s="21">
        <v>161.19999999999999</v>
      </c>
      <c r="F138" s="21">
        <v>168.4</v>
      </c>
      <c r="G138" s="21">
        <v>187.2</v>
      </c>
      <c r="H138" s="21">
        <v>253.4</v>
      </c>
      <c r="I138" s="21">
        <v>275.2</v>
      </c>
      <c r="J138" s="21">
        <v>298</v>
      </c>
      <c r="K138" s="21">
        <v>320.5</v>
      </c>
      <c r="L138" s="21">
        <v>334.8</v>
      </c>
      <c r="M138" s="21">
        <v>426.2</v>
      </c>
      <c r="N138" s="21">
        <v>547.5</v>
      </c>
      <c r="O138" s="21">
        <v>602</v>
      </c>
      <c r="P138" s="21">
        <v>562.5</v>
      </c>
      <c r="Q138" s="21">
        <v>495.3</v>
      </c>
      <c r="R138" s="21">
        <v>485.2</v>
      </c>
      <c r="S138" s="21">
        <v>496.2</v>
      </c>
      <c r="T138" s="21">
        <v>381.2</v>
      </c>
      <c r="U138" s="21">
        <v>412.2</v>
      </c>
      <c r="V138" s="21">
        <v>422.6</v>
      </c>
      <c r="W138" s="21">
        <v>456.7</v>
      </c>
      <c r="X138" s="21">
        <v>507</v>
      </c>
      <c r="Y138" s="21">
        <v>486.7</v>
      </c>
      <c r="Z138" s="21">
        <v>488.3</v>
      </c>
      <c r="AA138" s="21">
        <v>486.9</v>
      </c>
      <c r="AB138" s="21">
        <v>494.3</v>
      </c>
      <c r="AC138" s="21">
        <v>513.20000000000005</v>
      </c>
      <c r="AD138" s="21">
        <v>550.70000000000005</v>
      </c>
      <c r="AE138" s="21">
        <v>548.9</v>
      </c>
      <c r="AF138" s="21">
        <v>481.2</v>
      </c>
      <c r="AG138" s="21">
        <v>534.9</v>
      </c>
      <c r="AH138" s="21">
        <v>681</v>
      </c>
      <c r="AI138" s="21">
        <v>651.79999999999995</v>
      </c>
      <c r="AJ138" s="21">
        <v>625.1</v>
      </c>
      <c r="AK138" s="21">
        <v>722.1</v>
      </c>
      <c r="AL138" s="21">
        <v>870.5</v>
      </c>
      <c r="AM138" s="21">
        <v>1055.9000000000001</v>
      </c>
      <c r="AN138" s="21">
        <v>1197.4000000000001</v>
      </c>
      <c r="AO138" s="21">
        <v>1292.3</v>
      </c>
      <c r="AP138" s="21">
        <v>1441.1</v>
      </c>
      <c r="AQ138" s="21">
        <v>1033.5999999999999</v>
      </c>
      <c r="AR138" s="21">
        <v>1217.0999999999999</v>
      </c>
      <c r="AS138" s="21">
        <v>1484.1</v>
      </c>
      <c r="AT138" s="21">
        <v>1507.6</v>
      </c>
      <c r="AU138" s="21">
        <v>1478.6</v>
      </c>
      <c r="AV138" s="21">
        <v>1422.2</v>
      </c>
      <c r="AW138" s="21">
        <v>1068.0999999999999</v>
      </c>
      <c r="AX138" s="21">
        <v>962.5</v>
      </c>
      <c r="AY138" s="21">
        <v>1071.8</v>
      </c>
      <c r="AZ138" s="21">
        <v>1185.9000000000001</v>
      </c>
      <c r="BA138" s="21">
        <v>1129.7</v>
      </c>
      <c r="BB138" s="21">
        <v>808.7</v>
      </c>
      <c r="BC138" s="21">
        <v>1213.8</v>
      </c>
    </row>
    <row r="139" spans="1:55" x14ac:dyDescent="0.2">
      <c r="A139" s="21" t="s">
        <v>1413</v>
      </c>
      <c r="B139" s="21" t="s">
        <v>1414</v>
      </c>
      <c r="C139" s="21" t="s">
        <v>697</v>
      </c>
      <c r="D139" s="21">
        <v>2.85</v>
      </c>
      <c r="E139" s="21">
        <v>2.9</v>
      </c>
      <c r="F139" s="21">
        <v>2.88</v>
      </c>
      <c r="G139" s="21">
        <v>3.1</v>
      </c>
      <c r="H139" s="21">
        <v>4.32</v>
      </c>
      <c r="I139" s="21">
        <v>4.6500000000000004</v>
      </c>
      <c r="J139" s="21">
        <v>4.84</v>
      </c>
      <c r="K139" s="21">
        <v>5.13</v>
      </c>
      <c r="L139" s="21">
        <v>5.24</v>
      </c>
      <c r="M139" s="21">
        <v>7.11</v>
      </c>
      <c r="N139" s="21">
        <v>9.84</v>
      </c>
      <c r="O139" s="21">
        <v>10.94</v>
      </c>
      <c r="P139" s="21">
        <v>10.39</v>
      </c>
      <c r="Q139" s="21">
        <v>9.1199999999999992</v>
      </c>
      <c r="R139" s="21">
        <v>8.89</v>
      </c>
      <c r="S139" s="21">
        <v>9.01</v>
      </c>
      <c r="T139" s="21">
        <v>6.79</v>
      </c>
      <c r="U139" s="21">
        <v>7.23</v>
      </c>
      <c r="V139" s="21">
        <v>7.33</v>
      </c>
      <c r="W139" s="21">
        <v>8.02</v>
      </c>
      <c r="X139" s="21">
        <v>9.1199999999999992</v>
      </c>
      <c r="Y139" s="21">
        <v>8.93</v>
      </c>
      <c r="Z139" s="21">
        <v>8.9600000000000009</v>
      </c>
      <c r="AA139" s="21">
        <v>8.89</v>
      </c>
      <c r="AB139" s="21">
        <v>8.99</v>
      </c>
      <c r="AC139" s="21">
        <v>9.24</v>
      </c>
      <c r="AD139" s="21">
        <v>9.86</v>
      </c>
      <c r="AE139" s="21">
        <v>9.83</v>
      </c>
      <c r="AF139" s="21">
        <v>8.4700000000000006</v>
      </c>
      <c r="AG139" s="21">
        <v>9.32</v>
      </c>
      <c r="AH139" s="21">
        <v>11.91</v>
      </c>
      <c r="AI139" s="21">
        <v>11.36</v>
      </c>
      <c r="AJ139" s="21">
        <v>10.71</v>
      </c>
      <c r="AK139" s="21">
        <v>12.36</v>
      </c>
      <c r="AL139" s="21">
        <v>14.72</v>
      </c>
      <c r="AM139" s="21">
        <v>17.98</v>
      </c>
      <c r="AN139" s="21">
        <v>20.399999999999999</v>
      </c>
      <c r="AO139" s="21">
        <v>22.34</v>
      </c>
      <c r="AP139" s="21">
        <v>26.09</v>
      </c>
      <c r="AQ139" s="21">
        <v>18.97</v>
      </c>
      <c r="AR139" s="21">
        <v>22.64</v>
      </c>
      <c r="AS139" s="21">
        <v>28.59</v>
      </c>
      <c r="AT139" s="21">
        <v>29.42</v>
      </c>
      <c r="AU139" s="21">
        <v>28.61</v>
      </c>
      <c r="AV139" s="21">
        <v>27.49</v>
      </c>
      <c r="AW139" s="21">
        <v>20.22</v>
      </c>
      <c r="AX139" s="21">
        <v>18.04</v>
      </c>
      <c r="AY139" s="21">
        <v>20.260000000000002</v>
      </c>
      <c r="AZ139" s="21">
        <v>22.52</v>
      </c>
      <c r="BA139" s="21">
        <v>21.61</v>
      </c>
      <c r="BB139" s="21">
        <v>18.010000000000002</v>
      </c>
      <c r="BC139" s="21">
        <v>24.8</v>
      </c>
    </row>
    <row r="140" spans="1:55" x14ac:dyDescent="0.2">
      <c r="A140" s="21" t="s">
        <v>1413</v>
      </c>
      <c r="B140" s="21" t="s">
        <v>1414</v>
      </c>
      <c r="C140" s="21" t="s">
        <v>700</v>
      </c>
      <c r="D140" s="21">
        <v>31596</v>
      </c>
      <c r="E140" s="21">
        <v>33478.199999999997</v>
      </c>
      <c r="F140" s="21">
        <v>35345.800000000003</v>
      </c>
      <c r="G140" s="21">
        <v>39666.6</v>
      </c>
      <c r="H140" s="21">
        <v>54193.7</v>
      </c>
      <c r="I140" s="21">
        <v>59445.7</v>
      </c>
      <c r="J140" s="21">
        <v>64977.4</v>
      </c>
      <c r="K140" s="21">
        <v>70591.199999999997</v>
      </c>
      <c r="L140" s="21">
        <v>74513.399999999994</v>
      </c>
      <c r="M140" s="21">
        <v>95916.5</v>
      </c>
      <c r="N140" s="21">
        <v>124407.7</v>
      </c>
      <c r="O140" s="21">
        <v>138138.1</v>
      </c>
      <c r="P140" s="21">
        <v>130305.5</v>
      </c>
      <c r="Q140" s="21">
        <v>115802.9</v>
      </c>
      <c r="R140" s="21">
        <v>114428.6</v>
      </c>
      <c r="S140" s="21">
        <v>118048.4</v>
      </c>
      <c r="T140" s="21">
        <v>91529.3</v>
      </c>
      <c r="U140" s="21">
        <v>99863.6</v>
      </c>
      <c r="V140" s="21">
        <v>103322.6</v>
      </c>
      <c r="W140" s="21">
        <v>112719.6</v>
      </c>
      <c r="X140" s="21">
        <v>126557.9</v>
      </c>
      <c r="Y140" s="21">
        <v>123118.2</v>
      </c>
      <c r="Z140" s="21">
        <v>125249.4</v>
      </c>
      <c r="AA140" s="21">
        <v>126560.2</v>
      </c>
      <c r="AB140" s="21">
        <v>130068</v>
      </c>
      <c r="AC140" s="21">
        <v>136646.9</v>
      </c>
      <c r="AD140" s="21">
        <v>148343.9</v>
      </c>
      <c r="AE140" s="21">
        <v>149668</v>
      </c>
      <c r="AF140" s="21">
        <v>132730</v>
      </c>
      <c r="AG140" s="21">
        <v>149260.20000000001</v>
      </c>
      <c r="AH140" s="21">
        <v>192152.5</v>
      </c>
      <c r="AI140" s="21">
        <v>185752.1</v>
      </c>
      <c r="AJ140" s="21">
        <v>179796.3</v>
      </c>
      <c r="AK140" s="21">
        <v>209493.1</v>
      </c>
      <c r="AL140" s="21">
        <v>254872.6</v>
      </c>
      <c r="AM140" s="21">
        <v>312046.8</v>
      </c>
      <c r="AN140" s="21">
        <v>357286.40000000002</v>
      </c>
      <c r="AO140" s="21">
        <v>389281.9</v>
      </c>
      <c r="AP140" s="21">
        <v>438236.7</v>
      </c>
      <c r="AQ140" s="21">
        <v>317081.7</v>
      </c>
      <c r="AR140" s="21">
        <v>376491.5</v>
      </c>
      <c r="AS140" s="21">
        <v>462434.7</v>
      </c>
      <c r="AT140" s="21">
        <v>473216</v>
      </c>
      <c r="AU140" s="21">
        <v>467328.2</v>
      </c>
      <c r="AV140" s="21">
        <v>452820.8</v>
      </c>
      <c r="AW140" s="21">
        <v>342577.5</v>
      </c>
      <c r="AX140" s="21">
        <v>310960.90000000002</v>
      </c>
      <c r="AY140" s="21">
        <v>348456.1</v>
      </c>
      <c r="AZ140" s="21">
        <v>387585.5</v>
      </c>
      <c r="BA140" s="21">
        <v>370929.9</v>
      </c>
      <c r="BB140" s="21">
        <v>268098.40000000002</v>
      </c>
      <c r="BC140" s="21">
        <v>403021.6</v>
      </c>
    </row>
    <row r="141" spans="1:55" x14ac:dyDescent="0.2">
      <c r="A141" s="21" t="s">
        <v>1413</v>
      </c>
      <c r="B141" s="21" t="s">
        <v>1414</v>
      </c>
      <c r="C141" s="21" t="s">
        <v>706</v>
      </c>
      <c r="D141" s="21">
        <v>1.1200000000000001</v>
      </c>
      <c r="E141" s="21">
        <v>1.18</v>
      </c>
      <c r="F141" s="21">
        <v>1.18</v>
      </c>
      <c r="G141" s="21">
        <v>1.37</v>
      </c>
      <c r="H141" s="21">
        <v>2.99</v>
      </c>
      <c r="I141" s="21">
        <v>3.85</v>
      </c>
      <c r="J141" s="21">
        <v>4.55</v>
      </c>
      <c r="K141" s="21">
        <v>4.99</v>
      </c>
      <c r="L141" s="21">
        <v>5.2</v>
      </c>
      <c r="M141" s="21">
        <v>7.4</v>
      </c>
      <c r="N141" s="21">
        <v>7.57</v>
      </c>
      <c r="O141" s="21">
        <v>9.51</v>
      </c>
      <c r="P141" s="21">
        <v>8.6</v>
      </c>
      <c r="Q141" s="21">
        <v>7.82</v>
      </c>
      <c r="R141" s="21">
        <v>7.72</v>
      </c>
      <c r="S141" s="21">
        <v>9.17</v>
      </c>
      <c r="T141" s="21">
        <v>4.99</v>
      </c>
      <c r="U141" s="21">
        <v>6.14</v>
      </c>
      <c r="V141" s="21">
        <v>5.03</v>
      </c>
      <c r="W141" s="21">
        <v>6.16</v>
      </c>
      <c r="X141" s="21">
        <v>7.13</v>
      </c>
      <c r="Y141" s="21">
        <v>6.12</v>
      </c>
      <c r="Z141" s="21">
        <v>5.91</v>
      </c>
      <c r="AA141" s="21">
        <v>5.27</v>
      </c>
      <c r="AB141" s="21">
        <v>5</v>
      </c>
      <c r="AC141" s="21">
        <v>5.53</v>
      </c>
      <c r="AD141" s="21">
        <v>6.65</v>
      </c>
      <c r="AE141" s="21">
        <v>6.11</v>
      </c>
      <c r="AF141" s="21">
        <v>4.0199999999999996</v>
      </c>
      <c r="AG141" s="21">
        <v>5.62</v>
      </c>
      <c r="AH141" s="21">
        <v>9.07</v>
      </c>
      <c r="AI141" s="21">
        <v>7.36</v>
      </c>
      <c r="AJ141" s="21">
        <v>7.73</v>
      </c>
      <c r="AK141" s="21">
        <v>9.16</v>
      </c>
      <c r="AL141" s="21">
        <v>11.87</v>
      </c>
      <c r="AM141" s="21">
        <v>16.12</v>
      </c>
      <c r="AN141" s="21">
        <v>19.329999999999998</v>
      </c>
      <c r="AO141" s="21">
        <v>21.8</v>
      </c>
      <c r="AP141" s="21">
        <v>30.4</v>
      </c>
      <c r="AQ141" s="21">
        <v>19.03</v>
      </c>
      <c r="AR141" s="21">
        <v>24.61</v>
      </c>
      <c r="AS141" s="21">
        <v>32.69</v>
      </c>
      <c r="AT141" s="21">
        <v>32.39</v>
      </c>
      <c r="AU141" s="21">
        <v>32.25</v>
      </c>
      <c r="AV141" s="21">
        <v>29.53</v>
      </c>
      <c r="AW141" s="21">
        <v>15.53</v>
      </c>
      <c r="AX141" s="21">
        <v>13.05</v>
      </c>
      <c r="AY141" s="21">
        <v>16.260000000000002</v>
      </c>
      <c r="AZ141" s="21">
        <v>20.66</v>
      </c>
      <c r="BA141" s="21">
        <v>19.05</v>
      </c>
      <c r="BB141" s="21">
        <v>12.76</v>
      </c>
      <c r="BC141" s="21">
        <v>21.77</v>
      </c>
    </row>
    <row r="142" spans="1:55" x14ac:dyDescent="0.2">
      <c r="A142" s="21" t="s">
        <v>1413</v>
      </c>
      <c r="B142" s="21" t="s">
        <v>1414</v>
      </c>
      <c r="C142" s="21" t="s">
        <v>709</v>
      </c>
      <c r="D142" s="21">
        <v>96.3</v>
      </c>
      <c r="E142" s="21">
        <v>102.4</v>
      </c>
      <c r="F142" s="21">
        <v>104.4</v>
      </c>
      <c r="G142" s="21">
        <v>149.9</v>
      </c>
      <c r="H142" s="21">
        <v>419.8</v>
      </c>
      <c r="I142" s="21">
        <v>729.4</v>
      </c>
      <c r="J142" s="21">
        <v>1250.5999999999999</v>
      </c>
      <c r="K142" s="21">
        <v>1553.6</v>
      </c>
      <c r="L142" s="21">
        <v>1408</v>
      </c>
      <c r="M142" s="21">
        <v>1853.1</v>
      </c>
      <c r="N142" s="21">
        <v>1798.6</v>
      </c>
      <c r="O142" s="21">
        <v>1995.3</v>
      </c>
      <c r="P142" s="21">
        <v>1581.8</v>
      </c>
      <c r="Q142" s="21">
        <v>1289.7</v>
      </c>
      <c r="R142" s="21">
        <v>1093.5999999999999</v>
      </c>
      <c r="S142" s="21">
        <v>1308.2</v>
      </c>
      <c r="T142" s="21">
        <v>682.4</v>
      </c>
      <c r="U142" s="21">
        <v>843</v>
      </c>
      <c r="V142" s="21">
        <v>837.9</v>
      </c>
      <c r="W142" s="21">
        <v>944.2</v>
      </c>
      <c r="X142" s="21">
        <v>982.8</v>
      </c>
      <c r="Y142" s="21">
        <v>933.5</v>
      </c>
      <c r="Z142" s="21">
        <v>591.79999999999995</v>
      </c>
      <c r="AA142" s="21">
        <v>498.8</v>
      </c>
      <c r="AB142" s="21">
        <v>529.6</v>
      </c>
      <c r="AC142" s="21">
        <v>537</v>
      </c>
      <c r="AD142" s="21">
        <v>591.70000000000005</v>
      </c>
      <c r="AE142" s="21">
        <v>597.20000000000005</v>
      </c>
      <c r="AF142" s="21">
        <v>478</v>
      </c>
      <c r="AG142" s="21">
        <v>628.79999999999995</v>
      </c>
      <c r="AH142" s="21">
        <v>1081</v>
      </c>
      <c r="AI142" s="21">
        <v>919.9</v>
      </c>
      <c r="AJ142" s="21">
        <v>1037.7</v>
      </c>
      <c r="AK142" s="21">
        <v>1153.2</v>
      </c>
      <c r="AL142" s="21">
        <v>1345.9</v>
      </c>
      <c r="AM142" s="21">
        <v>1818.4</v>
      </c>
      <c r="AN142" s="21">
        <v>2629.6</v>
      </c>
      <c r="AO142" s="21">
        <v>2910</v>
      </c>
      <c r="AP142" s="21">
        <v>4318</v>
      </c>
      <c r="AQ142" s="21">
        <v>2888.6</v>
      </c>
      <c r="AR142" s="21">
        <v>3905.5</v>
      </c>
      <c r="AS142" s="21">
        <v>5385.3</v>
      </c>
      <c r="AT142" s="21">
        <v>5233.3</v>
      </c>
      <c r="AU142" s="21">
        <v>5519.4</v>
      </c>
      <c r="AV142" s="21">
        <v>5396.1</v>
      </c>
      <c r="AW142" s="21">
        <v>2933.7</v>
      </c>
      <c r="AX142" s="21">
        <v>2496.6</v>
      </c>
      <c r="AY142" s="21">
        <v>3233.2</v>
      </c>
      <c r="AZ142" s="21">
        <v>4089.9</v>
      </c>
      <c r="BA142" s="21">
        <v>3432.8</v>
      </c>
      <c r="BB142" s="21">
        <v>2176.9</v>
      </c>
      <c r="BC142" s="21">
        <v>3717.7</v>
      </c>
    </row>
    <row r="143" spans="1:55" x14ac:dyDescent="0.2">
      <c r="A143" s="21" t="s">
        <v>1413</v>
      </c>
      <c r="B143" s="21" t="s">
        <v>1414</v>
      </c>
      <c r="C143" s="21" t="s">
        <v>718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3.29</v>
      </c>
      <c r="Y143" s="21">
        <v>3.84</v>
      </c>
      <c r="Z143" s="21">
        <v>4.53</v>
      </c>
      <c r="AA143" s="21">
        <v>4.3</v>
      </c>
      <c r="AB143" s="21">
        <v>4.12</v>
      </c>
      <c r="AC143" s="21">
        <v>3.91</v>
      </c>
      <c r="AD143" s="21">
        <v>3.97</v>
      </c>
      <c r="AE143" s="21">
        <v>4.34</v>
      </c>
      <c r="AF143" s="21">
        <v>4</v>
      </c>
      <c r="AG143" s="21">
        <v>4.1900000000000004</v>
      </c>
      <c r="AH143" s="21">
        <v>5.21</v>
      </c>
      <c r="AI143" s="21">
        <v>7.09</v>
      </c>
      <c r="AJ143" s="21">
        <v>5.34</v>
      </c>
      <c r="AK143" s="21">
        <v>6.68</v>
      </c>
      <c r="AL143" s="21">
        <v>7.78</v>
      </c>
      <c r="AM143" s="21">
        <v>9.16</v>
      </c>
      <c r="AN143" s="21">
        <v>9.61</v>
      </c>
      <c r="AO143" s="21">
        <v>9.19</v>
      </c>
      <c r="AP143" s="21">
        <v>12.21</v>
      </c>
      <c r="AQ143" s="21">
        <v>8.7100000000000009</v>
      </c>
      <c r="AR143" s="21">
        <v>6.77</v>
      </c>
      <c r="AS143" s="21">
        <v>7.42</v>
      </c>
      <c r="AT143" s="21">
        <v>10.39</v>
      </c>
      <c r="AU143" s="21">
        <v>11.73</v>
      </c>
      <c r="AV143" s="21">
        <v>11.54</v>
      </c>
      <c r="AW143" s="21">
        <v>9.77</v>
      </c>
      <c r="AX143" s="21">
        <v>9.06</v>
      </c>
      <c r="AY143" s="21">
        <v>9.11</v>
      </c>
      <c r="AZ143" s="21">
        <v>8.9</v>
      </c>
      <c r="BA143" s="21">
        <v>9.15</v>
      </c>
      <c r="BB143" s="21">
        <v>8.39</v>
      </c>
      <c r="BC143" s="21">
        <v>10.34</v>
      </c>
    </row>
    <row r="144" spans="1:55" x14ac:dyDescent="0.2">
      <c r="A144" s="21" t="s">
        <v>1413</v>
      </c>
      <c r="B144" s="21" t="s">
        <v>1414</v>
      </c>
      <c r="C144" s="21" t="s">
        <v>723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0.9</v>
      </c>
      <c r="Y144" s="21">
        <v>1.4</v>
      </c>
      <c r="Z144" s="21">
        <v>9.9</v>
      </c>
      <c r="AA144" s="21">
        <v>12.7</v>
      </c>
      <c r="AB144" s="21">
        <v>13.6</v>
      </c>
      <c r="AC144" s="21">
        <v>18.5</v>
      </c>
      <c r="AD144" s="21">
        <v>24.9</v>
      </c>
      <c r="AE144" s="21">
        <v>37.200000000000003</v>
      </c>
      <c r="AF144" s="21">
        <v>38.799999999999997</v>
      </c>
      <c r="AG144" s="21">
        <v>50</v>
      </c>
      <c r="AH144" s="21">
        <v>67.599999999999994</v>
      </c>
      <c r="AI144" s="21">
        <v>105.8</v>
      </c>
      <c r="AJ144" s="21">
        <v>81.900000000000006</v>
      </c>
      <c r="AK144" s="21">
        <v>125.5</v>
      </c>
      <c r="AL144" s="21">
        <v>163.80000000000001</v>
      </c>
      <c r="AM144" s="21">
        <v>215.2</v>
      </c>
      <c r="AN144" s="21">
        <v>233.9</v>
      </c>
      <c r="AO144" s="21">
        <v>233</v>
      </c>
      <c r="AP144" s="21">
        <v>325.8</v>
      </c>
      <c r="AQ144" s="21">
        <v>243.5</v>
      </c>
      <c r="AR144" s="21">
        <v>198.6</v>
      </c>
      <c r="AS144" s="21">
        <v>227.3</v>
      </c>
      <c r="AT144" s="21">
        <v>318.89999999999998</v>
      </c>
      <c r="AU144" s="21">
        <v>362.1</v>
      </c>
      <c r="AV144" s="21">
        <v>419.8</v>
      </c>
      <c r="AW144" s="21">
        <v>399.4</v>
      </c>
      <c r="AX144" s="21">
        <v>395.1</v>
      </c>
      <c r="AY144" s="21">
        <v>455.5</v>
      </c>
      <c r="AZ144" s="21">
        <v>464.8</v>
      </c>
      <c r="BA144" s="21">
        <v>503.7</v>
      </c>
      <c r="BB144" s="21">
        <v>426.6</v>
      </c>
      <c r="BC144" s="21">
        <v>584.29999999999995</v>
      </c>
    </row>
    <row r="145" spans="1:55" x14ac:dyDescent="0.2">
      <c r="A145" s="21" t="s">
        <v>1413</v>
      </c>
      <c r="B145" s="21" t="s">
        <v>1414</v>
      </c>
      <c r="C145" s="21" t="s">
        <v>725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278</v>
      </c>
      <c r="Y145" s="21">
        <v>378</v>
      </c>
      <c r="Z145" s="21">
        <v>2188</v>
      </c>
      <c r="AA145" s="21">
        <v>2964</v>
      </c>
      <c r="AB145" s="21">
        <v>3312</v>
      </c>
      <c r="AC145" s="21">
        <v>4723</v>
      </c>
      <c r="AD145" s="21">
        <v>6267</v>
      </c>
      <c r="AE145" s="21">
        <v>8563</v>
      </c>
      <c r="AF145" s="21">
        <v>9683</v>
      </c>
      <c r="AG145" s="21">
        <v>11948</v>
      </c>
      <c r="AH145" s="21">
        <v>12974</v>
      </c>
      <c r="AI145" s="21">
        <v>14920</v>
      </c>
      <c r="AJ145" s="21">
        <v>15342</v>
      </c>
      <c r="AK145" s="21">
        <v>18805</v>
      </c>
      <c r="AL145" s="21">
        <v>21066</v>
      </c>
      <c r="AM145" s="21">
        <v>23501</v>
      </c>
      <c r="AN145" s="21">
        <v>24326</v>
      </c>
      <c r="AO145" s="21">
        <v>25353</v>
      </c>
      <c r="AP145" s="21">
        <v>26677</v>
      </c>
      <c r="AQ145" s="21">
        <v>27967</v>
      </c>
      <c r="AR145" s="21">
        <v>29330</v>
      </c>
      <c r="AS145" s="21">
        <v>30620</v>
      </c>
      <c r="AT145" s="21">
        <v>30700</v>
      </c>
      <c r="AU145" s="21">
        <v>30878</v>
      </c>
      <c r="AV145" s="21">
        <v>36382</v>
      </c>
      <c r="AW145" s="21">
        <v>40864</v>
      </c>
      <c r="AX145" s="21">
        <v>43602</v>
      </c>
      <c r="AY145" s="21">
        <v>49992</v>
      </c>
      <c r="AZ145" s="21">
        <v>52228</v>
      </c>
      <c r="BA145" s="21">
        <v>55060</v>
      </c>
      <c r="BB145" s="21">
        <v>50842</v>
      </c>
      <c r="BC145" s="21">
        <v>56477</v>
      </c>
    </row>
    <row r="146" spans="1:55" x14ac:dyDescent="0.2">
      <c r="A146" s="21" t="s">
        <v>1413</v>
      </c>
      <c r="B146" s="21" t="s">
        <v>1414</v>
      </c>
      <c r="C146" s="21" t="s">
        <v>729</v>
      </c>
      <c r="D146" s="21">
        <v>0.75</v>
      </c>
      <c r="E146" s="21">
        <v>0.8</v>
      </c>
      <c r="F146" s="21">
        <v>0.86</v>
      </c>
      <c r="G146" s="21">
        <v>0.91</v>
      </c>
      <c r="H146" s="21">
        <v>1.05</v>
      </c>
      <c r="I146" s="21">
        <v>1.32</v>
      </c>
      <c r="J146" s="21">
        <v>1.61</v>
      </c>
      <c r="K146" s="21">
        <v>2</v>
      </c>
      <c r="L146" s="21">
        <v>2.2000000000000002</v>
      </c>
      <c r="M146" s="21">
        <v>2.69</v>
      </c>
      <c r="N146" s="21">
        <v>3.32</v>
      </c>
      <c r="O146" s="21">
        <v>3.91</v>
      </c>
      <c r="P146" s="21">
        <v>4.7</v>
      </c>
      <c r="Q146" s="21">
        <v>5.43</v>
      </c>
      <c r="R146" s="21">
        <v>5.4</v>
      </c>
      <c r="S146" s="21">
        <v>5.34</v>
      </c>
      <c r="T146" s="21">
        <v>4.9400000000000004</v>
      </c>
      <c r="U146" s="21">
        <v>4.6399999999999997</v>
      </c>
      <c r="V146" s="21">
        <v>4.51</v>
      </c>
      <c r="W146" s="21">
        <v>4.6100000000000003</v>
      </c>
      <c r="X146" s="21">
        <v>4.7</v>
      </c>
      <c r="Y146" s="21">
        <v>4.6900000000000004</v>
      </c>
      <c r="Z146" s="21">
        <v>4.75</v>
      </c>
      <c r="AA146" s="21">
        <v>5.08</v>
      </c>
      <c r="AB146" s="21">
        <v>5.35</v>
      </c>
      <c r="AC146" s="21">
        <v>4.9400000000000004</v>
      </c>
      <c r="AD146" s="21">
        <v>5.26</v>
      </c>
      <c r="AE146" s="21">
        <v>5.67</v>
      </c>
      <c r="AF146" s="21">
        <v>5.38</v>
      </c>
      <c r="AG146" s="21">
        <v>5.22</v>
      </c>
      <c r="AH146" s="21">
        <v>6.54</v>
      </c>
      <c r="AI146" s="21">
        <v>8.32</v>
      </c>
      <c r="AJ146" s="21">
        <v>6.49</v>
      </c>
      <c r="AK146" s="21">
        <v>8.07</v>
      </c>
      <c r="AL146" s="21">
        <v>9.19</v>
      </c>
      <c r="AM146" s="21">
        <v>10.98</v>
      </c>
      <c r="AN146" s="21">
        <v>11.6</v>
      </c>
      <c r="AO146" s="21">
        <v>10.99</v>
      </c>
      <c r="AP146" s="21">
        <v>11.89</v>
      </c>
      <c r="AQ146" s="21">
        <v>9.6999999999999993</v>
      </c>
      <c r="AR146" s="21">
        <v>9.1999999999999993</v>
      </c>
      <c r="AS146" s="21">
        <v>8.7899999999999991</v>
      </c>
      <c r="AT146" s="21">
        <v>8.0299999999999994</v>
      </c>
      <c r="AU146" s="21">
        <v>8.06</v>
      </c>
      <c r="AV146" s="21">
        <v>8.8000000000000007</v>
      </c>
      <c r="AW146" s="21">
        <v>7.8</v>
      </c>
      <c r="AX146" s="21">
        <v>7.2</v>
      </c>
      <c r="AY146" s="21">
        <v>7.8</v>
      </c>
      <c r="AZ146" s="21">
        <v>7.7</v>
      </c>
      <c r="BA146" s="21">
        <v>7.55</v>
      </c>
      <c r="BB146" s="21">
        <v>7.47</v>
      </c>
      <c r="BC146" s="21">
        <v>8.74</v>
      </c>
    </row>
    <row r="147" spans="1:55" x14ac:dyDescent="0.2">
      <c r="A147" s="21" t="s">
        <v>1413</v>
      </c>
      <c r="B147" s="21" t="s">
        <v>1414</v>
      </c>
      <c r="C147" s="21" t="s">
        <v>732</v>
      </c>
      <c r="D147" s="21">
        <v>1844.3</v>
      </c>
      <c r="E147" s="21">
        <v>2060</v>
      </c>
      <c r="F147" s="21">
        <v>2289.1999999999998</v>
      </c>
      <c r="G147" s="21">
        <v>2421</v>
      </c>
      <c r="H147" s="21">
        <v>2740.8</v>
      </c>
      <c r="I147" s="21">
        <v>3385.4</v>
      </c>
      <c r="J147" s="21">
        <v>4378.8999999999996</v>
      </c>
      <c r="K147" s="21">
        <v>5094.2</v>
      </c>
      <c r="L147" s="21">
        <v>5812.1</v>
      </c>
      <c r="M147" s="21">
        <v>7622.7</v>
      </c>
      <c r="N147" s="21">
        <v>8858.1</v>
      </c>
      <c r="O147" s="21">
        <v>10084.9</v>
      </c>
      <c r="P147" s="21">
        <v>12564.8</v>
      </c>
      <c r="Q147" s="21">
        <v>13601.7</v>
      </c>
      <c r="R147" s="21">
        <v>14011.8</v>
      </c>
      <c r="S147" s="21">
        <v>13367.5</v>
      </c>
      <c r="T147" s="21">
        <v>11770.1</v>
      </c>
      <c r="U147" s="21">
        <v>11600.8</v>
      </c>
      <c r="V147" s="21">
        <v>12376.6</v>
      </c>
      <c r="W147" s="21">
        <v>12907.5</v>
      </c>
      <c r="X147" s="21">
        <v>12681.4</v>
      </c>
      <c r="Y147" s="21">
        <v>13175.3</v>
      </c>
      <c r="Z147" s="21">
        <v>13684.5</v>
      </c>
      <c r="AA147" s="21">
        <v>14966.7</v>
      </c>
      <c r="AB147" s="21">
        <v>15926.8</v>
      </c>
      <c r="AC147" s="21">
        <v>15383.3</v>
      </c>
      <c r="AD147" s="21">
        <v>17106.3</v>
      </c>
      <c r="AE147" s="21">
        <v>18755.400000000001</v>
      </c>
      <c r="AF147" s="21">
        <v>16667.099999999999</v>
      </c>
      <c r="AG147" s="21">
        <v>16350.9</v>
      </c>
      <c r="AH147" s="21">
        <v>21339.200000000001</v>
      </c>
      <c r="AI147" s="21">
        <v>25878.5</v>
      </c>
      <c r="AJ147" s="21">
        <v>20926</v>
      </c>
      <c r="AK147" s="21">
        <v>26410.7</v>
      </c>
      <c r="AL147" s="21">
        <v>29517.5</v>
      </c>
      <c r="AM147" s="21">
        <v>33838</v>
      </c>
      <c r="AN147" s="21">
        <v>33736.199999999997</v>
      </c>
      <c r="AO147" s="21">
        <v>34005</v>
      </c>
      <c r="AP147" s="21">
        <v>38475.9</v>
      </c>
      <c r="AQ147" s="21">
        <v>31012.2</v>
      </c>
      <c r="AR147" s="21">
        <v>29184.1</v>
      </c>
      <c r="AS147" s="21">
        <v>28370.3</v>
      </c>
      <c r="AT147" s="21">
        <v>23843.5</v>
      </c>
      <c r="AU147" s="21">
        <v>27317.7</v>
      </c>
      <c r="AV147" s="21">
        <v>31538</v>
      </c>
      <c r="AW147" s="21">
        <v>25933.5</v>
      </c>
      <c r="AX147" s="21">
        <v>23277.7</v>
      </c>
      <c r="AY147" s="21">
        <v>25661.9</v>
      </c>
      <c r="AZ147" s="21">
        <v>28146.6</v>
      </c>
      <c r="BA147" s="21">
        <v>27643.9</v>
      </c>
      <c r="BB147" s="21">
        <v>24681.4</v>
      </c>
      <c r="BC147" s="21">
        <v>29999.200000000001</v>
      </c>
    </row>
    <row r="148" spans="1:55" x14ac:dyDescent="0.2">
      <c r="A148" s="21" t="s">
        <v>1413</v>
      </c>
      <c r="B148" s="21" t="s">
        <v>1414</v>
      </c>
      <c r="C148" s="21" t="s">
        <v>736</v>
      </c>
      <c r="D148" s="21">
        <v>0.28000000000000003</v>
      </c>
      <c r="E148" s="21">
        <v>0.31</v>
      </c>
      <c r="F148" s="21">
        <v>0.33</v>
      </c>
      <c r="G148" s="21">
        <v>0.35</v>
      </c>
      <c r="H148" s="21">
        <v>0.49</v>
      </c>
      <c r="I148" s="21">
        <v>0.75</v>
      </c>
      <c r="J148" s="21">
        <v>1.03</v>
      </c>
      <c r="K148" s="21">
        <v>1.29</v>
      </c>
      <c r="L148" s="21">
        <v>1.43</v>
      </c>
      <c r="M148" s="21">
        <v>1.74</v>
      </c>
      <c r="N148" s="21">
        <v>2.2000000000000002</v>
      </c>
      <c r="O148" s="21">
        <v>2.8</v>
      </c>
      <c r="P148" s="21">
        <v>3.37</v>
      </c>
      <c r="Q148" s="21">
        <v>3.47</v>
      </c>
      <c r="R148" s="21">
        <v>3.58</v>
      </c>
      <c r="S148" s="21">
        <v>3.43</v>
      </c>
      <c r="T148" s="21">
        <v>2.35</v>
      </c>
      <c r="U148" s="21">
        <v>2.2400000000000002</v>
      </c>
      <c r="V148" s="21">
        <v>2.2599999999999998</v>
      </c>
      <c r="W148" s="21">
        <v>2.37</v>
      </c>
      <c r="X148" s="21">
        <v>2.34</v>
      </c>
      <c r="Y148" s="21">
        <v>2.16</v>
      </c>
      <c r="Z148" s="21">
        <v>2.33</v>
      </c>
      <c r="AA148" s="21">
        <v>2.58</v>
      </c>
      <c r="AB148" s="21">
        <v>2.2599999999999998</v>
      </c>
      <c r="AC148" s="21">
        <v>2.0299999999999998</v>
      </c>
      <c r="AD148" s="21">
        <v>2.68</v>
      </c>
      <c r="AE148" s="21">
        <v>2.79</v>
      </c>
      <c r="AF148" s="21">
        <v>2.4500000000000002</v>
      </c>
      <c r="AG148" s="21">
        <v>2.62</v>
      </c>
      <c r="AH148" s="21">
        <v>4.53</v>
      </c>
      <c r="AI148" s="21">
        <v>5.21</v>
      </c>
      <c r="AJ148" s="21">
        <v>3.6</v>
      </c>
      <c r="AK148" s="21">
        <v>5.42</v>
      </c>
      <c r="AL148" s="21">
        <v>5.96</v>
      </c>
      <c r="AM148" s="21">
        <v>8.25</v>
      </c>
      <c r="AN148" s="21">
        <v>6.92</v>
      </c>
      <c r="AO148" s="21">
        <v>7.11</v>
      </c>
      <c r="AP148" s="21">
        <v>9.0399999999999991</v>
      </c>
      <c r="AQ148" s="21">
        <v>4.82</v>
      </c>
      <c r="AR148" s="21">
        <v>5.16</v>
      </c>
      <c r="AS148" s="21">
        <v>4.84</v>
      </c>
      <c r="AT148" s="21">
        <v>3.48</v>
      </c>
      <c r="AU148" s="21">
        <v>4.41</v>
      </c>
      <c r="AV148" s="21">
        <v>5.0599999999999996</v>
      </c>
      <c r="AW148" s="21">
        <v>3.28</v>
      </c>
      <c r="AX148" s="21">
        <v>2.91</v>
      </c>
      <c r="AY148" s="21">
        <v>3.39</v>
      </c>
      <c r="AZ148" s="21">
        <v>3.56</v>
      </c>
      <c r="BA148" s="21">
        <v>2.89</v>
      </c>
      <c r="BB148" s="21">
        <v>2.41</v>
      </c>
      <c r="BC148" s="21">
        <v>5.15</v>
      </c>
    </row>
    <row r="149" spans="1:55" x14ac:dyDescent="0.2">
      <c r="A149" s="21" t="s">
        <v>1413</v>
      </c>
      <c r="B149" s="21" t="s">
        <v>1414</v>
      </c>
      <c r="C149" s="21" t="s">
        <v>742</v>
      </c>
      <c r="D149" s="21">
        <v>1150.5999999999999</v>
      </c>
      <c r="E149" s="21">
        <v>1283.3</v>
      </c>
      <c r="F149" s="21">
        <v>1350.9</v>
      </c>
      <c r="G149" s="21">
        <v>1293.9000000000001</v>
      </c>
      <c r="H149" s="21">
        <v>1720.2</v>
      </c>
      <c r="I149" s="21">
        <v>2422.4</v>
      </c>
      <c r="J149" s="21">
        <v>3242</v>
      </c>
      <c r="K149" s="21">
        <v>4225.3999999999996</v>
      </c>
      <c r="L149" s="21">
        <v>4694.6000000000004</v>
      </c>
      <c r="M149" s="21">
        <v>6280.9</v>
      </c>
      <c r="N149" s="21">
        <v>8356.7000000000007</v>
      </c>
      <c r="O149" s="21">
        <v>10524.4</v>
      </c>
      <c r="P149" s="21">
        <v>11236.1</v>
      </c>
      <c r="Q149" s="21">
        <v>10373.1</v>
      </c>
      <c r="R149" s="21">
        <v>11520.7</v>
      </c>
      <c r="S149" s="21">
        <v>10819</v>
      </c>
      <c r="T149" s="21">
        <v>6305.4</v>
      </c>
      <c r="U149" s="21">
        <v>6582.6</v>
      </c>
      <c r="V149" s="21">
        <v>6123.2</v>
      </c>
      <c r="W149" s="21">
        <v>7569.3</v>
      </c>
      <c r="X149" s="21">
        <v>7808.8</v>
      </c>
      <c r="Y149" s="21">
        <v>7358.9</v>
      </c>
      <c r="Z149" s="21">
        <v>8239.4</v>
      </c>
      <c r="AA149" s="21">
        <v>9172.4</v>
      </c>
      <c r="AB149" s="21">
        <v>9056.2999999999993</v>
      </c>
      <c r="AC149" s="21">
        <v>8768.9</v>
      </c>
      <c r="AD149" s="21">
        <v>10386.799999999999</v>
      </c>
      <c r="AE149" s="21">
        <v>11588.4</v>
      </c>
      <c r="AF149" s="21">
        <v>11524.7</v>
      </c>
      <c r="AG149" s="21">
        <v>12903.2</v>
      </c>
      <c r="AH149" s="21">
        <v>24103.8</v>
      </c>
      <c r="AI149" s="21">
        <v>28618.3</v>
      </c>
      <c r="AJ149" s="21">
        <v>20838.8</v>
      </c>
      <c r="AK149" s="21">
        <v>28506.2</v>
      </c>
      <c r="AL149" s="21">
        <v>33432.9</v>
      </c>
      <c r="AM149" s="21">
        <v>49807.3</v>
      </c>
      <c r="AN149" s="21">
        <v>44215.7</v>
      </c>
      <c r="AO149" s="21">
        <v>49995.199999999997</v>
      </c>
      <c r="AP149" s="21">
        <v>61935.7</v>
      </c>
      <c r="AQ149" s="21">
        <v>33964</v>
      </c>
      <c r="AR149" s="21">
        <v>38990.800000000003</v>
      </c>
      <c r="AS149" s="21">
        <v>37433.9</v>
      </c>
      <c r="AT149" s="21">
        <v>32363.4</v>
      </c>
      <c r="AU149" s="21">
        <v>37033.4</v>
      </c>
      <c r="AV149" s="21">
        <v>42413.599999999999</v>
      </c>
      <c r="AW149" s="21">
        <v>32620.400000000001</v>
      </c>
      <c r="AX149" s="21">
        <v>30073.3</v>
      </c>
      <c r="AY149" s="21">
        <v>32505.9</v>
      </c>
      <c r="AZ149" s="21">
        <v>39012.800000000003</v>
      </c>
      <c r="BA149" s="21">
        <v>33771.699999999997</v>
      </c>
      <c r="BB149" s="21">
        <v>29013</v>
      </c>
      <c r="BC149" s="21">
        <v>59762.400000000001</v>
      </c>
    </row>
    <row r="150" spans="1:55" x14ac:dyDescent="0.2">
      <c r="A150" s="21" t="s">
        <v>1413</v>
      </c>
      <c r="B150" s="21" t="s">
        <v>1414</v>
      </c>
      <c r="C150" s="21" t="s">
        <v>748</v>
      </c>
      <c r="D150" s="21">
        <v>0.38</v>
      </c>
      <c r="E150" s="21">
        <v>0.41</v>
      </c>
      <c r="F150" s="21">
        <v>0.46</v>
      </c>
      <c r="G150" s="21">
        <v>0.5</v>
      </c>
      <c r="H150" s="21">
        <v>0.67</v>
      </c>
      <c r="I150" s="21">
        <v>0.95</v>
      </c>
      <c r="J150" s="21">
        <v>1.21</v>
      </c>
      <c r="K150" s="21">
        <v>1.48</v>
      </c>
      <c r="L150" s="21">
        <v>1.66</v>
      </c>
      <c r="M150" s="21">
        <v>1.96</v>
      </c>
      <c r="N150" s="21">
        <v>2.52</v>
      </c>
      <c r="O150" s="21">
        <v>3.07</v>
      </c>
      <c r="P150" s="21">
        <v>3.8</v>
      </c>
      <c r="Q150" s="21">
        <v>4.0999999999999996</v>
      </c>
      <c r="R150" s="21">
        <v>4.13</v>
      </c>
      <c r="S150" s="21">
        <v>3.87</v>
      </c>
      <c r="T150" s="21">
        <v>3.2</v>
      </c>
      <c r="U150" s="21">
        <v>2.88</v>
      </c>
      <c r="V150" s="21">
        <v>2.9</v>
      </c>
      <c r="W150" s="21">
        <v>2.93</v>
      </c>
      <c r="X150" s="21">
        <v>2.95</v>
      </c>
      <c r="Y150" s="21">
        <v>2.8</v>
      </c>
      <c r="Z150" s="21">
        <v>2.91</v>
      </c>
      <c r="AA150" s="21">
        <v>3.12</v>
      </c>
      <c r="AB150" s="21">
        <v>3.09</v>
      </c>
      <c r="AC150" s="21">
        <v>2.8</v>
      </c>
      <c r="AD150" s="21">
        <v>3.3</v>
      </c>
      <c r="AE150" s="21">
        <v>3.53</v>
      </c>
      <c r="AF150" s="21">
        <v>3.16</v>
      </c>
      <c r="AG150" s="21">
        <v>3.21</v>
      </c>
      <c r="AH150" s="21">
        <v>4.5999999999999996</v>
      </c>
      <c r="AI150" s="21">
        <v>5.71</v>
      </c>
      <c r="AJ150" s="21">
        <v>4.4800000000000004</v>
      </c>
      <c r="AK150" s="21">
        <v>6.2</v>
      </c>
      <c r="AL150" s="21">
        <v>7.02</v>
      </c>
      <c r="AM150" s="21">
        <v>9.08</v>
      </c>
      <c r="AN150" s="21">
        <v>8.77</v>
      </c>
      <c r="AO150" s="21">
        <v>8.2899999999999991</v>
      </c>
      <c r="AP150" s="21">
        <v>10.06</v>
      </c>
      <c r="AQ150" s="21">
        <v>6.46</v>
      </c>
      <c r="AR150" s="21">
        <v>6.17</v>
      </c>
      <c r="AS150" s="21">
        <v>5.96</v>
      </c>
      <c r="AT150" s="21">
        <v>4.91</v>
      </c>
      <c r="AU150" s="21">
        <v>5.46</v>
      </c>
      <c r="AV150" s="21">
        <v>6.36</v>
      </c>
      <c r="AW150" s="21">
        <v>4.8600000000000003</v>
      </c>
      <c r="AX150" s="21">
        <v>4.2699999999999996</v>
      </c>
      <c r="AY150" s="21">
        <v>4.83</v>
      </c>
      <c r="AZ150" s="21">
        <v>4.8499999999999996</v>
      </c>
      <c r="BA150" s="21">
        <v>4.5999999999999996</v>
      </c>
      <c r="BB150" s="21">
        <v>4.09</v>
      </c>
      <c r="BC150" s="21">
        <v>5.89</v>
      </c>
    </row>
    <row r="151" spans="1:55" x14ac:dyDescent="0.2">
      <c r="A151" s="21" t="s">
        <v>1413</v>
      </c>
      <c r="B151" s="21" t="s">
        <v>1414</v>
      </c>
      <c r="C151" s="21" t="s">
        <v>751</v>
      </c>
      <c r="D151" s="21">
        <v>2624.7</v>
      </c>
      <c r="E151" s="21">
        <v>3019.3</v>
      </c>
      <c r="F151" s="21">
        <v>3335.1</v>
      </c>
      <c r="G151" s="21">
        <v>3936.1</v>
      </c>
      <c r="H151" s="21">
        <v>4970.5</v>
      </c>
      <c r="I151" s="21">
        <v>5843.6</v>
      </c>
      <c r="J151" s="21">
        <v>7483.7</v>
      </c>
      <c r="K151" s="21">
        <v>8958.4</v>
      </c>
      <c r="L151" s="21">
        <v>10113.9</v>
      </c>
      <c r="M151" s="21">
        <v>12110.1</v>
      </c>
      <c r="N151" s="21">
        <v>16349.8</v>
      </c>
      <c r="O151" s="21">
        <v>20432.2</v>
      </c>
      <c r="P151" s="21">
        <v>20503.900000000001</v>
      </c>
      <c r="Q151" s="21">
        <v>21461.3</v>
      </c>
      <c r="R151" s="21">
        <v>23762.9</v>
      </c>
      <c r="S151" s="21">
        <v>21614.9</v>
      </c>
      <c r="T151" s="21">
        <v>16478.7</v>
      </c>
      <c r="U151" s="21">
        <v>15909</v>
      </c>
      <c r="V151" s="21">
        <v>17257.2</v>
      </c>
      <c r="W151" s="21">
        <v>18769.7</v>
      </c>
      <c r="X151" s="21">
        <v>19347.8</v>
      </c>
      <c r="Y151" s="21">
        <v>18912.5</v>
      </c>
      <c r="Z151" s="21">
        <v>20553.400000000001</v>
      </c>
      <c r="AA151" s="21">
        <v>22367.1</v>
      </c>
      <c r="AB151" s="21">
        <v>22556.2</v>
      </c>
      <c r="AC151" s="21">
        <v>21487.1</v>
      </c>
      <c r="AD151" s="21">
        <v>26167.3</v>
      </c>
      <c r="AE151" s="21">
        <v>28411.1</v>
      </c>
      <c r="AF151" s="21">
        <v>24515.200000000001</v>
      </c>
      <c r="AG151" s="21">
        <v>24079</v>
      </c>
      <c r="AH151" s="21">
        <v>34623.800000000003</v>
      </c>
      <c r="AI151" s="21">
        <v>38596.400000000001</v>
      </c>
      <c r="AJ151" s="21">
        <v>31198.7</v>
      </c>
      <c r="AK151" s="21">
        <v>41168.400000000001</v>
      </c>
      <c r="AL151" s="21">
        <v>47463.4</v>
      </c>
      <c r="AM151" s="21">
        <v>55298.9</v>
      </c>
      <c r="AN151" s="21">
        <v>52569.9</v>
      </c>
      <c r="AO151" s="21">
        <v>51126.2</v>
      </c>
      <c r="AP151" s="21">
        <v>61877.4</v>
      </c>
      <c r="AQ151" s="21">
        <v>36304.300000000003</v>
      </c>
      <c r="AR151" s="21">
        <v>38533.4</v>
      </c>
      <c r="AS151" s="21">
        <v>37972</v>
      </c>
      <c r="AT151" s="21">
        <v>32172.799999999999</v>
      </c>
      <c r="AU151" s="21">
        <v>36512.6</v>
      </c>
      <c r="AV151" s="21">
        <v>44291.3</v>
      </c>
      <c r="AW151" s="21">
        <v>33579.300000000003</v>
      </c>
      <c r="AX151" s="21">
        <v>30300</v>
      </c>
      <c r="AY151" s="21">
        <v>35344.400000000001</v>
      </c>
      <c r="AZ151" s="21">
        <v>37726.800000000003</v>
      </c>
      <c r="BA151" s="21">
        <v>35674.300000000003</v>
      </c>
      <c r="BB151" s="21">
        <v>30458.1</v>
      </c>
      <c r="BC151" s="21">
        <v>44615.3</v>
      </c>
    </row>
    <row r="152" spans="1:55" x14ac:dyDescent="0.2">
      <c r="A152" s="21" t="s">
        <v>1413</v>
      </c>
      <c r="B152" s="21" t="s">
        <v>1414</v>
      </c>
      <c r="C152" s="21" t="s">
        <v>753</v>
      </c>
      <c r="D152" s="21">
        <v>6997755</v>
      </c>
      <c r="E152" s="21">
        <v>7301255</v>
      </c>
      <c r="F152" s="21">
        <v>7313574</v>
      </c>
      <c r="G152" s="21">
        <v>7809087</v>
      </c>
      <c r="H152" s="21">
        <v>7417598</v>
      </c>
      <c r="I152" s="21">
        <v>6165190</v>
      </c>
      <c r="J152" s="21">
        <v>6172985</v>
      </c>
      <c r="K152" s="21">
        <v>6040839</v>
      </c>
      <c r="L152" s="21">
        <v>6086056</v>
      </c>
      <c r="M152" s="21">
        <v>6188843</v>
      </c>
      <c r="N152" s="21">
        <v>6498375</v>
      </c>
      <c r="O152" s="21">
        <v>6650426</v>
      </c>
      <c r="P152" s="21">
        <v>5391107</v>
      </c>
      <c r="Q152" s="21">
        <v>5229622</v>
      </c>
      <c r="R152" s="21">
        <v>5757678</v>
      </c>
      <c r="S152" s="21">
        <v>5589850</v>
      </c>
      <c r="T152" s="21">
        <v>5156662</v>
      </c>
      <c r="U152" s="21">
        <v>5522058</v>
      </c>
      <c r="V152" s="21">
        <v>5959887</v>
      </c>
      <c r="W152" s="21">
        <v>6411969</v>
      </c>
      <c r="X152" s="21">
        <v>6555386</v>
      </c>
      <c r="Y152" s="21">
        <v>6748897</v>
      </c>
      <c r="Z152" s="21">
        <v>7053421</v>
      </c>
      <c r="AA152" s="21">
        <v>7172859</v>
      </c>
      <c r="AB152" s="21">
        <v>7306050</v>
      </c>
      <c r="AC152" s="21">
        <v>7683160</v>
      </c>
      <c r="AD152" s="21">
        <v>7918064</v>
      </c>
      <c r="AE152" s="21">
        <v>8045796</v>
      </c>
      <c r="AF152" s="21">
        <v>7754576</v>
      </c>
      <c r="AG152" s="21">
        <v>7510594</v>
      </c>
      <c r="AH152" s="21">
        <v>7520073</v>
      </c>
      <c r="AI152" s="21">
        <v>6757467</v>
      </c>
      <c r="AJ152" s="21">
        <v>6958257</v>
      </c>
      <c r="AK152" s="21">
        <v>6638919</v>
      </c>
      <c r="AL152" s="21">
        <v>6757121</v>
      </c>
      <c r="AM152" s="21">
        <v>6088993</v>
      </c>
      <c r="AN152" s="21">
        <v>5993202</v>
      </c>
      <c r="AO152" s="21">
        <v>6167427</v>
      </c>
      <c r="AP152" s="21">
        <v>6148030</v>
      </c>
      <c r="AQ152" s="21">
        <v>5618089</v>
      </c>
      <c r="AR152" s="21">
        <v>6240788</v>
      </c>
      <c r="AS152" s="21">
        <v>6366323</v>
      </c>
      <c r="AT152" s="21">
        <v>6557498</v>
      </c>
      <c r="AU152" s="21">
        <v>6689952</v>
      </c>
      <c r="AV152" s="21">
        <v>6966747</v>
      </c>
      <c r="AW152" s="21">
        <v>6910951</v>
      </c>
      <c r="AX152" s="21">
        <v>7097905</v>
      </c>
      <c r="AY152" s="21">
        <v>7310749</v>
      </c>
      <c r="AZ152" s="21">
        <v>7783186</v>
      </c>
      <c r="BA152" s="21">
        <v>7756073</v>
      </c>
      <c r="BB152" s="21">
        <v>7451723</v>
      </c>
      <c r="BC152" s="21">
        <v>7570354</v>
      </c>
    </row>
    <row r="153" spans="1:55" x14ac:dyDescent="0.2">
      <c r="A153" s="21" t="s">
        <v>1413</v>
      </c>
      <c r="B153" s="21" t="s">
        <v>1414</v>
      </c>
      <c r="C153" s="21" t="s">
        <v>755</v>
      </c>
      <c r="D153" s="21">
        <v>1441536</v>
      </c>
      <c r="E153" s="21">
        <v>1455937</v>
      </c>
      <c r="F153" s="21">
        <v>1497048</v>
      </c>
      <c r="G153" s="21">
        <v>1538531</v>
      </c>
      <c r="H153" s="21">
        <v>1520196</v>
      </c>
      <c r="I153" s="21">
        <v>1434392</v>
      </c>
      <c r="J153" s="21">
        <v>1678810</v>
      </c>
      <c r="K153" s="21">
        <v>1706340</v>
      </c>
      <c r="L153" s="21">
        <v>1693996</v>
      </c>
      <c r="M153" s="21">
        <v>1533537</v>
      </c>
      <c r="N153" s="21">
        <v>1057896</v>
      </c>
      <c r="O153" s="21">
        <v>958986</v>
      </c>
      <c r="P153" s="21">
        <v>1143562</v>
      </c>
      <c r="Q153" s="21">
        <v>1010022</v>
      </c>
      <c r="R153" s="21">
        <v>1113033</v>
      </c>
      <c r="S153" s="21">
        <v>1000774</v>
      </c>
      <c r="T153" s="21">
        <v>954343</v>
      </c>
      <c r="U153" s="21">
        <v>1194348</v>
      </c>
      <c r="V153" s="21">
        <v>1133729</v>
      </c>
      <c r="W153" s="21">
        <v>1102581</v>
      </c>
      <c r="X153" s="21">
        <v>1268584</v>
      </c>
      <c r="Y153" s="21">
        <v>1163725</v>
      </c>
      <c r="Z153" s="21">
        <v>1208493</v>
      </c>
      <c r="AA153" s="21">
        <v>1198528</v>
      </c>
      <c r="AB153" s="21">
        <v>1153034</v>
      </c>
      <c r="AC153" s="21">
        <v>1252522</v>
      </c>
      <c r="AD153" s="21">
        <v>1280104</v>
      </c>
      <c r="AE153" s="21">
        <v>1251456</v>
      </c>
      <c r="AF153" s="21">
        <v>1212072</v>
      </c>
      <c r="AG153" s="21">
        <v>1102692</v>
      </c>
      <c r="AH153" s="21">
        <v>1181181</v>
      </c>
      <c r="AI153" s="21">
        <v>1138542</v>
      </c>
      <c r="AJ153" s="21">
        <v>1134869</v>
      </c>
      <c r="AK153" s="21">
        <v>1147349</v>
      </c>
      <c r="AL153" s="21">
        <v>1122870</v>
      </c>
      <c r="AM153" s="21">
        <v>1138435</v>
      </c>
      <c r="AN153" s="21">
        <v>1170569</v>
      </c>
      <c r="AO153" s="21">
        <v>1256929</v>
      </c>
      <c r="AP153" s="21">
        <v>1250327</v>
      </c>
      <c r="AQ153" s="21">
        <v>1304369</v>
      </c>
      <c r="AR153" s="21">
        <v>1315629</v>
      </c>
      <c r="AS153" s="21">
        <v>1355211</v>
      </c>
      <c r="AT153" s="21">
        <v>1432688</v>
      </c>
      <c r="AU153" s="21">
        <v>1521582</v>
      </c>
      <c r="AV153" s="21">
        <v>1561628</v>
      </c>
      <c r="AW153" s="21">
        <v>1633223</v>
      </c>
      <c r="AX153" s="21">
        <v>1598812</v>
      </c>
      <c r="AY153" s="21">
        <v>1632170</v>
      </c>
      <c r="AZ153" s="21">
        <v>1742520</v>
      </c>
      <c r="BA153" s="21">
        <v>1879031</v>
      </c>
      <c r="BB153" s="21">
        <v>1863276</v>
      </c>
      <c r="BC153" s="21">
        <v>1943836</v>
      </c>
    </row>
    <row r="154" spans="1:55" x14ac:dyDescent="0.2">
      <c r="A154" s="21" t="s">
        <v>1413</v>
      </c>
      <c r="B154" s="21" t="s">
        <v>1414</v>
      </c>
      <c r="C154" s="21" t="s">
        <v>763</v>
      </c>
      <c r="D154" s="21">
        <v>740413</v>
      </c>
      <c r="E154" s="21">
        <v>761467</v>
      </c>
      <c r="F154" s="21">
        <v>785598</v>
      </c>
      <c r="G154" s="21">
        <v>745253</v>
      </c>
      <c r="H154" s="21">
        <v>683746</v>
      </c>
      <c r="I154" s="21">
        <v>594622</v>
      </c>
      <c r="J154" s="21">
        <v>559039</v>
      </c>
      <c r="K154" s="21">
        <v>543994</v>
      </c>
      <c r="L154" s="21">
        <v>541177</v>
      </c>
      <c r="M154" s="21">
        <v>612733</v>
      </c>
      <c r="N154" s="21">
        <v>649919</v>
      </c>
      <c r="O154" s="21">
        <v>659629</v>
      </c>
      <c r="P154" s="21">
        <v>613917</v>
      </c>
      <c r="Q154" s="21">
        <v>505197</v>
      </c>
      <c r="R154" s="21">
        <v>544748</v>
      </c>
      <c r="S154" s="21">
        <v>520729</v>
      </c>
      <c r="T154" s="21">
        <v>501058</v>
      </c>
      <c r="U154" s="21">
        <v>537996</v>
      </c>
      <c r="V154" s="21">
        <v>633494</v>
      </c>
      <c r="W154" s="21">
        <v>649648</v>
      </c>
      <c r="X154" s="21">
        <v>682465</v>
      </c>
      <c r="Y154" s="21">
        <v>621432</v>
      </c>
      <c r="Z154" s="21">
        <v>608392</v>
      </c>
      <c r="AA154" s="21">
        <v>643046</v>
      </c>
      <c r="AB154" s="21">
        <v>706391</v>
      </c>
      <c r="AC154" s="21">
        <v>723075</v>
      </c>
      <c r="AD154" s="21">
        <v>734200</v>
      </c>
      <c r="AE154" s="21">
        <v>781315</v>
      </c>
      <c r="AF154" s="21">
        <v>656869</v>
      </c>
      <c r="AG154" s="21">
        <v>663054</v>
      </c>
      <c r="AH154" s="21">
        <v>660642</v>
      </c>
      <c r="AI154" s="21">
        <v>640588</v>
      </c>
      <c r="AJ154" s="21">
        <v>683352</v>
      </c>
      <c r="AK154" s="21">
        <v>608531</v>
      </c>
      <c r="AL154" s="21">
        <v>581524</v>
      </c>
      <c r="AM154" s="21">
        <v>601475</v>
      </c>
      <c r="AN154" s="21">
        <v>602453</v>
      </c>
      <c r="AO154" s="21">
        <v>639803</v>
      </c>
      <c r="AP154" s="21">
        <v>667066</v>
      </c>
      <c r="AQ154" s="21">
        <v>688898</v>
      </c>
      <c r="AR154" s="21">
        <v>691602</v>
      </c>
      <c r="AS154" s="21">
        <v>705387</v>
      </c>
      <c r="AT154" s="21">
        <v>751060</v>
      </c>
      <c r="AU154" s="21">
        <v>857263</v>
      </c>
      <c r="AV154" s="21">
        <v>725852</v>
      </c>
      <c r="AW154" s="21">
        <v>706536</v>
      </c>
      <c r="AX154" s="21">
        <v>714586</v>
      </c>
      <c r="AY154" s="21">
        <v>750965</v>
      </c>
      <c r="AZ154" s="21">
        <v>910253</v>
      </c>
      <c r="BA154" s="21">
        <v>1057898</v>
      </c>
      <c r="BB154" s="21">
        <v>1056008</v>
      </c>
      <c r="BC154" s="21">
        <v>1170415</v>
      </c>
    </row>
    <row r="155" spans="1:55" x14ac:dyDescent="0.2">
      <c r="A155" s="21" t="s">
        <v>1413</v>
      </c>
      <c r="B155" s="21" t="s">
        <v>1414</v>
      </c>
      <c r="C155" s="21" t="s">
        <v>767</v>
      </c>
      <c r="D155" s="21">
        <v>1.06</v>
      </c>
      <c r="E155" s="21">
        <v>1.1200000000000001</v>
      </c>
      <c r="F155" s="21">
        <v>1.18</v>
      </c>
      <c r="G155" s="21">
        <v>1.26</v>
      </c>
      <c r="H155" s="21">
        <v>1.42</v>
      </c>
      <c r="I155" s="21">
        <v>1.67</v>
      </c>
      <c r="J155" s="21">
        <v>1.94</v>
      </c>
      <c r="K155" s="21">
        <v>2.2999999999999998</v>
      </c>
      <c r="L155" s="21">
        <v>2.52</v>
      </c>
      <c r="M155" s="21">
        <v>2.92</v>
      </c>
      <c r="N155" s="21">
        <v>3.6</v>
      </c>
      <c r="O155" s="21">
        <v>4.1900000000000004</v>
      </c>
      <c r="P155" s="21">
        <v>5.05</v>
      </c>
      <c r="Q155" s="21">
        <v>5.88</v>
      </c>
      <c r="R155" s="21">
        <v>5.95</v>
      </c>
      <c r="S155" s="21">
        <v>5.94</v>
      </c>
      <c r="T155" s="21">
        <v>5.67</v>
      </c>
      <c r="U155" s="21">
        <v>5.39</v>
      </c>
      <c r="V155" s="21">
        <v>5.32</v>
      </c>
      <c r="W155" s="21">
        <v>5.47</v>
      </c>
      <c r="X155" s="21">
        <v>5.63</v>
      </c>
      <c r="Y155" s="21">
        <v>5.66</v>
      </c>
      <c r="Z155" s="21">
        <v>5.73</v>
      </c>
      <c r="AA155" s="21">
        <v>5.99</v>
      </c>
      <c r="AB155" s="21">
        <v>6.23</v>
      </c>
      <c r="AC155" s="21">
        <v>5.89</v>
      </c>
      <c r="AD155" s="21">
        <v>6.16</v>
      </c>
      <c r="AE155" s="21">
        <v>6.75</v>
      </c>
      <c r="AF155" s="21">
        <v>6.61</v>
      </c>
      <c r="AG155" s="21">
        <v>6.5</v>
      </c>
      <c r="AH155" s="21">
        <v>7.63</v>
      </c>
      <c r="AI155" s="21">
        <v>9.42</v>
      </c>
      <c r="AJ155" s="21">
        <v>7.69</v>
      </c>
      <c r="AK155" s="21">
        <v>9.24</v>
      </c>
      <c r="AL155" s="21">
        <v>10.47</v>
      </c>
      <c r="AM155" s="21">
        <v>12.34</v>
      </c>
      <c r="AN155" s="21">
        <v>13.35</v>
      </c>
      <c r="AO155" s="21">
        <v>12.7</v>
      </c>
      <c r="AP155" s="21">
        <v>13.52</v>
      </c>
      <c r="AQ155" s="21">
        <v>11.81</v>
      </c>
      <c r="AR155" s="21">
        <v>11.13</v>
      </c>
      <c r="AS155" s="21">
        <v>10.78</v>
      </c>
      <c r="AT155" s="21">
        <v>10.38</v>
      </c>
      <c r="AU155" s="21">
        <v>10.01</v>
      </c>
      <c r="AV155" s="21">
        <v>10.6</v>
      </c>
      <c r="AW155" s="21">
        <v>9.9600000000000009</v>
      </c>
      <c r="AX155" s="21">
        <v>9.6300000000000008</v>
      </c>
      <c r="AY155" s="21">
        <v>10.47</v>
      </c>
      <c r="AZ155" s="21">
        <v>10.08</v>
      </c>
      <c r="BA155" s="21">
        <v>10.07</v>
      </c>
      <c r="BB155" s="21">
        <v>10.33</v>
      </c>
      <c r="BC155" s="21">
        <v>11.69</v>
      </c>
    </row>
    <row r="156" spans="1:55" x14ac:dyDescent="0.2">
      <c r="A156" s="21" t="s">
        <v>1413</v>
      </c>
      <c r="B156" s="21" t="s">
        <v>1414</v>
      </c>
      <c r="C156" s="21" t="s">
        <v>770</v>
      </c>
      <c r="D156" s="21">
        <v>5271.9</v>
      </c>
      <c r="E156" s="21">
        <v>5702.4</v>
      </c>
      <c r="F156" s="21">
        <v>6223.1</v>
      </c>
      <c r="G156" s="21">
        <v>6281.9</v>
      </c>
      <c r="H156" s="21">
        <v>6948.7</v>
      </c>
      <c r="I156" s="21">
        <v>8409.9</v>
      </c>
      <c r="J156" s="21">
        <v>9992</v>
      </c>
      <c r="K156" s="21">
        <v>11324.4</v>
      </c>
      <c r="L156" s="21">
        <v>12564.7</v>
      </c>
      <c r="M156" s="21">
        <v>14771.6</v>
      </c>
      <c r="N156" s="21">
        <v>17496.900000000001</v>
      </c>
      <c r="O156" s="21">
        <v>19502.3</v>
      </c>
      <c r="P156" s="21">
        <v>23986.7</v>
      </c>
      <c r="Q156" s="21">
        <v>26563.599999999999</v>
      </c>
      <c r="R156" s="21">
        <v>27873.4</v>
      </c>
      <c r="S156" s="21">
        <v>27136.2</v>
      </c>
      <c r="T156" s="21">
        <v>25147.4</v>
      </c>
      <c r="U156" s="21">
        <v>23926.3</v>
      </c>
      <c r="V156" s="21">
        <v>25332.3</v>
      </c>
      <c r="W156" s="21">
        <v>26951.3</v>
      </c>
      <c r="X156" s="21">
        <v>25439.1</v>
      </c>
      <c r="Y156" s="21">
        <v>26507.9</v>
      </c>
      <c r="Z156" s="21">
        <v>27598.7</v>
      </c>
      <c r="AA156" s="21">
        <v>30533.3</v>
      </c>
      <c r="AB156" s="21">
        <v>31028.3</v>
      </c>
      <c r="AC156" s="21">
        <v>29361.9</v>
      </c>
      <c r="AD156" s="21">
        <v>33218.9</v>
      </c>
      <c r="AE156" s="21">
        <v>34589.800000000003</v>
      </c>
      <c r="AF156" s="21">
        <v>30874.6</v>
      </c>
      <c r="AG156" s="21">
        <v>31577.200000000001</v>
      </c>
      <c r="AH156" s="21">
        <v>38959.199999999997</v>
      </c>
      <c r="AI156" s="21">
        <v>46188.800000000003</v>
      </c>
      <c r="AJ156" s="21">
        <v>38490.199999999997</v>
      </c>
      <c r="AK156" s="21">
        <v>48277.9</v>
      </c>
      <c r="AL156" s="21">
        <v>52264.9</v>
      </c>
      <c r="AM156" s="21">
        <v>61196.1</v>
      </c>
      <c r="AN156" s="21">
        <v>59833.599999999999</v>
      </c>
      <c r="AO156" s="21">
        <v>61597.7</v>
      </c>
      <c r="AP156" s="21">
        <v>67850.7</v>
      </c>
      <c r="AQ156" s="21">
        <v>57840.5</v>
      </c>
      <c r="AR156" s="21">
        <v>54395.9</v>
      </c>
      <c r="AS156" s="21">
        <v>51940.1</v>
      </c>
      <c r="AT156" s="21">
        <v>44131.1</v>
      </c>
      <c r="AU156" s="21">
        <v>50445.7</v>
      </c>
      <c r="AV156" s="21">
        <v>55735.1</v>
      </c>
      <c r="AW156" s="21">
        <v>47761.599999999999</v>
      </c>
      <c r="AX156" s="21">
        <v>43571.6</v>
      </c>
      <c r="AY156" s="21">
        <v>48103.8</v>
      </c>
      <c r="AZ156" s="21">
        <v>52411.4</v>
      </c>
      <c r="BA156" s="21">
        <v>52694.3</v>
      </c>
      <c r="BB156" s="21">
        <v>50344.4</v>
      </c>
      <c r="BC156" s="21">
        <v>57456.4</v>
      </c>
    </row>
    <row r="157" spans="1:55" x14ac:dyDescent="0.2">
      <c r="A157" s="21" t="s">
        <v>1413</v>
      </c>
      <c r="B157" s="21" t="s">
        <v>1414</v>
      </c>
      <c r="C157" s="21" t="s">
        <v>772</v>
      </c>
      <c r="D157" s="21">
        <v>1058210</v>
      </c>
      <c r="E157" s="21">
        <v>1093422</v>
      </c>
      <c r="F157" s="21">
        <v>1070373</v>
      </c>
      <c r="G157" s="21">
        <v>1104314</v>
      </c>
      <c r="H157" s="21">
        <v>1084359</v>
      </c>
      <c r="I157" s="21">
        <v>970970</v>
      </c>
      <c r="J157" s="21">
        <v>951826</v>
      </c>
      <c r="K157" s="21">
        <v>938232</v>
      </c>
      <c r="L157" s="21">
        <v>824154</v>
      </c>
      <c r="M157" s="21">
        <v>861615</v>
      </c>
      <c r="N157" s="21">
        <v>853082</v>
      </c>
      <c r="O157" s="21">
        <v>671062</v>
      </c>
      <c r="P157" s="21">
        <v>610099</v>
      </c>
      <c r="Q157" s="21">
        <v>591673</v>
      </c>
      <c r="R157" s="21">
        <v>593448</v>
      </c>
      <c r="S157" s="21">
        <v>505392</v>
      </c>
      <c r="T157" s="21">
        <v>602891</v>
      </c>
      <c r="U157" s="21">
        <v>626755</v>
      </c>
      <c r="V157" s="21">
        <v>626736</v>
      </c>
      <c r="W157" s="21">
        <v>634595</v>
      </c>
      <c r="X157" s="21">
        <v>695855</v>
      </c>
      <c r="Y157" s="21">
        <v>723886</v>
      </c>
      <c r="Z157" s="21">
        <v>733841</v>
      </c>
      <c r="AA157" s="21">
        <v>757518</v>
      </c>
      <c r="AB157" s="21">
        <v>742496</v>
      </c>
      <c r="AC157" s="21">
        <v>742517</v>
      </c>
      <c r="AD157" s="21">
        <v>800493</v>
      </c>
      <c r="AE157" s="21">
        <v>812094</v>
      </c>
      <c r="AF157" s="21">
        <v>915742</v>
      </c>
      <c r="AG157" s="21">
        <v>825092</v>
      </c>
      <c r="AH157" s="21">
        <v>849214</v>
      </c>
      <c r="AI157" s="21">
        <v>777652</v>
      </c>
      <c r="AJ157" s="21">
        <v>772266</v>
      </c>
      <c r="AK157" s="21">
        <v>723428</v>
      </c>
      <c r="AL157" s="21">
        <v>693126</v>
      </c>
      <c r="AM157" s="21">
        <v>702818</v>
      </c>
      <c r="AN157" s="21">
        <v>717260</v>
      </c>
      <c r="AO157" s="21">
        <v>686427</v>
      </c>
      <c r="AP157" s="21">
        <v>730158</v>
      </c>
      <c r="AQ157" s="21">
        <v>731879</v>
      </c>
      <c r="AR157" s="21">
        <v>774631</v>
      </c>
      <c r="AS157" s="21">
        <v>809802</v>
      </c>
      <c r="AT157" s="21">
        <v>862672</v>
      </c>
      <c r="AU157" s="21">
        <v>919700</v>
      </c>
      <c r="AV157" s="21">
        <v>921938</v>
      </c>
      <c r="AW157" s="21">
        <v>882948</v>
      </c>
      <c r="AX157" s="21">
        <v>912787</v>
      </c>
      <c r="AY157" s="21">
        <v>919630</v>
      </c>
      <c r="AZ157" s="21">
        <v>939530</v>
      </c>
      <c r="BA157" s="21">
        <v>971904</v>
      </c>
      <c r="BB157" s="21">
        <v>1004745</v>
      </c>
      <c r="BC157" s="21">
        <v>1022259</v>
      </c>
    </row>
    <row r="158" spans="1:55" x14ac:dyDescent="0.2">
      <c r="A158" s="21" t="s">
        <v>1413</v>
      </c>
      <c r="B158" s="21" t="s">
        <v>1414</v>
      </c>
      <c r="C158" s="21" t="s">
        <v>774</v>
      </c>
      <c r="D158" s="21">
        <v>18452550</v>
      </c>
      <c r="E158" s="21">
        <v>19054421</v>
      </c>
      <c r="F158" s="21">
        <v>19329456</v>
      </c>
      <c r="G158" s="21">
        <v>19207241</v>
      </c>
      <c r="H158" s="21">
        <v>18441247</v>
      </c>
      <c r="I158" s="21">
        <v>16977098</v>
      </c>
      <c r="J158" s="21">
        <v>17191575</v>
      </c>
      <c r="K158" s="21">
        <v>16783905</v>
      </c>
      <c r="L158" s="21">
        <v>17008337</v>
      </c>
      <c r="M158" s="21">
        <v>17679724</v>
      </c>
      <c r="N158" s="21">
        <v>17823042</v>
      </c>
      <c r="O158" s="21">
        <v>17638748</v>
      </c>
      <c r="P158" s="21">
        <v>16147651</v>
      </c>
      <c r="Q158" s="21">
        <v>15240848</v>
      </c>
      <c r="R158" s="21">
        <v>16251590</v>
      </c>
      <c r="S158" s="21">
        <v>15816138</v>
      </c>
      <c r="T158" s="21">
        <v>14660135</v>
      </c>
      <c r="U158" s="21">
        <v>15390593</v>
      </c>
      <c r="V158" s="21">
        <v>16168913</v>
      </c>
      <c r="W158" s="21">
        <v>17329102</v>
      </c>
      <c r="X158" s="21">
        <v>17105590</v>
      </c>
      <c r="Y158" s="21">
        <v>17638739</v>
      </c>
      <c r="Z158" s="21">
        <v>18292872</v>
      </c>
      <c r="AA158" s="21">
        <v>18777298</v>
      </c>
      <c r="AB158" s="21">
        <v>19268147</v>
      </c>
      <c r="AC158" s="21">
        <v>20114488</v>
      </c>
      <c r="AD158" s="21">
        <v>20447644</v>
      </c>
      <c r="AE158" s="21">
        <v>20632283</v>
      </c>
      <c r="AF158" s="21">
        <v>20230929</v>
      </c>
      <c r="AG158" s="21">
        <v>20434861</v>
      </c>
      <c r="AH158" s="21">
        <v>21216202</v>
      </c>
      <c r="AI158" s="21">
        <v>20278761</v>
      </c>
      <c r="AJ158" s="21">
        <v>20991738</v>
      </c>
      <c r="AK158" s="21">
        <v>20412097</v>
      </c>
      <c r="AL158" s="21">
        <v>20590772</v>
      </c>
      <c r="AM158" s="21">
        <v>20189075</v>
      </c>
      <c r="AN158" s="21">
        <v>19802369</v>
      </c>
      <c r="AO158" s="21">
        <v>21165149</v>
      </c>
      <c r="AP158" s="21">
        <v>21276617</v>
      </c>
      <c r="AQ158" s="21">
        <v>20787886</v>
      </c>
      <c r="AR158" s="21">
        <v>21880360</v>
      </c>
      <c r="AS158" s="21">
        <v>22174154</v>
      </c>
      <c r="AT158" s="21">
        <v>23122212</v>
      </c>
      <c r="AU158" s="21">
        <v>23546445</v>
      </c>
      <c r="AV158" s="21">
        <v>24229234</v>
      </c>
      <c r="AW158" s="21">
        <v>25018333</v>
      </c>
      <c r="AX158" s="21">
        <v>25226563</v>
      </c>
      <c r="AY158" s="21">
        <v>24823031</v>
      </c>
      <c r="AZ158" s="21">
        <v>27643921</v>
      </c>
      <c r="BA158" s="21">
        <v>28391608</v>
      </c>
      <c r="BB158" s="21">
        <v>27704719</v>
      </c>
      <c r="BC158" s="21">
        <v>27588972</v>
      </c>
    </row>
    <row r="159" spans="1:55" x14ac:dyDescent="0.2">
      <c r="A159" s="21" t="s">
        <v>1413</v>
      </c>
      <c r="B159" s="21" t="s">
        <v>1414</v>
      </c>
      <c r="C159" s="21" t="s">
        <v>778</v>
      </c>
      <c r="D159" s="21">
        <v>0.59</v>
      </c>
      <c r="E159" s="21">
        <v>0.63</v>
      </c>
      <c r="F159" s="21">
        <v>0.68</v>
      </c>
      <c r="G159" s="21">
        <v>0.73</v>
      </c>
      <c r="H159" s="21">
        <v>0.89</v>
      </c>
      <c r="I159" s="21">
        <v>1.18</v>
      </c>
      <c r="J159" s="21">
        <v>1.46</v>
      </c>
      <c r="K159" s="21">
        <v>1.76</v>
      </c>
      <c r="L159" s="21">
        <v>1.95</v>
      </c>
      <c r="M159" s="21">
        <v>2.31</v>
      </c>
      <c r="N159" s="21">
        <v>2.86</v>
      </c>
      <c r="O159" s="21">
        <v>3.43</v>
      </c>
      <c r="P159" s="21">
        <v>4.2300000000000004</v>
      </c>
      <c r="Q159" s="21">
        <v>4.72</v>
      </c>
      <c r="R159" s="21">
        <v>4.75</v>
      </c>
      <c r="S159" s="21">
        <v>4.6100000000000003</v>
      </c>
      <c r="T159" s="21">
        <v>4.07</v>
      </c>
      <c r="U159" s="21">
        <v>3.77</v>
      </c>
      <c r="V159" s="21">
        <v>3.78</v>
      </c>
      <c r="W159" s="21">
        <v>3.82</v>
      </c>
      <c r="X159" s="21">
        <v>3.82</v>
      </c>
      <c r="Y159" s="21">
        <v>3.74</v>
      </c>
      <c r="Z159" s="21">
        <v>3.83</v>
      </c>
      <c r="AA159" s="21">
        <v>4.0999999999999996</v>
      </c>
      <c r="AB159" s="21">
        <v>4.08</v>
      </c>
      <c r="AC159" s="21">
        <v>3.73</v>
      </c>
      <c r="AD159" s="21">
        <v>4.25</v>
      </c>
      <c r="AE159" s="21">
        <v>4.53</v>
      </c>
      <c r="AF159" s="21">
        <v>4.13</v>
      </c>
      <c r="AG159" s="21">
        <v>4.16</v>
      </c>
      <c r="AH159" s="21">
        <v>5.61</v>
      </c>
      <c r="AI159" s="21">
        <v>6.87</v>
      </c>
      <c r="AJ159" s="21">
        <v>5.31</v>
      </c>
      <c r="AK159" s="21">
        <v>7.08</v>
      </c>
      <c r="AL159" s="21">
        <v>7.91</v>
      </c>
      <c r="AM159" s="21">
        <v>9.92</v>
      </c>
      <c r="AN159" s="21">
        <v>9.6199999999999992</v>
      </c>
      <c r="AO159" s="21">
        <v>9.31</v>
      </c>
      <c r="AP159" s="21">
        <v>10.83</v>
      </c>
      <c r="AQ159" s="21">
        <v>7.67</v>
      </c>
      <c r="AR159" s="21">
        <v>7.37</v>
      </c>
      <c r="AS159" s="21">
        <v>7.03</v>
      </c>
      <c r="AT159" s="21">
        <v>5.74</v>
      </c>
      <c r="AU159" s="21">
        <v>6.44</v>
      </c>
      <c r="AV159" s="21">
        <v>7.2</v>
      </c>
      <c r="AW159" s="21">
        <v>5.61</v>
      </c>
      <c r="AX159" s="21">
        <v>5.0599999999999996</v>
      </c>
      <c r="AY159" s="21">
        <v>5.72</v>
      </c>
      <c r="AZ159" s="21">
        <v>5.71</v>
      </c>
      <c r="BA159" s="21">
        <v>5.29</v>
      </c>
      <c r="BB159" s="21">
        <v>4.87</v>
      </c>
      <c r="BC159" s="21">
        <v>6.97</v>
      </c>
    </row>
    <row r="160" spans="1:55" x14ac:dyDescent="0.2">
      <c r="A160" s="21" t="s">
        <v>1413</v>
      </c>
      <c r="B160" s="21" t="s">
        <v>1414</v>
      </c>
      <c r="C160" s="21" t="s">
        <v>783</v>
      </c>
      <c r="D160" s="21">
        <v>10891.4</v>
      </c>
      <c r="E160" s="21">
        <v>12065</v>
      </c>
      <c r="F160" s="21">
        <v>13198.3</v>
      </c>
      <c r="G160" s="21">
        <v>13932.9</v>
      </c>
      <c r="H160" s="21">
        <v>16380.2</v>
      </c>
      <c r="I160" s="21">
        <v>20061.2</v>
      </c>
      <c r="J160" s="21">
        <v>25096.7</v>
      </c>
      <c r="K160" s="21">
        <v>29602.400000000001</v>
      </c>
      <c r="L160" s="21">
        <v>33185.300000000003</v>
      </c>
      <c r="M160" s="21">
        <v>40785.300000000003</v>
      </c>
      <c r="N160" s="21">
        <v>51061.5</v>
      </c>
      <c r="O160" s="21">
        <v>60543.8</v>
      </c>
      <c r="P160" s="21">
        <v>68291.5</v>
      </c>
      <c r="Q160" s="21">
        <v>71999.600000000006</v>
      </c>
      <c r="R160" s="21">
        <v>77168.7</v>
      </c>
      <c r="S160" s="21">
        <v>72937.7</v>
      </c>
      <c r="T160" s="21">
        <v>59701.599999999999</v>
      </c>
      <c r="U160" s="21">
        <v>58018.7</v>
      </c>
      <c r="V160" s="21">
        <v>61089.3</v>
      </c>
      <c r="W160" s="21">
        <v>66197.899999999994</v>
      </c>
      <c r="X160" s="21">
        <v>65278</v>
      </c>
      <c r="Y160" s="21">
        <v>65956.100000000006</v>
      </c>
      <c r="Z160" s="21">
        <v>70086</v>
      </c>
      <c r="AA160" s="21">
        <v>77052.2</v>
      </c>
      <c r="AB160" s="21">
        <v>78581.2</v>
      </c>
      <c r="AC160" s="21">
        <v>75019.7</v>
      </c>
      <c r="AD160" s="21">
        <v>86904.2</v>
      </c>
      <c r="AE160" s="21">
        <v>93381.9</v>
      </c>
      <c r="AF160" s="21">
        <v>83620.399999999994</v>
      </c>
      <c r="AG160" s="21">
        <v>84960.2</v>
      </c>
      <c r="AH160" s="21">
        <v>119093.6</v>
      </c>
      <c r="AI160" s="21">
        <v>139387.9</v>
      </c>
      <c r="AJ160" s="21">
        <v>111535.7</v>
      </c>
      <c r="AK160" s="21">
        <v>144488.79999999999</v>
      </c>
      <c r="AL160" s="21">
        <v>162842.5</v>
      </c>
      <c r="AM160" s="21">
        <v>200355.5</v>
      </c>
      <c r="AN160" s="21">
        <v>190589.2</v>
      </c>
      <c r="AO160" s="21">
        <v>196957.1</v>
      </c>
      <c r="AP160" s="21">
        <v>230465.4</v>
      </c>
      <c r="AQ160" s="21">
        <v>159364.5</v>
      </c>
      <c r="AR160" s="21">
        <v>161302.79999999999</v>
      </c>
      <c r="AS160" s="21">
        <v>155943.5</v>
      </c>
      <c r="AT160" s="21">
        <v>132829.6</v>
      </c>
      <c r="AU160" s="21">
        <v>151671.6</v>
      </c>
      <c r="AV160" s="21">
        <v>174398</v>
      </c>
      <c r="AW160" s="21">
        <v>140294.20000000001</v>
      </c>
      <c r="AX160" s="21">
        <v>127617.8</v>
      </c>
      <c r="AY160" s="21">
        <v>142071.5</v>
      </c>
      <c r="AZ160" s="21">
        <v>157762.4</v>
      </c>
      <c r="BA160" s="21">
        <v>150288</v>
      </c>
      <c r="BB160" s="21">
        <v>134923.4</v>
      </c>
      <c r="BC160" s="21">
        <v>192417.6</v>
      </c>
    </row>
    <row r="161" spans="1:55" x14ac:dyDescent="0.2">
      <c r="A161" s="21" t="s">
        <v>1413</v>
      </c>
      <c r="B161" s="21" t="s">
        <v>1414</v>
      </c>
      <c r="C161" s="21" t="s">
        <v>792</v>
      </c>
      <c r="D161" s="21">
        <v>0.68</v>
      </c>
      <c r="E161" s="21">
        <v>0.72</v>
      </c>
      <c r="F161" s="21">
        <v>0.78</v>
      </c>
      <c r="G161" s="21">
        <v>0.82</v>
      </c>
      <c r="H161" s="21">
        <v>0.98</v>
      </c>
      <c r="I161" s="21">
        <v>1.28</v>
      </c>
      <c r="J161" s="21">
        <v>1.56</v>
      </c>
      <c r="K161" s="21">
        <v>1.88</v>
      </c>
      <c r="L161" s="21">
        <v>2.08</v>
      </c>
      <c r="M161" s="21">
        <v>2.4500000000000002</v>
      </c>
      <c r="N161" s="21">
        <v>3.05</v>
      </c>
      <c r="O161" s="21">
        <v>3.6</v>
      </c>
      <c r="P161" s="21">
        <v>4.45</v>
      </c>
      <c r="Q161" s="21">
        <v>5.03</v>
      </c>
      <c r="R161" s="21">
        <v>5.04</v>
      </c>
      <c r="S161" s="21">
        <v>4.91</v>
      </c>
      <c r="T161" s="21">
        <v>4.46</v>
      </c>
      <c r="U161" s="21">
        <v>4.13</v>
      </c>
      <c r="V161" s="21">
        <v>4.08</v>
      </c>
      <c r="W161" s="21">
        <v>4.1500000000000004</v>
      </c>
      <c r="X161" s="21">
        <v>4.17</v>
      </c>
      <c r="Y161" s="21">
        <v>4.12</v>
      </c>
      <c r="Z161" s="21">
        <v>4.1900000000000004</v>
      </c>
      <c r="AA161" s="21">
        <v>4.46</v>
      </c>
      <c r="AB161" s="21">
        <v>4.55</v>
      </c>
      <c r="AC161" s="21">
        <v>4.2</v>
      </c>
      <c r="AD161" s="21">
        <v>4.62</v>
      </c>
      <c r="AE161" s="21">
        <v>4.96</v>
      </c>
      <c r="AF161" s="21">
        <v>4.6399999999999997</v>
      </c>
      <c r="AG161" s="21">
        <v>4.6500000000000004</v>
      </c>
      <c r="AH161" s="21">
        <v>5.97</v>
      </c>
      <c r="AI161" s="21">
        <v>7.49</v>
      </c>
      <c r="AJ161" s="21">
        <v>5.97</v>
      </c>
      <c r="AK161" s="21">
        <v>7.65</v>
      </c>
      <c r="AL161" s="21">
        <v>8.64</v>
      </c>
      <c r="AM161" s="21">
        <v>10.64</v>
      </c>
      <c r="AN161" s="21">
        <v>10.92</v>
      </c>
      <c r="AO161" s="21">
        <v>10.4</v>
      </c>
      <c r="AP161" s="21">
        <v>11.68</v>
      </c>
      <c r="AQ161" s="21">
        <v>9.1199999999999992</v>
      </c>
      <c r="AR161" s="21">
        <v>8.5399999999999991</v>
      </c>
      <c r="AS161" s="21">
        <v>8.2100000000000009</v>
      </c>
      <c r="AT161" s="21">
        <v>7.28</v>
      </c>
      <c r="AU161" s="21">
        <v>7.57</v>
      </c>
      <c r="AV161" s="21">
        <v>8.33</v>
      </c>
      <c r="AW161" s="21">
        <v>7.14</v>
      </c>
      <c r="AX161" s="21">
        <v>6.55</v>
      </c>
      <c r="AY161" s="21">
        <v>7.19</v>
      </c>
      <c r="AZ161" s="21">
        <v>7.11</v>
      </c>
      <c r="BA161" s="21">
        <v>6.98</v>
      </c>
      <c r="BB161" s="21">
        <v>6.75</v>
      </c>
      <c r="BC161" s="21">
        <v>8.3000000000000007</v>
      </c>
    </row>
    <row r="162" spans="1:55" x14ac:dyDescent="0.2">
      <c r="A162" s="21" t="s">
        <v>1413</v>
      </c>
      <c r="B162" s="21" t="s">
        <v>1414</v>
      </c>
      <c r="C162" s="21" t="s">
        <v>797</v>
      </c>
      <c r="D162" s="21">
        <v>9740.9</v>
      </c>
      <c r="E162" s="21">
        <v>10781.7</v>
      </c>
      <c r="F162" s="21">
        <v>11847.4</v>
      </c>
      <c r="G162" s="21">
        <v>12639</v>
      </c>
      <c r="H162" s="21">
        <v>14660</v>
      </c>
      <c r="I162" s="21">
        <v>17638.900000000001</v>
      </c>
      <c r="J162" s="21">
        <v>21854.6</v>
      </c>
      <c r="K162" s="21">
        <v>25377</v>
      </c>
      <c r="L162" s="21">
        <v>28490.7</v>
      </c>
      <c r="M162" s="21">
        <v>34504.400000000001</v>
      </c>
      <c r="N162" s="21">
        <v>42704.800000000003</v>
      </c>
      <c r="O162" s="21">
        <v>50019.4</v>
      </c>
      <c r="P162" s="21">
        <v>57055.4</v>
      </c>
      <c r="Q162" s="21">
        <v>61626.6</v>
      </c>
      <c r="R162" s="21">
        <v>65648</v>
      </c>
      <c r="S162" s="21">
        <v>62118.7</v>
      </c>
      <c r="T162" s="21">
        <v>53396.2</v>
      </c>
      <c r="U162" s="21">
        <v>51436.1</v>
      </c>
      <c r="V162" s="21">
        <v>54966</v>
      </c>
      <c r="W162" s="21">
        <v>58628.6</v>
      </c>
      <c r="X162" s="21">
        <v>57469.2</v>
      </c>
      <c r="Y162" s="21">
        <v>58597.1</v>
      </c>
      <c r="Z162" s="21">
        <v>61846.6</v>
      </c>
      <c r="AA162" s="21">
        <v>67879.8</v>
      </c>
      <c r="AB162" s="21">
        <v>69524.899999999994</v>
      </c>
      <c r="AC162" s="21">
        <v>66250.8</v>
      </c>
      <c r="AD162" s="21">
        <v>76517.399999999994</v>
      </c>
      <c r="AE162" s="21">
        <v>81793.5</v>
      </c>
      <c r="AF162" s="21">
        <v>72095.600000000006</v>
      </c>
      <c r="AG162" s="21">
        <v>72057.100000000006</v>
      </c>
      <c r="AH162" s="21">
        <v>94989.8</v>
      </c>
      <c r="AI162" s="21">
        <v>110769.60000000001</v>
      </c>
      <c r="AJ162" s="21">
        <v>90696.9</v>
      </c>
      <c r="AK162" s="21">
        <v>115982.6</v>
      </c>
      <c r="AL162" s="21">
        <v>129409.60000000001</v>
      </c>
      <c r="AM162" s="21">
        <v>150548.1</v>
      </c>
      <c r="AN162" s="21">
        <v>146373.5</v>
      </c>
      <c r="AO162" s="21">
        <v>146961.79999999999</v>
      </c>
      <c r="AP162" s="21">
        <v>168529.7</v>
      </c>
      <c r="AQ162" s="21">
        <v>125400.5</v>
      </c>
      <c r="AR162" s="21">
        <v>122312</v>
      </c>
      <c r="AS162" s="21">
        <v>118509.6</v>
      </c>
      <c r="AT162" s="21">
        <v>100466.2</v>
      </c>
      <c r="AU162" s="21">
        <v>114638.2</v>
      </c>
      <c r="AV162" s="21">
        <v>131984.29999999999</v>
      </c>
      <c r="AW162" s="21">
        <v>107673.8</v>
      </c>
      <c r="AX162" s="21">
        <v>97544.4</v>
      </c>
      <c r="AY162" s="21">
        <v>109565.7</v>
      </c>
      <c r="AZ162" s="21">
        <v>118749.6</v>
      </c>
      <c r="BA162" s="21">
        <v>116516.3</v>
      </c>
      <c r="BB162" s="21">
        <v>105910.39999999999</v>
      </c>
      <c r="BC162" s="21">
        <v>132655.20000000001</v>
      </c>
    </row>
    <row r="163" spans="1:55" x14ac:dyDescent="0.2">
      <c r="A163" s="21" t="s">
        <v>1413</v>
      </c>
      <c r="B163" s="21" t="s">
        <v>1414</v>
      </c>
      <c r="C163" s="21" t="s">
        <v>803</v>
      </c>
      <c r="D163" s="21">
        <v>0.18</v>
      </c>
      <c r="E163" s="21">
        <v>0.18</v>
      </c>
      <c r="F163" s="21">
        <v>0.18</v>
      </c>
      <c r="G163" s="21">
        <v>0.19</v>
      </c>
      <c r="H163" s="21">
        <v>0.2</v>
      </c>
      <c r="I163" s="21">
        <v>0.24</v>
      </c>
      <c r="J163" s="21">
        <v>0.25</v>
      </c>
      <c r="K163" s="21">
        <v>0.27</v>
      </c>
      <c r="L163" s="21">
        <v>0.3</v>
      </c>
      <c r="M163" s="21">
        <v>0.34</v>
      </c>
      <c r="N163" s="21">
        <v>0.43</v>
      </c>
      <c r="O163" s="21">
        <v>0.48</v>
      </c>
      <c r="P163" s="21">
        <v>0.54</v>
      </c>
      <c r="Q163" s="21">
        <v>0.57999999999999996</v>
      </c>
      <c r="R163" s="21">
        <v>0.67</v>
      </c>
      <c r="S163" s="21">
        <v>0.71</v>
      </c>
      <c r="T163" s="21">
        <v>0.7</v>
      </c>
      <c r="U163" s="21">
        <v>0.71</v>
      </c>
      <c r="V163" s="21">
        <v>0.73</v>
      </c>
      <c r="W163" s="21">
        <v>0.7</v>
      </c>
      <c r="X163" s="21">
        <v>0.67</v>
      </c>
      <c r="Y163" s="21">
        <v>0.63</v>
      </c>
      <c r="Z163" s="21">
        <v>0.59</v>
      </c>
      <c r="AA163" s="21">
        <v>0.56000000000000005</v>
      </c>
      <c r="AB163" s="21">
        <v>0.56000000000000005</v>
      </c>
      <c r="AC163" s="21">
        <v>0.54</v>
      </c>
      <c r="AD163" s="21">
        <v>0.51</v>
      </c>
      <c r="AE163" s="21">
        <v>0.51</v>
      </c>
      <c r="AF163" s="21">
        <v>0.5</v>
      </c>
      <c r="AG163" s="21">
        <v>0.48</v>
      </c>
      <c r="AH163" s="21">
        <v>0.46</v>
      </c>
      <c r="AI163" s="21">
        <v>0.44</v>
      </c>
      <c r="AJ163" s="21">
        <v>0.43</v>
      </c>
      <c r="AK163" s="21">
        <v>0.42</v>
      </c>
      <c r="AL163" s="21">
        <v>0.42</v>
      </c>
      <c r="AM163" s="21">
        <v>0.43</v>
      </c>
      <c r="AN163" s="21">
        <v>0.44</v>
      </c>
      <c r="AO163" s="21">
        <v>0.46</v>
      </c>
      <c r="AP163" s="21">
        <v>0.47</v>
      </c>
      <c r="AQ163" s="21">
        <v>0.56000000000000005</v>
      </c>
      <c r="AR163" s="21">
        <v>0.64</v>
      </c>
      <c r="AS163" s="21">
        <v>0.68</v>
      </c>
      <c r="AT163" s="21">
        <v>0.74</v>
      </c>
      <c r="AU163" s="21">
        <v>0.79</v>
      </c>
      <c r="AV163" s="21">
        <v>0.75</v>
      </c>
      <c r="AW163" s="21">
        <v>0.72</v>
      </c>
      <c r="AX163" s="21">
        <v>0.7</v>
      </c>
      <c r="AY163" s="21">
        <v>0.73</v>
      </c>
      <c r="AZ163" s="21">
        <v>0.7</v>
      </c>
      <c r="BA163" s="21">
        <v>0.66</v>
      </c>
      <c r="BB163" s="21">
        <v>0.63</v>
      </c>
      <c r="BC163" s="21">
        <v>0.69</v>
      </c>
    </row>
    <row r="164" spans="1:55" x14ac:dyDescent="0.2">
      <c r="A164" s="21" t="s">
        <v>1413</v>
      </c>
      <c r="B164" s="21" t="s">
        <v>1414</v>
      </c>
      <c r="C164" s="21" t="s">
        <v>807</v>
      </c>
      <c r="D164" s="21">
        <v>43.6</v>
      </c>
      <c r="E164" s="21">
        <v>73</v>
      </c>
      <c r="F164" s="21">
        <v>103.8</v>
      </c>
      <c r="G164" s="21">
        <v>177.5</v>
      </c>
      <c r="H164" s="21">
        <v>258.8</v>
      </c>
      <c r="I164" s="21">
        <v>448.2</v>
      </c>
      <c r="J164" s="21">
        <v>520.1</v>
      </c>
      <c r="K164" s="21">
        <v>742.7</v>
      </c>
      <c r="L164" s="21">
        <v>915.1</v>
      </c>
      <c r="M164" s="21">
        <v>941.1</v>
      </c>
      <c r="N164" s="21">
        <v>1189.0999999999999</v>
      </c>
      <c r="O164" s="21">
        <v>1436.4</v>
      </c>
      <c r="P164" s="21">
        <v>1684.5</v>
      </c>
      <c r="Q164" s="21">
        <v>1859.1</v>
      </c>
      <c r="R164" s="21">
        <v>2383.6999999999998</v>
      </c>
      <c r="S164" s="21">
        <v>2878</v>
      </c>
      <c r="T164" s="21">
        <v>3061.3</v>
      </c>
      <c r="U164" s="21">
        <v>3378.4</v>
      </c>
      <c r="V164" s="21">
        <v>4056.7</v>
      </c>
      <c r="W164" s="21">
        <v>3939.5</v>
      </c>
      <c r="X164" s="21">
        <v>4103.8999999999996</v>
      </c>
      <c r="Y164" s="21">
        <v>4072.9</v>
      </c>
      <c r="Z164" s="21">
        <v>3802.3</v>
      </c>
      <c r="AA164" s="21">
        <v>3596.6</v>
      </c>
      <c r="AB164" s="21">
        <v>3777.1</v>
      </c>
      <c r="AC164" s="21">
        <v>3809.8</v>
      </c>
      <c r="AD164" s="21">
        <v>3624.4</v>
      </c>
      <c r="AE164" s="21">
        <v>3369.5</v>
      </c>
      <c r="AF164" s="21">
        <v>3554.8</v>
      </c>
      <c r="AG164" s="21">
        <v>3642.7</v>
      </c>
      <c r="AH164" s="21">
        <v>3628.4</v>
      </c>
      <c r="AI164" s="21">
        <v>3523.5</v>
      </c>
      <c r="AJ164" s="21">
        <v>3504.4</v>
      </c>
      <c r="AK164" s="21">
        <v>3362.7</v>
      </c>
      <c r="AL164" s="21">
        <v>3445.3</v>
      </c>
      <c r="AM164" s="21">
        <v>3468.8</v>
      </c>
      <c r="AN164" s="21">
        <v>3636.5</v>
      </c>
      <c r="AO164" s="21">
        <v>3871.1</v>
      </c>
      <c r="AP164" s="21">
        <v>3976.4</v>
      </c>
      <c r="AQ164" s="21">
        <v>4680.2</v>
      </c>
      <c r="AR164" s="21">
        <v>5413.7</v>
      </c>
      <c r="AS164" s="21">
        <v>5620.9</v>
      </c>
      <c r="AT164" s="21">
        <v>5965.3</v>
      </c>
      <c r="AU164" s="21">
        <v>6522.6</v>
      </c>
      <c r="AV164" s="21">
        <v>6252.1</v>
      </c>
      <c r="AW164" s="21">
        <v>5975.4</v>
      </c>
      <c r="AX164" s="21">
        <v>5857.2</v>
      </c>
      <c r="AY164" s="21">
        <v>6134.9</v>
      </c>
      <c r="AZ164" s="21">
        <v>5916.3</v>
      </c>
      <c r="BA164" s="21">
        <v>5592.1</v>
      </c>
      <c r="BB164" s="21">
        <v>5195.2</v>
      </c>
      <c r="BC164" s="21">
        <v>5593.1</v>
      </c>
    </row>
    <row r="165" spans="1:55" x14ac:dyDescent="0.2">
      <c r="A165" s="21" t="s">
        <v>1413</v>
      </c>
      <c r="B165" s="21" t="s">
        <v>1414</v>
      </c>
      <c r="C165" s="21" t="s">
        <v>811</v>
      </c>
      <c r="D165" s="21">
        <v>0.18</v>
      </c>
      <c r="E165" s="21">
        <v>0.18</v>
      </c>
      <c r="F165" s="21">
        <v>0.18</v>
      </c>
      <c r="G165" s="21">
        <v>0.19</v>
      </c>
      <c r="H165" s="21">
        <v>0.2</v>
      </c>
      <c r="I165" s="21">
        <v>0.24</v>
      </c>
      <c r="J165" s="21">
        <v>0.25</v>
      </c>
      <c r="K165" s="21">
        <v>0.27</v>
      </c>
      <c r="L165" s="21">
        <v>0.3</v>
      </c>
      <c r="M165" s="21">
        <v>0.34</v>
      </c>
      <c r="N165" s="21">
        <v>0.43</v>
      </c>
      <c r="O165" s="21">
        <v>0.48</v>
      </c>
      <c r="P165" s="21">
        <v>0.54</v>
      </c>
      <c r="Q165" s="21">
        <v>0.57999999999999996</v>
      </c>
      <c r="R165" s="21">
        <v>0.67</v>
      </c>
      <c r="S165" s="21">
        <v>0.71</v>
      </c>
      <c r="T165" s="21">
        <v>0.7</v>
      </c>
      <c r="U165" s="21">
        <v>0.71</v>
      </c>
      <c r="V165" s="21">
        <v>0.73</v>
      </c>
      <c r="W165" s="21">
        <v>0.7</v>
      </c>
      <c r="X165" s="21">
        <v>0.67</v>
      </c>
      <c r="Y165" s="21">
        <v>0.63</v>
      </c>
      <c r="Z165" s="21">
        <v>0.59</v>
      </c>
      <c r="AA165" s="21">
        <v>0.56000000000000005</v>
      </c>
      <c r="AB165" s="21">
        <v>0.56000000000000005</v>
      </c>
      <c r="AC165" s="21">
        <v>0.54</v>
      </c>
      <c r="AD165" s="21">
        <v>0.51</v>
      </c>
      <c r="AE165" s="21">
        <v>0.51</v>
      </c>
      <c r="AF165" s="21">
        <v>0.5</v>
      </c>
      <c r="AG165" s="21">
        <v>0.48</v>
      </c>
      <c r="AH165" s="21">
        <v>0.46</v>
      </c>
      <c r="AI165" s="21">
        <v>0.44</v>
      </c>
      <c r="AJ165" s="21">
        <v>0.43</v>
      </c>
      <c r="AK165" s="21">
        <v>0.42</v>
      </c>
      <c r="AL165" s="21">
        <v>0.42</v>
      </c>
      <c r="AM165" s="21">
        <v>0.43</v>
      </c>
      <c r="AN165" s="21">
        <v>0.44</v>
      </c>
      <c r="AO165" s="21">
        <v>0.46</v>
      </c>
      <c r="AP165" s="21">
        <v>0.47</v>
      </c>
      <c r="AQ165" s="21">
        <v>0.56000000000000005</v>
      </c>
      <c r="AR165" s="21">
        <v>0.64</v>
      </c>
      <c r="AS165" s="21">
        <v>0.68</v>
      </c>
      <c r="AT165" s="21">
        <v>0.74</v>
      </c>
      <c r="AU165" s="21">
        <v>0.79</v>
      </c>
      <c r="AV165" s="21">
        <v>0.75</v>
      </c>
      <c r="AW165" s="21">
        <v>0.72</v>
      </c>
      <c r="AX165" s="21">
        <v>0.7</v>
      </c>
      <c r="AY165" s="21">
        <v>0.73</v>
      </c>
      <c r="AZ165" s="21">
        <v>0.7</v>
      </c>
      <c r="BA165" s="21">
        <v>0.66</v>
      </c>
      <c r="BB165" s="21">
        <v>0.63</v>
      </c>
      <c r="BC165" s="21">
        <v>0.69</v>
      </c>
    </row>
    <row r="166" spans="1:55" x14ac:dyDescent="0.2">
      <c r="A166" s="21" t="s">
        <v>1413</v>
      </c>
      <c r="B166" s="21" t="s">
        <v>1414</v>
      </c>
      <c r="C166" s="21" t="s">
        <v>817</v>
      </c>
      <c r="D166" s="21">
        <v>43.6</v>
      </c>
      <c r="E166" s="21">
        <v>73</v>
      </c>
      <c r="F166" s="21">
        <v>103.8</v>
      </c>
      <c r="G166" s="21">
        <v>177.5</v>
      </c>
      <c r="H166" s="21">
        <v>258.8</v>
      </c>
      <c r="I166" s="21">
        <v>448.2</v>
      </c>
      <c r="J166" s="21">
        <v>520.1</v>
      </c>
      <c r="K166" s="21">
        <v>742.7</v>
      </c>
      <c r="L166" s="21">
        <v>915.1</v>
      </c>
      <c r="M166" s="21">
        <v>941.1</v>
      </c>
      <c r="N166" s="21">
        <v>1189.0999999999999</v>
      </c>
      <c r="O166" s="21">
        <v>1436.4</v>
      </c>
      <c r="P166" s="21">
        <v>1684.5</v>
      </c>
      <c r="Q166" s="21">
        <v>1859.1</v>
      </c>
      <c r="R166" s="21">
        <v>2383.6999999999998</v>
      </c>
      <c r="S166" s="21">
        <v>2878</v>
      </c>
      <c r="T166" s="21">
        <v>3061.3</v>
      </c>
      <c r="U166" s="21">
        <v>3378.4</v>
      </c>
      <c r="V166" s="21">
        <v>4056.7</v>
      </c>
      <c r="W166" s="21">
        <v>3939.5</v>
      </c>
      <c r="X166" s="21">
        <v>4103.8999999999996</v>
      </c>
      <c r="Y166" s="21">
        <v>4072.9</v>
      </c>
      <c r="Z166" s="21">
        <v>3802.3</v>
      </c>
      <c r="AA166" s="21">
        <v>3596.6</v>
      </c>
      <c r="AB166" s="21">
        <v>3777.1</v>
      </c>
      <c r="AC166" s="21">
        <v>3809.8</v>
      </c>
      <c r="AD166" s="21">
        <v>3624.4</v>
      </c>
      <c r="AE166" s="21">
        <v>3369.5</v>
      </c>
      <c r="AF166" s="21">
        <v>3554.8</v>
      </c>
      <c r="AG166" s="21">
        <v>3642.7</v>
      </c>
      <c r="AH166" s="21">
        <v>3628.4</v>
      </c>
      <c r="AI166" s="21">
        <v>3523.5</v>
      </c>
      <c r="AJ166" s="21">
        <v>3504.4</v>
      </c>
      <c r="AK166" s="21">
        <v>3362.7</v>
      </c>
      <c r="AL166" s="21">
        <v>3445.3</v>
      </c>
      <c r="AM166" s="21">
        <v>3468.8</v>
      </c>
      <c r="AN166" s="21">
        <v>3636.5</v>
      </c>
      <c r="AO166" s="21">
        <v>3871.1</v>
      </c>
      <c r="AP166" s="21">
        <v>3976.4</v>
      </c>
      <c r="AQ166" s="21">
        <v>4680.2</v>
      </c>
      <c r="AR166" s="21">
        <v>5413.7</v>
      </c>
      <c r="AS166" s="21">
        <v>5620.9</v>
      </c>
      <c r="AT166" s="21">
        <v>5965.3</v>
      </c>
      <c r="AU166" s="21">
        <v>6522.6</v>
      </c>
      <c r="AV166" s="21">
        <v>6252.1</v>
      </c>
      <c r="AW166" s="21">
        <v>5975.4</v>
      </c>
      <c r="AX166" s="21">
        <v>5857.2</v>
      </c>
      <c r="AY166" s="21">
        <v>6134.9</v>
      </c>
      <c r="AZ166" s="21">
        <v>5916.3</v>
      </c>
      <c r="BA166" s="21">
        <v>5592.1</v>
      </c>
      <c r="BB166" s="21">
        <v>5195.2</v>
      </c>
      <c r="BC166" s="21">
        <v>5593.1</v>
      </c>
    </row>
    <row r="167" spans="1:55" x14ac:dyDescent="0.2">
      <c r="A167" s="21" t="s">
        <v>1413</v>
      </c>
      <c r="B167" s="21" t="s">
        <v>1414</v>
      </c>
      <c r="C167" s="21" t="s">
        <v>830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>
        <v>17.32</v>
      </c>
      <c r="AS167" s="21">
        <v>21.52</v>
      </c>
      <c r="AT167" s="21">
        <v>15.74</v>
      </c>
      <c r="AU167" s="21">
        <v>14.79</v>
      </c>
      <c r="AV167" s="21">
        <v>14.44</v>
      </c>
      <c r="AW167" s="21">
        <v>8.64</v>
      </c>
      <c r="AX167" s="21">
        <v>8.27</v>
      </c>
      <c r="AY167" s="21">
        <v>10.25</v>
      </c>
      <c r="AZ167" s="21">
        <v>11.87</v>
      </c>
      <c r="BA167" s="21">
        <v>8.52</v>
      </c>
      <c r="BB167" s="21">
        <v>7.09</v>
      </c>
      <c r="BC167" s="21">
        <v>12.91</v>
      </c>
    </row>
    <row r="168" spans="1:55" x14ac:dyDescent="0.2">
      <c r="A168" s="21" t="s">
        <v>1413</v>
      </c>
      <c r="B168" s="21" t="s">
        <v>1414</v>
      </c>
      <c r="C168" s="21" t="s">
        <v>832</v>
      </c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>
        <v>29228.400000000001</v>
      </c>
      <c r="AS168" s="21">
        <v>34804.699999999997</v>
      </c>
      <c r="AT168" s="21">
        <v>26349.5</v>
      </c>
      <c r="AU168" s="21">
        <v>26739.4</v>
      </c>
      <c r="AV168" s="21">
        <v>26677.9</v>
      </c>
      <c r="AW168" s="21">
        <v>17351.2</v>
      </c>
      <c r="AX168" s="21">
        <v>16642.8</v>
      </c>
      <c r="AY168" s="21">
        <v>22011.3</v>
      </c>
      <c r="AZ168" s="21">
        <v>29384.9</v>
      </c>
      <c r="BA168" s="21">
        <v>22841</v>
      </c>
      <c r="BB168" s="21">
        <v>19827</v>
      </c>
      <c r="BC168" s="21">
        <v>39610.300000000003</v>
      </c>
    </row>
    <row r="169" spans="1:55" x14ac:dyDescent="0.2">
      <c r="A169" s="21" t="s">
        <v>1413</v>
      </c>
      <c r="B169" s="21" t="s">
        <v>1414</v>
      </c>
      <c r="C169" s="21" t="s">
        <v>836</v>
      </c>
      <c r="D169" s="21">
        <v>1.1599999999999999</v>
      </c>
      <c r="E169" s="21">
        <v>1.18</v>
      </c>
      <c r="F169" s="21">
        <v>1.19</v>
      </c>
      <c r="G169" s="21">
        <v>1.35</v>
      </c>
      <c r="H169" s="21">
        <v>2.4300000000000002</v>
      </c>
      <c r="I169" s="21">
        <v>2.89</v>
      </c>
      <c r="J169" s="21">
        <v>3.15</v>
      </c>
      <c r="K169" s="21">
        <v>3.45</v>
      </c>
      <c r="L169" s="21">
        <v>3.56</v>
      </c>
      <c r="M169" s="21">
        <v>4.9800000000000004</v>
      </c>
      <c r="N169" s="21">
        <v>7.58</v>
      </c>
      <c r="O169" s="21">
        <v>9.33</v>
      </c>
      <c r="P169" s="21">
        <v>8.52</v>
      </c>
      <c r="Q169" s="21">
        <v>8.01</v>
      </c>
      <c r="R169" s="21">
        <v>8.06</v>
      </c>
      <c r="S169" s="21">
        <v>7.76</v>
      </c>
      <c r="T169" s="21">
        <v>4.92</v>
      </c>
      <c r="U169" s="21">
        <v>5.79</v>
      </c>
      <c r="V169" s="21">
        <v>4.84</v>
      </c>
      <c r="W169" s="21">
        <v>5.67</v>
      </c>
      <c r="X169" s="21">
        <v>6.48</v>
      </c>
      <c r="Y169" s="21">
        <v>5.73</v>
      </c>
      <c r="Z169" s="21">
        <v>5.78</v>
      </c>
      <c r="AA169" s="21">
        <v>5.18</v>
      </c>
      <c r="AB169" s="21">
        <v>5.03</v>
      </c>
      <c r="AC169" s="21">
        <v>5.44</v>
      </c>
      <c r="AD169" s="21">
        <v>6.32</v>
      </c>
      <c r="AE169" s="21">
        <v>5.8</v>
      </c>
      <c r="AF169" s="21">
        <v>4.09</v>
      </c>
      <c r="AG169" s="21">
        <v>5.49</v>
      </c>
      <c r="AH169" s="21">
        <v>8.02</v>
      </c>
      <c r="AI169" s="21">
        <v>6.75</v>
      </c>
      <c r="AJ169" s="21">
        <v>6.9</v>
      </c>
      <c r="AK169" s="21">
        <v>7.94</v>
      </c>
      <c r="AL169" s="21">
        <v>9.93</v>
      </c>
      <c r="AM169" s="21">
        <v>13.41</v>
      </c>
      <c r="AN169" s="21">
        <v>16.22</v>
      </c>
      <c r="AO169" s="21">
        <v>18.350000000000001</v>
      </c>
      <c r="AP169" s="21">
        <v>25.42</v>
      </c>
      <c r="AQ169" s="21">
        <v>15.92</v>
      </c>
      <c r="AR169" s="21">
        <v>20.52</v>
      </c>
      <c r="AS169" s="21">
        <v>27.05</v>
      </c>
      <c r="AT169" s="21">
        <v>26.76</v>
      </c>
      <c r="AU169" s="21">
        <v>26.73</v>
      </c>
      <c r="AV169" s="21">
        <v>24.99</v>
      </c>
      <c r="AW169" s="21">
        <v>13.98</v>
      </c>
      <c r="AX169" s="21">
        <v>11.92</v>
      </c>
      <c r="AY169" s="21">
        <v>14.47</v>
      </c>
      <c r="AZ169" s="21">
        <v>17.899999999999999</v>
      </c>
      <c r="BA169" s="21">
        <v>16.68</v>
      </c>
      <c r="BB169" s="21">
        <v>11.66</v>
      </c>
      <c r="BC169" s="21">
        <v>19.07</v>
      </c>
    </row>
    <row r="170" spans="1:55" x14ac:dyDescent="0.2">
      <c r="A170" s="21" t="s">
        <v>1413</v>
      </c>
      <c r="B170" s="21" t="s">
        <v>1414</v>
      </c>
      <c r="C170" s="21" t="s">
        <v>839</v>
      </c>
      <c r="D170" s="21">
        <v>967.6</v>
      </c>
      <c r="E170" s="21">
        <v>1043.5999999999999</v>
      </c>
      <c r="F170" s="21">
        <v>1155.8</v>
      </c>
      <c r="G170" s="21">
        <v>1413.7</v>
      </c>
      <c r="H170" s="21">
        <v>2640</v>
      </c>
      <c r="I170" s="21">
        <v>2946.3</v>
      </c>
      <c r="J170" s="21">
        <v>4176.3</v>
      </c>
      <c r="K170" s="21">
        <v>5431.7</v>
      </c>
      <c r="L170" s="21">
        <v>6142.3</v>
      </c>
      <c r="M170" s="21">
        <v>9286</v>
      </c>
      <c r="N170" s="21">
        <v>14324.2</v>
      </c>
      <c r="O170" s="21">
        <v>14924.1</v>
      </c>
      <c r="P170" s="21">
        <v>10451</v>
      </c>
      <c r="Q170" s="21">
        <v>9618.4</v>
      </c>
      <c r="R170" s="21">
        <v>9632</v>
      </c>
      <c r="S170" s="21">
        <v>8924.5</v>
      </c>
      <c r="T170" s="21">
        <v>6139.4</v>
      </c>
      <c r="U170" s="21">
        <v>7051.7</v>
      </c>
      <c r="V170" s="21">
        <v>6060.7</v>
      </c>
      <c r="W170" s="21">
        <v>6966.2</v>
      </c>
      <c r="X170" s="21">
        <v>8947</v>
      </c>
      <c r="Y170" s="21">
        <v>8029.8</v>
      </c>
      <c r="Z170" s="21">
        <v>8282.2999999999993</v>
      </c>
      <c r="AA170" s="21">
        <v>7422.9</v>
      </c>
      <c r="AB170" s="21">
        <v>7372.3</v>
      </c>
      <c r="AC170" s="21">
        <v>7516.8</v>
      </c>
      <c r="AD170" s="21">
        <v>8986.5</v>
      </c>
      <c r="AE170" s="21">
        <v>9347.7000000000007</v>
      </c>
      <c r="AF170" s="21">
        <v>6838.7</v>
      </c>
      <c r="AG170" s="21">
        <v>8820.1</v>
      </c>
      <c r="AH170" s="21">
        <v>12715.9</v>
      </c>
      <c r="AI170" s="21">
        <v>9419.4</v>
      </c>
      <c r="AJ170" s="21">
        <v>10230.1</v>
      </c>
      <c r="AK170" s="21">
        <v>12305.1</v>
      </c>
      <c r="AL170" s="21">
        <v>17127.400000000001</v>
      </c>
      <c r="AM170" s="21">
        <v>21627.1</v>
      </c>
      <c r="AN170" s="21">
        <v>26794.2</v>
      </c>
      <c r="AO170" s="21">
        <v>28253.599999999999</v>
      </c>
      <c r="AP170" s="21">
        <v>34845.800000000003</v>
      </c>
      <c r="AQ170" s="21">
        <v>17624.099999999999</v>
      </c>
      <c r="AR170" s="21">
        <v>23497.7</v>
      </c>
      <c r="AS170" s="21">
        <v>29164</v>
      </c>
      <c r="AT170" s="21">
        <v>24959.5</v>
      </c>
      <c r="AU170" s="21">
        <v>27521</v>
      </c>
      <c r="AV170" s="21">
        <v>24825.599999999999</v>
      </c>
      <c r="AW170" s="21">
        <v>13389.9</v>
      </c>
      <c r="AX170" s="21">
        <v>11211.9</v>
      </c>
      <c r="AY170" s="21">
        <v>14586.8</v>
      </c>
      <c r="AZ170" s="21">
        <v>17698.8</v>
      </c>
      <c r="BA170" s="21">
        <v>15299.1</v>
      </c>
      <c r="BB170" s="21">
        <v>9767.9</v>
      </c>
      <c r="BC170" s="21">
        <v>15931.1</v>
      </c>
    </row>
    <row r="171" spans="1:55" x14ac:dyDescent="0.2">
      <c r="A171" s="21" t="s">
        <v>1413</v>
      </c>
      <c r="B171" s="21" t="s">
        <v>1414</v>
      </c>
      <c r="C171" s="21" t="s">
        <v>841</v>
      </c>
      <c r="D171" s="21">
        <v>834813</v>
      </c>
      <c r="E171" s="21">
        <v>885547</v>
      </c>
      <c r="F171" s="21">
        <v>975363</v>
      </c>
      <c r="G171" s="21">
        <v>1043542</v>
      </c>
      <c r="H171" s="21">
        <v>1084533</v>
      </c>
      <c r="I171" s="21">
        <v>1019367</v>
      </c>
      <c r="J171" s="21">
        <v>1324193</v>
      </c>
      <c r="K171" s="21">
        <v>1576596</v>
      </c>
      <c r="L171" s="21">
        <v>1727692</v>
      </c>
      <c r="M171" s="21">
        <v>1865110</v>
      </c>
      <c r="N171" s="21">
        <v>1888876</v>
      </c>
      <c r="O171" s="21">
        <v>1599058</v>
      </c>
      <c r="P171" s="21">
        <v>1227071</v>
      </c>
      <c r="Q171" s="21">
        <v>1201419</v>
      </c>
      <c r="R171" s="21">
        <v>1195164</v>
      </c>
      <c r="S171" s="21">
        <v>1150193</v>
      </c>
      <c r="T171" s="21">
        <v>1248795</v>
      </c>
      <c r="U171" s="21">
        <v>1218050</v>
      </c>
      <c r="V171" s="21">
        <v>1253240</v>
      </c>
      <c r="W171" s="21">
        <v>1228024</v>
      </c>
      <c r="X171" s="21">
        <v>1379950</v>
      </c>
      <c r="Y171" s="21">
        <v>1401983</v>
      </c>
      <c r="Z171" s="21">
        <v>1433529</v>
      </c>
      <c r="AA171" s="21">
        <v>1433997</v>
      </c>
      <c r="AB171" s="21">
        <v>1464470</v>
      </c>
      <c r="AC171" s="21">
        <v>1382515</v>
      </c>
      <c r="AD171" s="21">
        <v>1421195</v>
      </c>
      <c r="AE171" s="21">
        <v>1611378</v>
      </c>
      <c r="AF171" s="21">
        <v>1671291</v>
      </c>
      <c r="AG171" s="21">
        <v>1607960</v>
      </c>
      <c r="AH171" s="21">
        <v>1585354</v>
      </c>
      <c r="AI171" s="21">
        <v>1395908</v>
      </c>
      <c r="AJ171" s="21">
        <v>1483366</v>
      </c>
      <c r="AK171" s="21">
        <v>1549817</v>
      </c>
      <c r="AL171" s="21">
        <v>1724137</v>
      </c>
      <c r="AM171" s="21">
        <v>1613320</v>
      </c>
      <c r="AN171" s="21">
        <v>1651719</v>
      </c>
      <c r="AO171" s="21">
        <v>1539947</v>
      </c>
      <c r="AP171" s="21">
        <v>1370996</v>
      </c>
      <c r="AQ171" s="21">
        <v>1106863</v>
      </c>
      <c r="AR171" s="21">
        <v>1144979</v>
      </c>
      <c r="AS171" s="21">
        <v>1078277</v>
      </c>
      <c r="AT171" s="21">
        <v>932752</v>
      </c>
      <c r="AU171" s="21">
        <v>1029422</v>
      </c>
      <c r="AV171" s="21">
        <v>993476</v>
      </c>
      <c r="AW171" s="21">
        <v>957648</v>
      </c>
      <c r="AX171" s="21">
        <v>940252</v>
      </c>
      <c r="AY171" s="21">
        <v>1008411</v>
      </c>
      <c r="AZ171" s="21">
        <v>988601</v>
      </c>
      <c r="BA171" s="21">
        <v>916982</v>
      </c>
      <c r="BB171" s="21">
        <v>838039</v>
      </c>
      <c r="BC171" s="21">
        <v>835536</v>
      </c>
    </row>
    <row r="172" spans="1:55" x14ac:dyDescent="0.2">
      <c r="A172" s="21" t="s">
        <v>1413</v>
      </c>
      <c r="B172" s="21" t="s">
        <v>1414</v>
      </c>
      <c r="C172" s="21" t="s">
        <v>843</v>
      </c>
      <c r="D172" s="21">
        <v>834813</v>
      </c>
      <c r="E172" s="21">
        <v>885547</v>
      </c>
      <c r="F172" s="21">
        <v>975363</v>
      </c>
      <c r="G172" s="21">
        <v>1043542</v>
      </c>
      <c r="H172" s="21">
        <v>1084533</v>
      </c>
      <c r="I172" s="21">
        <v>1019367</v>
      </c>
      <c r="J172" s="21">
        <v>1324193</v>
      </c>
      <c r="K172" s="21">
        <v>1576596</v>
      </c>
      <c r="L172" s="21">
        <v>1727692</v>
      </c>
      <c r="M172" s="21">
        <v>1865110</v>
      </c>
      <c r="N172" s="21">
        <v>1888876</v>
      </c>
      <c r="O172" s="21">
        <v>1599058</v>
      </c>
      <c r="P172" s="21">
        <v>1227071</v>
      </c>
      <c r="Q172" s="21">
        <v>1201419</v>
      </c>
      <c r="R172" s="21">
        <v>1195164</v>
      </c>
      <c r="S172" s="21">
        <v>1150193</v>
      </c>
      <c r="T172" s="21">
        <v>1248795</v>
      </c>
      <c r="U172" s="21">
        <v>1218050</v>
      </c>
      <c r="V172" s="21">
        <v>1253240</v>
      </c>
      <c r="W172" s="21">
        <v>1228024</v>
      </c>
      <c r="X172" s="21">
        <v>1379950</v>
      </c>
      <c r="Y172" s="21">
        <v>1401983</v>
      </c>
      <c r="Z172" s="21">
        <v>1433529</v>
      </c>
      <c r="AA172" s="21">
        <v>1433997</v>
      </c>
      <c r="AB172" s="21">
        <v>1464470</v>
      </c>
      <c r="AC172" s="21">
        <v>1382515</v>
      </c>
      <c r="AD172" s="21">
        <v>1421195</v>
      </c>
      <c r="AE172" s="21">
        <v>1611378</v>
      </c>
      <c r="AF172" s="21">
        <v>1671291</v>
      </c>
      <c r="AG172" s="21">
        <v>1607960</v>
      </c>
      <c r="AH172" s="21">
        <v>1585354</v>
      </c>
      <c r="AI172" s="21">
        <v>1395908</v>
      </c>
      <c r="AJ172" s="21">
        <v>1483366</v>
      </c>
      <c r="AK172" s="21">
        <v>1549817</v>
      </c>
      <c r="AL172" s="21">
        <v>1724137</v>
      </c>
      <c r="AM172" s="21">
        <v>1613320</v>
      </c>
      <c r="AN172" s="21">
        <v>1651719</v>
      </c>
      <c r="AO172" s="21">
        <v>1539947</v>
      </c>
      <c r="AP172" s="21">
        <v>1370996</v>
      </c>
      <c r="AQ172" s="21">
        <v>1106863</v>
      </c>
      <c r="AR172" s="21">
        <v>1144979</v>
      </c>
      <c r="AS172" s="21">
        <v>1078277</v>
      </c>
      <c r="AT172" s="21">
        <v>932752</v>
      </c>
      <c r="AU172" s="21">
        <v>1029422</v>
      </c>
      <c r="AV172" s="21">
        <v>993476</v>
      </c>
      <c r="AW172" s="21">
        <v>957648</v>
      </c>
      <c r="AX172" s="21">
        <v>940252</v>
      </c>
      <c r="AY172" s="21">
        <v>1008411</v>
      </c>
      <c r="AZ172" s="21">
        <v>988601</v>
      </c>
      <c r="BA172" s="21">
        <v>916982</v>
      </c>
      <c r="BB172" s="21">
        <v>838039</v>
      </c>
      <c r="BC172" s="21">
        <v>835536</v>
      </c>
    </row>
    <row r="173" spans="1:55" x14ac:dyDescent="0.2">
      <c r="A173" s="21" t="s">
        <v>1413</v>
      </c>
      <c r="B173" s="21" t="s">
        <v>1414</v>
      </c>
      <c r="C173" s="21" t="s">
        <v>847</v>
      </c>
      <c r="D173" s="21">
        <v>1.1599999999999999</v>
      </c>
      <c r="E173" s="21">
        <v>1.18</v>
      </c>
      <c r="F173" s="21">
        <v>1.19</v>
      </c>
      <c r="G173" s="21">
        <v>1.35</v>
      </c>
      <c r="H173" s="21">
        <v>2.4300000000000002</v>
      </c>
      <c r="I173" s="21">
        <v>2.89</v>
      </c>
      <c r="J173" s="21">
        <v>3.15</v>
      </c>
      <c r="K173" s="21">
        <v>3.45</v>
      </c>
      <c r="L173" s="21">
        <v>3.56</v>
      </c>
      <c r="M173" s="21">
        <v>4.9800000000000004</v>
      </c>
      <c r="N173" s="21">
        <v>7.58</v>
      </c>
      <c r="O173" s="21">
        <v>9.33</v>
      </c>
      <c r="P173" s="21">
        <v>8.52</v>
      </c>
      <c r="Q173" s="21">
        <v>8.01</v>
      </c>
      <c r="R173" s="21">
        <v>8.06</v>
      </c>
      <c r="S173" s="21">
        <v>7.76</v>
      </c>
      <c r="T173" s="21">
        <v>4.92</v>
      </c>
      <c r="U173" s="21">
        <v>5.79</v>
      </c>
      <c r="V173" s="21">
        <v>4.84</v>
      </c>
      <c r="W173" s="21">
        <v>5.67</v>
      </c>
      <c r="X173" s="21">
        <v>6.48</v>
      </c>
      <c r="Y173" s="21">
        <v>5.73</v>
      </c>
      <c r="Z173" s="21">
        <v>5.78</v>
      </c>
      <c r="AA173" s="21">
        <v>5.18</v>
      </c>
      <c r="AB173" s="21">
        <v>5.03</v>
      </c>
      <c r="AC173" s="21">
        <v>5.44</v>
      </c>
      <c r="AD173" s="21">
        <v>6.32</v>
      </c>
      <c r="AE173" s="21">
        <v>5.8</v>
      </c>
      <c r="AF173" s="21">
        <v>4.09</v>
      </c>
      <c r="AG173" s="21">
        <v>5.49</v>
      </c>
      <c r="AH173" s="21">
        <v>8.02</v>
      </c>
      <c r="AI173" s="21">
        <v>6.75</v>
      </c>
      <c r="AJ173" s="21">
        <v>6.9</v>
      </c>
      <c r="AK173" s="21">
        <v>7.94</v>
      </c>
      <c r="AL173" s="21">
        <v>9.93</v>
      </c>
      <c r="AM173" s="21">
        <v>13.41</v>
      </c>
      <c r="AN173" s="21">
        <v>16.22</v>
      </c>
      <c r="AO173" s="21">
        <v>18.350000000000001</v>
      </c>
      <c r="AP173" s="21">
        <v>25.42</v>
      </c>
      <c r="AQ173" s="21">
        <v>15.92</v>
      </c>
      <c r="AR173" s="21">
        <v>20.52</v>
      </c>
      <c r="AS173" s="21">
        <v>27.05</v>
      </c>
      <c r="AT173" s="21">
        <v>26.76</v>
      </c>
      <c r="AU173" s="21">
        <v>26.73</v>
      </c>
      <c r="AV173" s="21">
        <v>24.99</v>
      </c>
      <c r="AW173" s="21">
        <v>13.98</v>
      </c>
      <c r="AX173" s="21">
        <v>11.92</v>
      </c>
      <c r="AY173" s="21">
        <v>14.47</v>
      </c>
      <c r="AZ173" s="21">
        <v>17.899999999999999</v>
      </c>
      <c r="BA173" s="21">
        <v>16.68</v>
      </c>
      <c r="BB173" s="21">
        <v>11.66</v>
      </c>
      <c r="BC173" s="21">
        <v>19.07</v>
      </c>
    </row>
    <row r="174" spans="1:55" x14ac:dyDescent="0.2">
      <c r="A174" s="21" t="s">
        <v>1413</v>
      </c>
      <c r="B174" s="21" t="s">
        <v>1414</v>
      </c>
      <c r="C174" s="21" t="s">
        <v>850</v>
      </c>
      <c r="D174" s="21">
        <v>967.6</v>
      </c>
      <c r="E174" s="21">
        <v>1043.5999999999999</v>
      </c>
      <c r="F174" s="21">
        <v>1155.8</v>
      </c>
      <c r="G174" s="21">
        <v>1413.7</v>
      </c>
      <c r="H174" s="21">
        <v>2640</v>
      </c>
      <c r="I174" s="21">
        <v>2946.3</v>
      </c>
      <c r="J174" s="21">
        <v>4176.3</v>
      </c>
      <c r="K174" s="21">
        <v>5431.7</v>
      </c>
      <c r="L174" s="21">
        <v>6142.3</v>
      </c>
      <c r="M174" s="21">
        <v>9286</v>
      </c>
      <c r="N174" s="21">
        <v>14324.2</v>
      </c>
      <c r="O174" s="21">
        <v>14924.1</v>
      </c>
      <c r="P174" s="21">
        <v>10451</v>
      </c>
      <c r="Q174" s="21">
        <v>9618.4</v>
      </c>
      <c r="R174" s="21">
        <v>9632</v>
      </c>
      <c r="S174" s="21">
        <v>8924.5</v>
      </c>
      <c r="T174" s="21">
        <v>6139.4</v>
      </c>
      <c r="U174" s="21">
        <v>7051.7</v>
      </c>
      <c r="V174" s="21">
        <v>6060.7</v>
      </c>
      <c r="W174" s="21">
        <v>6966.2</v>
      </c>
      <c r="X174" s="21">
        <v>8947</v>
      </c>
      <c r="Y174" s="21">
        <v>8029.8</v>
      </c>
      <c r="Z174" s="21">
        <v>8282.2999999999993</v>
      </c>
      <c r="AA174" s="21">
        <v>7422.9</v>
      </c>
      <c r="AB174" s="21">
        <v>7372.3</v>
      </c>
      <c r="AC174" s="21">
        <v>7516.8</v>
      </c>
      <c r="AD174" s="21">
        <v>8986.5</v>
      </c>
      <c r="AE174" s="21">
        <v>9347.7000000000007</v>
      </c>
      <c r="AF174" s="21">
        <v>6838.7</v>
      </c>
      <c r="AG174" s="21">
        <v>8820.1</v>
      </c>
      <c r="AH174" s="21">
        <v>12715.9</v>
      </c>
      <c r="AI174" s="21">
        <v>9419.4</v>
      </c>
      <c r="AJ174" s="21">
        <v>10230.1</v>
      </c>
      <c r="AK174" s="21">
        <v>12305.1</v>
      </c>
      <c r="AL174" s="21">
        <v>17127.400000000001</v>
      </c>
      <c r="AM174" s="21">
        <v>21627.1</v>
      </c>
      <c r="AN174" s="21">
        <v>26794.2</v>
      </c>
      <c r="AO174" s="21">
        <v>28253.599999999999</v>
      </c>
      <c r="AP174" s="21">
        <v>34845.800000000003</v>
      </c>
      <c r="AQ174" s="21">
        <v>17624.099999999999</v>
      </c>
      <c r="AR174" s="21">
        <v>23497.7</v>
      </c>
      <c r="AS174" s="21">
        <v>29164</v>
      </c>
      <c r="AT174" s="21">
        <v>24959.5</v>
      </c>
      <c r="AU174" s="21">
        <v>27521</v>
      </c>
      <c r="AV174" s="21">
        <v>24825.599999999999</v>
      </c>
      <c r="AW174" s="21">
        <v>13389.9</v>
      </c>
      <c r="AX174" s="21">
        <v>11211.9</v>
      </c>
      <c r="AY174" s="21">
        <v>14586.8</v>
      </c>
      <c r="AZ174" s="21">
        <v>17698.8</v>
      </c>
      <c r="BA174" s="21">
        <v>15299.1</v>
      </c>
      <c r="BB174" s="21">
        <v>9767.9</v>
      </c>
      <c r="BC174" s="21">
        <v>15931.1</v>
      </c>
    </row>
    <row r="175" spans="1:55" x14ac:dyDescent="0.2">
      <c r="A175" s="21" t="s">
        <v>1413</v>
      </c>
      <c r="B175" s="21" t="s">
        <v>1414</v>
      </c>
      <c r="C175" s="21" t="s">
        <v>854</v>
      </c>
      <c r="D175" s="21">
        <v>1.1599999999999999</v>
      </c>
      <c r="E175" s="21">
        <v>1.18</v>
      </c>
      <c r="F175" s="21">
        <v>1.19</v>
      </c>
      <c r="G175" s="21">
        <v>1.35</v>
      </c>
      <c r="H175" s="21">
        <v>2.4300000000000002</v>
      </c>
      <c r="I175" s="21">
        <v>2.89</v>
      </c>
      <c r="J175" s="21">
        <v>3.15</v>
      </c>
      <c r="K175" s="21">
        <v>3.45</v>
      </c>
      <c r="L175" s="21">
        <v>3.56</v>
      </c>
      <c r="M175" s="21">
        <v>4.9800000000000004</v>
      </c>
      <c r="N175" s="21">
        <v>7.58</v>
      </c>
      <c r="O175" s="21">
        <v>9.33</v>
      </c>
      <c r="P175" s="21">
        <v>8.52</v>
      </c>
      <c r="Q175" s="21">
        <v>8.01</v>
      </c>
      <c r="R175" s="21">
        <v>8.06</v>
      </c>
      <c r="S175" s="21">
        <v>7.76</v>
      </c>
      <c r="T175" s="21">
        <v>4.92</v>
      </c>
      <c r="U175" s="21">
        <v>5.79</v>
      </c>
      <c r="V175" s="21">
        <v>4.84</v>
      </c>
      <c r="W175" s="21">
        <v>5.67</v>
      </c>
      <c r="X175" s="21">
        <v>6.48</v>
      </c>
      <c r="Y175" s="21">
        <v>5.73</v>
      </c>
      <c r="Z175" s="21">
        <v>5.78</v>
      </c>
      <c r="AA175" s="21">
        <v>5.18</v>
      </c>
      <c r="AB175" s="21">
        <v>5.03</v>
      </c>
      <c r="AC175" s="21">
        <v>5.44</v>
      </c>
      <c r="AD175" s="21">
        <v>6.32</v>
      </c>
      <c r="AE175" s="21">
        <v>5.8</v>
      </c>
      <c r="AF175" s="21">
        <v>4.09</v>
      </c>
      <c r="AG175" s="21">
        <v>5.49</v>
      </c>
      <c r="AH175" s="21">
        <v>8.02</v>
      </c>
      <c r="AI175" s="21">
        <v>6.75</v>
      </c>
      <c r="AJ175" s="21">
        <v>6.9</v>
      </c>
      <c r="AK175" s="21">
        <v>7.94</v>
      </c>
      <c r="AL175" s="21">
        <v>9.93</v>
      </c>
      <c r="AM175" s="21">
        <v>13.41</v>
      </c>
      <c r="AN175" s="21">
        <v>16.22</v>
      </c>
      <c r="AO175" s="21">
        <v>18.350000000000001</v>
      </c>
      <c r="AP175" s="21">
        <v>25.42</v>
      </c>
      <c r="AQ175" s="21">
        <v>15.92</v>
      </c>
      <c r="AR175" s="21">
        <v>20.52</v>
      </c>
      <c r="AS175" s="21">
        <v>27.05</v>
      </c>
      <c r="AT175" s="21">
        <v>26.76</v>
      </c>
      <c r="AU175" s="21">
        <v>26.73</v>
      </c>
      <c r="AV175" s="21">
        <v>24.99</v>
      </c>
      <c r="AW175" s="21">
        <v>13.98</v>
      </c>
      <c r="AX175" s="21">
        <v>11.92</v>
      </c>
      <c r="AY175" s="21">
        <v>14.47</v>
      </c>
      <c r="AZ175" s="21">
        <v>17.899999999999999</v>
      </c>
      <c r="BA175" s="21">
        <v>16.68</v>
      </c>
      <c r="BB175" s="21">
        <v>11.66</v>
      </c>
      <c r="BC175" s="21">
        <v>19.07</v>
      </c>
    </row>
    <row r="176" spans="1:55" x14ac:dyDescent="0.2">
      <c r="A176" s="21" t="s">
        <v>1413</v>
      </c>
      <c r="B176" s="21" t="s">
        <v>1414</v>
      </c>
      <c r="C176" s="21" t="s">
        <v>857</v>
      </c>
      <c r="D176" s="21">
        <v>967.6</v>
      </c>
      <c r="E176" s="21">
        <v>1043.5999999999999</v>
      </c>
      <c r="F176" s="21">
        <v>1155.8</v>
      </c>
      <c r="G176" s="21">
        <v>1413.7</v>
      </c>
      <c r="H176" s="21">
        <v>2640</v>
      </c>
      <c r="I176" s="21">
        <v>2946.3</v>
      </c>
      <c r="J176" s="21">
        <v>4176.3</v>
      </c>
      <c r="K176" s="21">
        <v>5431.7</v>
      </c>
      <c r="L176" s="21">
        <v>6142.3</v>
      </c>
      <c r="M176" s="21">
        <v>9286</v>
      </c>
      <c r="N176" s="21">
        <v>14324.2</v>
      </c>
      <c r="O176" s="21">
        <v>14924.1</v>
      </c>
      <c r="P176" s="21">
        <v>10451</v>
      </c>
      <c r="Q176" s="21">
        <v>9618.4</v>
      </c>
      <c r="R176" s="21">
        <v>9632</v>
      </c>
      <c r="S176" s="21">
        <v>8924.5</v>
      </c>
      <c r="T176" s="21">
        <v>6139.4</v>
      </c>
      <c r="U176" s="21">
        <v>7051.7</v>
      </c>
      <c r="V176" s="21">
        <v>6060.7</v>
      </c>
      <c r="W176" s="21">
        <v>6966.2</v>
      </c>
      <c r="X176" s="21">
        <v>8947</v>
      </c>
      <c r="Y176" s="21">
        <v>8029.8</v>
      </c>
      <c r="Z176" s="21">
        <v>8282.2999999999993</v>
      </c>
      <c r="AA176" s="21">
        <v>7422.9</v>
      </c>
      <c r="AB176" s="21">
        <v>7372.3</v>
      </c>
      <c r="AC176" s="21">
        <v>7516.8</v>
      </c>
      <c r="AD176" s="21">
        <v>8986.5</v>
      </c>
      <c r="AE176" s="21">
        <v>9347.7000000000007</v>
      </c>
      <c r="AF176" s="21">
        <v>6838.7</v>
      </c>
      <c r="AG176" s="21">
        <v>8820.1</v>
      </c>
      <c r="AH176" s="21">
        <v>12715.9</v>
      </c>
      <c r="AI176" s="21">
        <v>9419.4</v>
      </c>
      <c r="AJ176" s="21">
        <v>10230.1</v>
      </c>
      <c r="AK176" s="21">
        <v>12305.1</v>
      </c>
      <c r="AL176" s="21">
        <v>17127.400000000001</v>
      </c>
      <c r="AM176" s="21">
        <v>21627.1</v>
      </c>
      <c r="AN176" s="21">
        <v>26794.2</v>
      </c>
      <c r="AO176" s="21">
        <v>28253.599999999999</v>
      </c>
      <c r="AP176" s="21">
        <v>34845.800000000003</v>
      </c>
      <c r="AQ176" s="21">
        <v>17624.099999999999</v>
      </c>
      <c r="AR176" s="21">
        <v>23497.7</v>
      </c>
      <c r="AS176" s="21">
        <v>29164</v>
      </c>
      <c r="AT176" s="21">
        <v>24959.5</v>
      </c>
      <c r="AU176" s="21">
        <v>27521</v>
      </c>
      <c r="AV176" s="21">
        <v>24825.599999999999</v>
      </c>
      <c r="AW176" s="21">
        <v>13389.9</v>
      </c>
      <c r="AX176" s="21">
        <v>11211.9</v>
      </c>
      <c r="AY176" s="21">
        <v>14586.8</v>
      </c>
      <c r="AZ176" s="21">
        <v>17698.8</v>
      </c>
      <c r="BA176" s="21">
        <v>15299.1</v>
      </c>
      <c r="BB176" s="21">
        <v>9767.9</v>
      </c>
      <c r="BC176" s="21">
        <v>15931.1</v>
      </c>
    </row>
    <row r="177" spans="1:55" x14ac:dyDescent="0.2">
      <c r="A177" s="21" t="s">
        <v>1413</v>
      </c>
      <c r="B177" s="21" t="s">
        <v>1414</v>
      </c>
      <c r="C177" s="21" t="s">
        <v>863</v>
      </c>
      <c r="D177" s="21">
        <v>1.1299999999999999</v>
      </c>
      <c r="E177" s="21">
        <v>1.2</v>
      </c>
      <c r="F177" s="21">
        <v>1.24</v>
      </c>
      <c r="G177" s="21">
        <v>1.33</v>
      </c>
      <c r="H177" s="21">
        <v>2.31</v>
      </c>
      <c r="I177" s="21">
        <v>2.64</v>
      </c>
      <c r="J177" s="21">
        <v>2.81</v>
      </c>
      <c r="K177" s="21">
        <v>3.03</v>
      </c>
      <c r="L177" s="21">
        <v>3.19</v>
      </c>
      <c r="M177" s="21">
        <v>4.3600000000000003</v>
      </c>
      <c r="N177" s="21">
        <v>6.59</v>
      </c>
      <c r="O177" s="21">
        <v>8.08</v>
      </c>
      <c r="P177" s="21">
        <v>7.17</v>
      </c>
      <c r="Q177" s="21">
        <v>7</v>
      </c>
      <c r="R177" s="21">
        <v>7.04</v>
      </c>
      <c r="S177" s="21">
        <v>6.9</v>
      </c>
      <c r="T177" s="21">
        <v>5.32</v>
      </c>
      <c r="U177" s="21">
        <v>5.31</v>
      </c>
      <c r="V177" s="21">
        <v>4.8499999999999996</v>
      </c>
      <c r="W177" s="21">
        <v>5.18</v>
      </c>
      <c r="X177" s="21">
        <v>5.64</v>
      </c>
      <c r="Y177" s="21">
        <v>5.43</v>
      </c>
      <c r="Z177" s="21">
        <v>5.08</v>
      </c>
      <c r="AA177" s="21">
        <v>5.0199999999999996</v>
      </c>
      <c r="AB177" s="21">
        <v>4.93</v>
      </c>
      <c r="AC177" s="21">
        <v>5.21</v>
      </c>
      <c r="AD177" s="21">
        <v>5.64</v>
      </c>
      <c r="AE177" s="21">
        <v>5.57</v>
      </c>
      <c r="AF177" s="21">
        <v>4.54</v>
      </c>
      <c r="AG177" s="21">
        <v>5.15</v>
      </c>
      <c r="AH177" s="21">
        <v>6.83</v>
      </c>
      <c r="AI177" s="21">
        <v>6.09</v>
      </c>
      <c r="AJ177" s="21">
        <v>6.34</v>
      </c>
      <c r="AK177" s="21">
        <v>7.14</v>
      </c>
      <c r="AL177" s="21">
        <v>8.1</v>
      </c>
      <c r="AM177" s="21">
        <v>10.199999999999999</v>
      </c>
      <c r="AN177" s="21">
        <v>12.49</v>
      </c>
      <c r="AO177" s="21">
        <v>13.96</v>
      </c>
      <c r="AP177" s="21">
        <v>18.260000000000002</v>
      </c>
      <c r="AQ177" s="21">
        <v>15.08</v>
      </c>
      <c r="AR177" s="21">
        <v>18.78</v>
      </c>
      <c r="AS177" s="21">
        <v>23.39</v>
      </c>
      <c r="AT177" s="21">
        <v>23.13</v>
      </c>
      <c r="AU177" s="21">
        <v>23.57</v>
      </c>
      <c r="AV177" s="21">
        <v>23.06</v>
      </c>
      <c r="AW177" s="21">
        <v>16.54</v>
      </c>
      <c r="AX177" s="21">
        <v>13.94</v>
      </c>
      <c r="AY177" s="21">
        <v>15.32</v>
      </c>
      <c r="AZ177" s="21">
        <v>18.559999999999999</v>
      </c>
      <c r="BA177" s="21">
        <v>18.260000000000002</v>
      </c>
      <c r="BB177" s="21">
        <v>15.36</v>
      </c>
      <c r="BC177" s="21">
        <v>19.61</v>
      </c>
    </row>
    <row r="178" spans="1:55" x14ac:dyDescent="0.2">
      <c r="A178" s="21" t="s">
        <v>1413</v>
      </c>
      <c r="B178" s="21" t="s">
        <v>1414</v>
      </c>
      <c r="C178" s="21" t="s">
        <v>866</v>
      </c>
      <c r="D178" s="21">
        <v>2697.6</v>
      </c>
      <c r="E178" s="21">
        <v>2953.7</v>
      </c>
      <c r="F178" s="21">
        <v>3227.4</v>
      </c>
      <c r="G178" s="21">
        <v>3759.4</v>
      </c>
      <c r="H178" s="21">
        <v>6225.9</v>
      </c>
      <c r="I178" s="21">
        <v>6470</v>
      </c>
      <c r="J178" s="21">
        <v>7738</v>
      </c>
      <c r="K178" s="21">
        <v>9521.7999999999993</v>
      </c>
      <c r="L178" s="21">
        <v>10839.3</v>
      </c>
      <c r="M178" s="21">
        <v>15306.1</v>
      </c>
      <c r="N178" s="21">
        <v>21837.3</v>
      </c>
      <c r="O178" s="21">
        <v>23572</v>
      </c>
      <c r="P178" s="21">
        <v>18119.099999999999</v>
      </c>
      <c r="Q178" s="21">
        <v>17022.3</v>
      </c>
      <c r="R178" s="21">
        <v>17880</v>
      </c>
      <c r="S178" s="21">
        <v>17396</v>
      </c>
      <c r="T178" s="21">
        <v>14117.7</v>
      </c>
      <c r="U178" s="21">
        <v>14603.9</v>
      </c>
      <c r="V178" s="21">
        <v>13530.5</v>
      </c>
      <c r="W178" s="21">
        <v>14085.2</v>
      </c>
      <c r="X178" s="21">
        <v>16798</v>
      </c>
      <c r="Y178" s="21">
        <v>15552</v>
      </c>
      <c r="Z178" s="21">
        <v>15250.4</v>
      </c>
      <c r="AA178" s="21">
        <v>14882.2</v>
      </c>
      <c r="AB178" s="21">
        <v>15043.4</v>
      </c>
      <c r="AC178" s="21">
        <v>15446.2</v>
      </c>
      <c r="AD178" s="21">
        <v>17038.5</v>
      </c>
      <c r="AE178" s="21">
        <v>18030.7</v>
      </c>
      <c r="AF178" s="21">
        <v>15760.9</v>
      </c>
      <c r="AG178" s="21">
        <v>18222.2</v>
      </c>
      <c r="AH178" s="21">
        <v>22692.3</v>
      </c>
      <c r="AI178" s="21">
        <v>19349.400000000001</v>
      </c>
      <c r="AJ178" s="21">
        <v>20406.599999999999</v>
      </c>
      <c r="AK178" s="21">
        <v>23112.7</v>
      </c>
      <c r="AL178" s="21">
        <v>29029.3</v>
      </c>
      <c r="AM178" s="21">
        <v>35366.1</v>
      </c>
      <c r="AN178" s="21">
        <v>43321.5</v>
      </c>
      <c r="AO178" s="21">
        <v>45611.6</v>
      </c>
      <c r="AP178" s="21">
        <v>52809.9</v>
      </c>
      <c r="AQ178" s="21">
        <v>36279.599999999999</v>
      </c>
      <c r="AR178" s="21">
        <v>43931.1</v>
      </c>
      <c r="AS178" s="21">
        <v>51533.599999999999</v>
      </c>
      <c r="AT178" s="21">
        <v>47685.4</v>
      </c>
      <c r="AU178" s="21">
        <v>48780.800000000003</v>
      </c>
      <c r="AV178" s="21">
        <v>46939.1</v>
      </c>
      <c r="AW178" s="21">
        <v>34366.1</v>
      </c>
      <c r="AX178" s="21">
        <v>28471.8</v>
      </c>
      <c r="AY178" s="21">
        <v>31605.9</v>
      </c>
      <c r="AZ178" s="21">
        <v>37102.5</v>
      </c>
      <c r="BA178" s="21">
        <v>36029.199999999997</v>
      </c>
      <c r="BB178" s="21">
        <v>28322.3</v>
      </c>
      <c r="BC178" s="21">
        <v>37478.699999999997</v>
      </c>
    </row>
    <row r="179" spans="1:55" x14ac:dyDescent="0.2">
      <c r="A179" s="21" t="s">
        <v>1413</v>
      </c>
      <c r="B179" s="21" t="s">
        <v>1414</v>
      </c>
      <c r="C179" s="21" t="s">
        <v>868</v>
      </c>
      <c r="D179" s="21">
        <v>2388985</v>
      </c>
      <c r="E179" s="21">
        <v>2459232</v>
      </c>
      <c r="F179" s="21">
        <v>2609971</v>
      </c>
      <c r="G179" s="21">
        <v>2816333</v>
      </c>
      <c r="H179" s="21">
        <v>2695244</v>
      </c>
      <c r="I179" s="21">
        <v>2452251</v>
      </c>
      <c r="J179" s="21">
        <v>2750288</v>
      </c>
      <c r="K179" s="21">
        <v>3143326</v>
      </c>
      <c r="L179" s="21">
        <v>3393541</v>
      </c>
      <c r="M179" s="21">
        <v>3513193</v>
      </c>
      <c r="N179" s="21">
        <v>3312505</v>
      </c>
      <c r="O179" s="21">
        <v>2916658</v>
      </c>
      <c r="P179" s="21">
        <v>2526485</v>
      </c>
      <c r="Q179" s="21">
        <v>2430081</v>
      </c>
      <c r="R179" s="21">
        <v>2538517</v>
      </c>
      <c r="S179" s="21">
        <v>2519528</v>
      </c>
      <c r="T179" s="21">
        <v>2652616</v>
      </c>
      <c r="U179" s="21">
        <v>2747767</v>
      </c>
      <c r="V179" s="21">
        <v>2791935</v>
      </c>
      <c r="W179" s="21">
        <v>2720684</v>
      </c>
      <c r="X179" s="21">
        <v>2979767</v>
      </c>
      <c r="Y179" s="21">
        <v>2863624</v>
      </c>
      <c r="Z179" s="21">
        <v>3003747</v>
      </c>
      <c r="AA179" s="21">
        <v>2963035</v>
      </c>
      <c r="AB179" s="21">
        <v>3052585</v>
      </c>
      <c r="AC179" s="21">
        <v>2966421</v>
      </c>
      <c r="AD179" s="21">
        <v>3018496</v>
      </c>
      <c r="AE179" s="21">
        <v>3239533</v>
      </c>
      <c r="AF179" s="21">
        <v>3470896</v>
      </c>
      <c r="AG179" s="21">
        <v>3535458</v>
      </c>
      <c r="AH179" s="21">
        <v>3323295</v>
      </c>
      <c r="AI179" s="21">
        <v>3174942</v>
      </c>
      <c r="AJ179" s="21">
        <v>3219603</v>
      </c>
      <c r="AK179" s="21">
        <v>3235901</v>
      </c>
      <c r="AL179" s="21">
        <v>3585101</v>
      </c>
      <c r="AM179" s="21">
        <v>3467186</v>
      </c>
      <c r="AN179" s="21">
        <v>3467779</v>
      </c>
      <c r="AO179" s="21">
        <v>3268224</v>
      </c>
      <c r="AP179" s="21">
        <v>2892379</v>
      </c>
      <c r="AQ179" s="21">
        <v>2405248</v>
      </c>
      <c r="AR179" s="21">
        <v>2338793</v>
      </c>
      <c r="AS179" s="21">
        <v>2203573</v>
      </c>
      <c r="AT179" s="21">
        <v>2061195</v>
      </c>
      <c r="AU179" s="21">
        <v>2069339</v>
      </c>
      <c r="AV179" s="21">
        <v>2035580</v>
      </c>
      <c r="AW179" s="21">
        <v>2077253</v>
      </c>
      <c r="AX179" s="21">
        <v>2043051</v>
      </c>
      <c r="AY179" s="21">
        <v>2062675</v>
      </c>
      <c r="AZ179" s="21">
        <v>1998598</v>
      </c>
      <c r="BA179" s="21">
        <v>1973440</v>
      </c>
      <c r="BB179" s="21">
        <v>1844134</v>
      </c>
      <c r="BC179" s="21">
        <v>1910979</v>
      </c>
    </row>
    <row r="180" spans="1:55" x14ac:dyDescent="0.2">
      <c r="A180" s="21" t="s">
        <v>1413</v>
      </c>
      <c r="B180" s="21" t="s">
        <v>1414</v>
      </c>
      <c r="C180" s="21" t="s">
        <v>870</v>
      </c>
      <c r="D180" s="21">
        <v>3014799</v>
      </c>
      <c r="E180" s="21">
        <v>3065521</v>
      </c>
      <c r="F180" s="21">
        <v>3198338</v>
      </c>
      <c r="G180" s="21">
        <v>3370196</v>
      </c>
      <c r="H180" s="21">
        <v>3190796</v>
      </c>
      <c r="I180" s="21">
        <v>2889926</v>
      </c>
      <c r="J180" s="21">
        <v>3220015</v>
      </c>
      <c r="K180" s="21">
        <v>3607848</v>
      </c>
      <c r="L180" s="21">
        <v>3869034</v>
      </c>
      <c r="M180" s="21">
        <v>3995926</v>
      </c>
      <c r="N180" s="21">
        <v>3701378</v>
      </c>
      <c r="O180" s="21">
        <v>3296643</v>
      </c>
      <c r="P180" s="21">
        <v>2853699</v>
      </c>
      <c r="Q180" s="21">
        <v>2839711</v>
      </c>
      <c r="R180" s="21">
        <v>2953961</v>
      </c>
      <c r="S180" s="21">
        <v>2924588</v>
      </c>
      <c r="T180" s="21">
        <v>3045144</v>
      </c>
      <c r="U180" s="21">
        <v>3144166</v>
      </c>
      <c r="V180" s="21">
        <v>3189642</v>
      </c>
      <c r="W180" s="21">
        <v>3099731</v>
      </c>
      <c r="X180" s="21">
        <v>3306857</v>
      </c>
      <c r="Y180" s="21">
        <v>3176557</v>
      </c>
      <c r="Z180" s="21">
        <v>3326536</v>
      </c>
      <c r="AA180" s="21">
        <v>3333345</v>
      </c>
      <c r="AB180" s="21">
        <v>3415804</v>
      </c>
      <c r="AC180" s="21">
        <v>3350994</v>
      </c>
      <c r="AD180" s="21">
        <v>3408306</v>
      </c>
      <c r="AE180" s="21">
        <v>3670596</v>
      </c>
      <c r="AF180" s="21">
        <v>3949753</v>
      </c>
      <c r="AG180" s="21">
        <v>4007446</v>
      </c>
      <c r="AH180" s="21">
        <v>3761977</v>
      </c>
      <c r="AI180" s="21">
        <v>3604118</v>
      </c>
      <c r="AJ180" s="21">
        <v>3667024</v>
      </c>
      <c r="AK180" s="21">
        <v>3680196</v>
      </c>
      <c r="AL180" s="21">
        <v>4084769</v>
      </c>
      <c r="AM180" s="21">
        <v>3990650</v>
      </c>
      <c r="AN180" s="21">
        <v>3933486</v>
      </c>
      <c r="AO180" s="21">
        <v>3668045</v>
      </c>
      <c r="AP180" s="21">
        <v>3234368</v>
      </c>
      <c r="AQ180" s="21">
        <v>2722877</v>
      </c>
      <c r="AR180" s="21">
        <v>2691480</v>
      </c>
      <c r="AS180" s="21">
        <v>2539225</v>
      </c>
      <c r="AT180" s="21">
        <v>2316075</v>
      </c>
      <c r="AU180" s="21">
        <v>2367203</v>
      </c>
      <c r="AV180" s="21">
        <v>2341107</v>
      </c>
      <c r="AW180" s="21">
        <v>2384932</v>
      </c>
      <c r="AX180" s="21">
        <v>2352207</v>
      </c>
      <c r="AY180" s="21">
        <v>2332912</v>
      </c>
      <c r="AZ180" s="21">
        <v>2269395</v>
      </c>
      <c r="BA180" s="21">
        <v>2216875</v>
      </c>
      <c r="BB180" s="21">
        <v>2080018</v>
      </c>
      <c r="BC180" s="21">
        <v>2150546</v>
      </c>
    </row>
    <row r="181" spans="1:55" x14ac:dyDescent="0.2">
      <c r="A181" s="21" t="s">
        <v>1413</v>
      </c>
      <c r="B181" s="21" t="s">
        <v>1414</v>
      </c>
      <c r="C181" s="21" t="s">
        <v>874</v>
      </c>
      <c r="D181" s="21">
        <v>1.38</v>
      </c>
      <c r="E181" s="21">
        <v>1.45</v>
      </c>
      <c r="F181" s="21">
        <v>1.49</v>
      </c>
      <c r="G181" s="21">
        <v>1.58</v>
      </c>
      <c r="H181" s="21">
        <v>2.6</v>
      </c>
      <c r="I181" s="21">
        <v>2.94</v>
      </c>
      <c r="J181" s="21">
        <v>3.08</v>
      </c>
      <c r="K181" s="21">
        <v>3.27</v>
      </c>
      <c r="L181" s="21">
        <v>3.45</v>
      </c>
      <c r="M181" s="21">
        <v>4.7</v>
      </c>
      <c r="N181" s="21">
        <v>7.04</v>
      </c>
      <c r="O181" s="21">
        <v>8.67</v>
      </c>
      <c r="P181" s="21">
        <v>7.87</v>
      </c>
      <c r="Q181" s="21">
        <v>7.65</v>
      </c>
      <c r="R181" s="21">
        <v>7.78</v>
      </c>
      <c r="S181" s="21">
        <v>7.62</v>
      </c>
      <c r="T181" s="21">
        <v>6.05</v>
      </c>
      <c r="U181" s="21">
        <v>6.02</v>
      </c>
      <c r="V181" s="21">
        <v>5.64</v>
      </c>
      <c r="W181" s="21">
        <v>6.01</v>
      </c>
      <c r="X181" s="21">
        <v>6.48</v>
      </c>
      <c r="Y181" s="21">
        <v>6.32</v>
      </c>
      <c r="Z181" s="21">
        <v>5.93</v>
      </c>
      <c r="AA181" s="21">
        <v>5.83</v>
      </c>
      <c r="AB181" s="21">
        <v>5.74</v>
      </c>
      <c r="AC181" s="21">
        <v>5.98</v>
      </c>
      <c r="AD181" s="21">
        <v>6.36</v>
      </c>
      <c r="AE181" s="21">
        <v>6.26</v>
      </c>
      <c r="AF181" s="21">
        <v>5.24</v>
      </c>
      <c r="AG181" s="21">
        <v>5.89</v>
      </c>
      <c r="AH181" s="21">
        <v>7.55</v>
      </c>
      <c r="AI181" s="21">
        <v>6.93</v>
      </c>
      <c r="AJ181" s="21">
        <v>7.04</v>
      </c>
      <c r="AK181" s="21">
        <v>7.83</v>
      </c>
      <c r="AL181" s="21">
        <v>8.68</v>
      </c>
      <c r="AM181" s="21">
        <v>10.81</v>
      </c>
      <c r="AN181" s="21">
        <v>13.3</v>
      </c>
      <c r="AO181" s="21">
        <v>14.97</v>
      </c>
      <c r="AP181" s="21">
        <v>19.260000000000002</v>
      </c>
      <c r="AQ181" s="21">
        <v>16.47</v>
      </c>
      <c r="AR181" s="21">
        <v>20.37</v>
      </c>
      <c r="AS181" s="21">
        <v>25.1</v>
      </c>
      <c r="AT181" s="21">
        <v>25.37</v>
      </c>
      <c r="AU181" s="21">
        <v>25.34</v>
      </c>
      <c r="AV181" s="21">
        <v>25.08</v>
      </c>
      <c r="AW181" s="21">
        <v>19.38</v>
      </c>
      <c r="AX181" s="21">
        <v>16.77</v>
      </c>
      <c r="AY181" s="21">
        <v>18.010000000000002</v>
      </c>
      <c r="AZ181" s="21">
        <v>21.19</v>
      </c>
      <c r="BA181" s="21">
        <v>21.15</v>
      </c>
      <c r="BB181" s="21">
        <v>18.18</v>
      </c>
      <c r="BC181" s="21">
        <v>22.45</v>
      </c>
    </row>
    <row r="182" spans="1:55" x14ac:dyDescent="0.2">
      <c r="A182" s="21" t="s">
        <v>1413</v>
      </c>
      <c r="B182" s="21" t="s">
        <v>1414</v>
      </c>
      <c r="C182" s="21" t="s">
        <v>877</v>
      </c>
      <c r="D182" s="21">
        <v>4171.8999999999996</v>
      </c>
      <c r="E182" s="21">
        <v>4449</v>
      </c>
      <c r="F182" s="21">
        <v>4776.6000000000004</v>
      </c>
      <c r="G182" s="21">
        <v>5318</v>
      </c>
      <c r="H182" s="21">
        <v>8283.7000000000007</v>
      </c>
      <c r="I182" s="21">
        <v>8492.5</v>
      </c>
      <c r="J182" s="21">
        <v>9925.4</v>
      </c>
      <c r="K182" s="21">
        <v>11789.8</v>
      </c>
      <c r="L182" s="21">
        <v>13348.1</v>
      </c>
      <c r="M182" s="21">
        <v>18785.2</v>
      </c>
      <c r="N182" s="21">
        <v>26048.799999999999</v>
      </c>
      <c r="O182" s="21">
        <v>28571.3</v>
      </c>
      <c r="P182" s="21">
        <v>22447.1</v>
      </c>
      <c r="Q182" s="21">
        <v>21713.9</v>
      </c>
      <c r="R182" s="21">
        <v>22988.400000000001</v>
      </c>
      <c r="S182" s="21">
        <v>22272</v>
      </c>
      <c r="T182" s="21">
        <v>18412.900000000001</v>
      </c>
      <c r="U182" s="21">
        <v>18919.400000000001</v>
      </c>
      <c r="V182" s="21">
        <v>18002.099999999999</v>
      </c>
      <c r="W182" s="21">
        <v>18617</v>
      </c>
      <c r="X182" s="21">
        <v>21433.1</v>
      </c>
      <c r="Y182" s="21">
        <v>20087.3</v>
      </c>
      <c r="Z182" s="21">
        <v>19725</v>
      </c>
      <c r="AA182" s="21">
        <v>19440.099999999999</v>
      </c>
      <c r="AB182" s="21">
        <v>19605.3</v>
      </c>
      <c r="AC182" s="21">
        <v>20034.8</v>
      </c>
      <c r="AD182" s="21">
        <v>21663.7</v>
      </c>
      <c r="AE182" s="21">
        <v>22993.599999999999</v>
      </c>
      <c r="AF182" s="21">
        <v>20716.400000000001</v>
      </c>
      <c r="AG182" s="21">
        <v>23612.7</v>
      </c>
      <c r="AH182" s="21">
        <v>28421.3</v>
      </c>
      <c r="AI182" s="21">
        <v>24962.400000000001</v>
      </c>
      <c r="AJ182" s="21">
        <v>25828.1</v>
      </c>
      <c r="AK182" s="21">
        <v>28813.4</v>
      </c>
      <c r="AL182" s="21">
        <v>35444</v>
      </c>
      <c r="AM182" s="21">
        <v>43138.5</v>
      </c>
      <c r="AN182" s="21">
        <v>52309.5</v>
      </c>
      <c r="AO182" s="21">
        <v>54917.4</v>
      </c>
      <c r="AP182" s="21">
        <v>62304.4</v>
      </c>
      <c r="AQ182" s="21">
        <v>44859.199999999997</v>
      </c>
      <c r="AR182" s="21">
        <v>54832.5</v>
      </c>
      <c r="AS182" s="21">
        <v>63730.7</v>
      </c>
      <c r="AT182" s="21">
        <v>58766.5</v>
      </c>
      <c r="AU182" s="21">
        <v>59981.8</v>
      </c>
      <c r="AV182" s="21">
        <v>58726.1</v>
      </c>
      <c r="AW182" s="21">
        <v>46228.1</v>
      </c>
      <c r="AX182" s="21">
        <v>39455.9</v>
      </c>
      <c r="AY182" s="21">
        <v>42017.8</v>
      </c>
      <c r="AZ182" s="21">
        <v>48096.2</v>
      </c>
      <c r="BA182" s="21">
        <v>46894.3</v>
      </c>
      <c r="BB182" s="21">
        <v>37817</v>
      </c>
      <c r="BC182" s="21">
        <v>48276</v>
      </c>
    </row>
    <row r="183" spans="1:55" x14ac:dyDescent="0.2">
      <c r="A183" s="21" t="s">
        <v>1413</v>
      </c>
      <c r="B183" s="21" t="s">
        <v>1414</v>
      </c>
      <c r="C183" s="21" t="s">
        <v>881</v>
      </c>
      <c r="D183" s="21">
        <v>1.39</v>
      </c>
      <c r="E183" s="21">
        <v>1.46</v>
      </c>
      <c r="F183" s="21">
        <v>1.5</v>
      </c>
      <c r="G183" s="21">
        <v>1.58</v>
      </c>
      <c r="H183" s="21">
        <v>2.61</v>
      </c>
      <c r="I183" s="21">
        <v>2.94</v>
      </c>
      <c r="J183" s="21">
        <v>3.08</v>
      </c>
      <c r="K183" s="21">
        <v>3.27</v>
      </c>
      <c r="L183" s="21">
        <v>3.46</v>
      </c>
      <c r="M183" s="21">
        <v>4.71</v>
      </c>
      <c r="N183" s="21">
        <v>7.04</v>
      </c>
      <c r="O183" s="21">
        <v>8.68</v>
      </c>
      <c r="P183" s="21">
        <v>7.88</v>
      </c>
      <c r="Q183" s="21">
        <v>7.66</v>
      </c>
      <c r="R183" s="21">
        <v>7.8</v>
      </c>
      <c r="S183" s="21">
        <v>7.63</v>
      </c>
      <c r="T183" s="21">
        <v>6.06</v>
      </c>
      <c r="U183" s="21">
        <v>6.03</v>
      </c>
      <c r="V183" s="21">
        <v>5.66</v>
      </c>
      <c r="W183" s="21">
        <v>6.03</v>
      </c>
      <c r="X183" s="21">
        <v>6.53</v>
      </c>
      <c r="Y183" s="21">
        <v>6.37</v>
      </c>
      <c r="Z183" s="21">
        <v>6</v>
      </c>
      <c r="AA183" s="21">
        <v>5.95</v>
      </c>
      <c r="AB183" s="21">
        <v>5.85</v>
      </c>
      <c r="AC183" s="21">
        <v>6.11</v>
      </c>
      <c r="AD183" s="21">
        <v>6.49</v>
      </c>
      <c r="AE183" s="21">
        <v>6.42</v>
      </c>
      <c r="AF183" s="21">
        <v>5.39</v>
      </c>
      <c r="AG183" s="21">
        <v>6.04</v>
      </c>
      <c r="AH183" s="21">
        <v>7.75</v>
      </c>
      <c r="AI183" s="21">
        <v>7.1</v>
      </c>
      <c r="AJ183" s="21">
        <v>7.37</v>
      </c>
      <c r="AK183" s="21">
        <v>8.19</v>
      </c>
      <c r="AL183" s="21">
        <v>9.11</v>
      </c>
      <c r="AM183" s="21">
        <v>11.41</v>
      </c>
      <c r="AN183" s="21">
        <v>13.95</v>
      </c>
      <c r="AO183" s="21">
        <v>15.59</v>
      </c>
      <c r="AP183" s="21">
        <v>20.09</v>
      </c>
      <c r="AQ183" s="21">
        <v>17.23</v>
      </c>
      <c r="AR183" s="21">
        <v>21.35</v>
      </c>
      <c r="AS183" s="21">
        <v>26.38</v>
      </c>
      <c r="AT183" s="21">
        <v>26.24</v>
      </c>
      <c r="AU183" s="21">
        <v>26.62</v>
      </c>
      <c r="AV183" s="21">
        <v>26.32</v>
      </c>
      <c r="AW183" s="21">
        <v>20.25</v>
      </c>
      <c r="AX183" s="21">
        <v>17.579999999999998</v>
      </c>
      <c r="AY183" s="21">
        <v>18.71</v>
      </c>
      <c r="AZ183" s="21">
        <v>22.07</v>
      </c>
      <c r="BA183" s="21">
        <v>21.84</v>
      </c>
      <c r="BB183" s="21">
        <v>18.91</v>
      </c>
      <c r="BC183" s="21">
        <v>23.28</v>
      </c>
    </row>
    <row r="184" spans="1:55" x14ac:dyDescent="0.2">
      <c r="A184" s="21" t="s">
        <v>1413</v>
      </c>
      <c r="B184" s="21" t="s">
        <v>1414</v>
      </c>
      <c r="C184" s="21" t="s">
        <v>884</v>
      </c>
      <c r="D184" s="21">
        <v>4166.3999999999996</v>
      </c>
      <c r="E184" s="21">
        <v>4443.6000000000004</v>
      </c>
      <c r="F184" s="21">
        <v>4770.7</v>
      </c>
      <c r="G184" s="21">
        <v>5313.8</v>
      </c>
      <c r="H184" s="21">
        <v>8276.7999999999993</v>
      </c>
      <c r="I184" s="21">
        <v>8491.4</v>
      </c>
      <c r="J184" s="21">
        <v>9922.2999999999993</v>
      </c>
      <c r="K184" s="21">
        <v>11785.8</v>
      </c>
      <c r="L184" s="21">
        <v>13337.9</v>
      </c>
      <c r="M184" s="21">
        <v>18774.099999999999</v>
      </c>
      <c r="N184" s="21">
        <v>26034.7</v>
      </c>
      <c r="O184" s="21">
        <v>28567.4</v>
      </c>
      <c r="P184" s="21">
        <v>22442</v>
      </c>
      <c r="Q184" s="21">
        <v>21703.9</v>
      </c>
      <c r="R184" s="21">
        <v>22978.9</v>
      </c>
      <c r="S184" s="21">
        <v>22263.1</v>
      </c>
      <c r="T184" s="21">
        <v>18403.099999999999</v>
      </c>
      <c r="U184" s="21">
        <v>18908.5</v>
      </c>
      <c r="V184" s="21">
        <v>17990</v>
      </c>
      <c r="W184" s="21">
        <v>18603.599999999999</v>
      </c>
      <c r="X184" s="21">
        <v>21408.1</v>
      </c>
      <c r="Y184" s="21">
        <v>20063.5</v>
      </c>
      <c r="Z184" s="21">
        <v>19691.3</v>
      </c>
      <c r="AA184" s="21">
        <v>19379.400000000001</v>
      </c>
      <c r="AB184" s="21">
        <v>19565.3</v>
      </c>
      <c r="AC184" s="21">
        <v>19978</v>
      </c>
      <c r="AD184" s="21">
        <v>21606.7</v>
      </c>
      <c r="AE184" s="21">
        <v>22895.8</v>
      </c>
      <c r="AF184" s="21">
        <v>20633.599999999999</v>
      </c>
      <c r="AG184" s="21">
        <v>23543.9</v>
      </c>
      <c r="AH184" s="21">
        <v>28374.400000000001</v>
      </c>
      <c r="AI184" s="21">
        <v>24862.400000000001</v>
      </c>
      <c r="AJ184" s="21">
        <v>25728.9</v>
      </c>
      <c r="AK184" s="21">
        <v>28707.4</v>
      </c>
      <c r="AL184" s="21">
        <v>35277.300000000003</v>
      </c>
      <c r="AM184" s="21">
        <v>42911.7</v>
      </c>
      <c r="AN184" s="21">
        <v>52054.2</v>
      </c>
      <c r="AO184" s="21">
        <v>54667.4</v>
      </c>
      <c r="AP184" s="21">
        <v>62028.9</v>
      </c>
      <c r="AQ184" s="21">
        <v>44646.1</v>
      </c>
      <c r="AR184" s="21">
        <v>54542.2</v>
      </c>
      <c r="AS184" s="21">
        <v>63326.7</v>
      </c>
      <c r="AT184" s="21">
        <v>58550.3</v>
      </c>
      <c r="AU184" s="21">
        <v>59745.1</v>
      </c>
      <c r="AV184" s="21">
        <v>58515.1</v>
      </c>
      <c r="AW184" s="21">
        <v>46040.1</v>
      </c>
      <c r="AX184" s="21">
        <v>39279.1</v>
      </c>
      <c r="AY184" s="21">
        <v>41821</v>
      </c>
      <c r="AZ184" s="21">
        <v>47856</v>
      </c>
      <c r="BA184" s="21">
        <v>46753.8</v>
      </c>
      <c r="BB184" s="21">
        <v>37676.800000000003</v>
      </c>
      <c r="BC184" s="21">
        <v>48023.199999999997</v>
      </c>
    </row>
    <row r="185" spans="1:55" x14ac:dyDescent="0.2">
      <c r="A185" s="21" t="s">
        <v>1413</v>
      </c>
      <c r="B185" s="21" t="s">
        <v>1414</v>
      </c>
      <c r="C185" s="21" t="s">
        <v>886</v>
      </c>
      <c r="D185" s="21">
        <v>983430</v>
      </c>
      <c r="E185" s="21">
        <v>941802</v>
      </c>
      <c r="F185" s="21">
        <v>1025958</v>
      </c>
      <c r="G185" s="21">
        <v>1060548</v>
      </c>
      <c r="H185" s="21">
        <v>1054344</v>
      </c>
      <c r="I185" s="21">
        <v>1052106</v>
      </c>
      <c r="J185" s="21">
        <v>1083996</v>
      </c>
      <c r="K185" s="21">
        <v>1147542</v>
      </c>
      <c r="L185" s="21">
        <v>1200168</v>
      </c>
      <c r="M185" s="21">
        <v>1230414</v>
      </c>
      <c r="N185" s="21">
        <v>1184532</v>
      </c>
      <c r="O185" s="21">
        <v>650287</v>
      </c>
      <c r="P185" s="21">
        <v>633371</v>
      </c>
      <c r="Q185" s="21">
        <v>812700</v>
      </c>
      <c r="R185" s="21">
        <v>770341</v>
      </c>
      <c r="S185" s="21">
        <v>666798</v>
      </c>
      <c r="T185" s="21">
        <v>767443</v>
      </c>
      <c r="U185" s="21">
        <v>916177</v>
      </c>
      <c r="V185" s="21">
        <v>1134599</v>
      </c>
      <c r="W185" s="21">
        <v>1164317</v>
      </c>
      <c r="X185" s="21">
        <v>1158182</v>
      </c>
      <c r="Y185" s="21">
        <v>950329</v>
      </c>
      <c r="Z185" s="21">
        <v>1167972</v>
      </c>
      <c r="AA185" s="21">
        <v>1034330</v>
      </c>
      <c r="AB185" s="21">
        <v>1166277</v>
      </c>
      <c r="AC185" s="21">
        <v>1101843</v>
      </c>
      <c r="AD185" s="21">
        <v>1331205</v>
      </c>
      <c r="AE185" s="21">
        <v>1353285</v>
      </c>
      <c r="AF185" s="21">
        <v>1127293</v>
      </c>
      <c r="AG185" s="21">
        <v>1155604</v>
      </c>
      <c r="AH185" s="21">
        <v>1050856</v>
      </c>
      <c r="AI185" s="21">
        <v>1397243</v>
      </c>
      <c r="AJ185" s="21">
        <v>1332943</v>
      </c>
      <c r="AK185" s="21">
        <v>1493379</v>
      </c>
      <c r="AL185" s="21">
        <v>1481200</v>
      </c>
      <c r="AM185" s="21">
        <v>1508193</v>
      </c>
      <c r="AN185" s="21">
        <v>1624336</v>
      </c>
      <c r="AO185" s="21">
        <v>1593826</v>
      </c>
      <c r="AP185" s="21">
        <v>1416678</v>
      </c>
      <c r="AQ185" s="21">
        <v>1376433</v>
      </c>
      <c r="AR185" s="21">
        <v>1499530</v>
      </c>
      <c r="AS185" s="21">
        <v>1543108</v>
      </c>
      <c r="AT185" s="21">
        <v>1540898</v>
      </c>
      <c r="AU185" s="21">
        <v>1553629</v>
      </c>
      <c r="AV185" s="21">
        <v>1436214</v>
      </c>
      <c r="AW185" s="21">
        <v>1476888</v>
      </c>
      <c r="AX185" s="21">
        <v>1612988</v>
      </c>
      <c r="AY185" s="21">
        <v>1658995</v>
      </c>
      <c r="AZ185" s="21">
        <v>1641463</v>
      </c>
      <c r="BA185" s="21">
        <v>1668198</v>
      </c>
      <c r="BB185" s="21">
        <v>1594529</v>
      </c>
      <c r="BC185" s="21">
        <v>1525263</v>
      </c>
    </row>
    <row r="186" spans="1:55" x14ac:dyDescent="0.2">
      <c r="A186" s="21" t="s">
        <v>1413</v>
      </c>
      <c r="B186" s="21" t="s">
        <v>1414</v>
      </c>
      <c r="C186" s="21" t="s">
        <v>890</v>
      </c>
      <c r="D186" s="21">
        <v>2.31</v>
      </c>
      <c r="E186" s="21">
        <v>2.37</v>
      </c>
      <c r="F186" s="21">
        <v>2.38</v>
      </c>
      <c r="G186" s="21">
        <v>2.57</v>
      </c>
      <c r="H186" s="21">
        <v>3.7</v>
      </c>
      <c r="I186" s="21">
        <v>4.0199999999999996</v>
      </c>
      <c r="J186" s="21">
        <v>4.2</v>
      </c>
      <c r="K186" s="21">
        <v>4.47</v>
      </c>
      <c r="L186" s="21">
        <v>4.59</v>
      </c>
      <c r="M186" s="21">
        <v>6.19</v>
      </c>
      <c r="N186" s="21">
        <v>8.6</v>
      </c>
      <c r="O186" s="21">
        <v>9.83</v>
      </c>
      <c r="P186" s="21">
        <v>9.42</v>
      </c>
      <c r="Q186" s="21">
        <v>8.44</v>
      </c>
      <c r="R186" s="21">
        <v>8.26</v>
      </c>
      <c r="S186" s="21">
        <v>8.26</v>
      </c>
      <c r="T186" s="21">
        <v>6.23</v>
      </c>
      <c r="U186" s="21">
        <v>6.6</v>
      </c>
      <c r="V186" s="21">
        <v>6.58</v>
      </c>
      <c r="W186" s="21">
        <v>7.2</v>
      </c>
      <c r="X186" s="21">
        <v>8.32</v>
      </c>
      <c r="Y186" s="21">
        <v>8.02</v>
      </c>
      <c r="Z186" s="21">
        <v>7.94</v>
      </c>
      <c r="AA186" s="21">
        <v>7.93</v>
      </c>
      <c r="AB186" s="21">
        <v>7.94</v>
      </c>
      <c r="AC186" s="21">
        <v>8.11</v>
      </c>
      <c r="AD186" s="21">
        <v>8.77</v>
      </c>
      <c r="AE186" s="21">
        <v>8.73</v>
      </c>
      <c r="AF186" s="21">
        <v>7.5</v>
      </c>
      <c r="AG186" s="21">
        <v>8.2799999999999994</v>
      </c>
      <c r="AH186" s="21">
        <v>10.76</v>
      </c>
      <c r="AI186" s="21">
        <v>10.25</v>
      </c>
      <c r="AJ186" s="21">
        <v>9.68</v>
      </c>
      <c r="AK186" s="21">
        <v>11.23</v>
      </c>
      <c r="AL186" s="21">
        <v>13.47</v>
      </c>
      <c r="AM186" s="21">
        <v>16.920000000000002</v>
      </c>
      <c r="AN186" s="21">
        <v>19.2</v>
      </c>
      <c r="AO186" s="21">
        <v>20.83</v>
      </c>
      <c r="AP186" s="21">
        <v>25.62</v>
      </c>
      <c r="AQ186" s="21">
        <v>17.89</v>
      </c>
      <c r="AR186" s="21">
        <v>21.54</v>
      </c>
      <c r="AS186" s="21">
        <v>27.56</v>
      </c>
      <c r="AT186" s="21">
        <v>28.41</v>
      </c>
      <c r="AU186" s="21">
        <v>27.75</v>
      </c>
      <c r="AV186" s="21">
        <v>26.74</v>
      </c>
      <c r="AW186" s="21">
        <v>19.170000000000002</v>
      </c>
      <c r="AX186" s="21">
        <v>16.71</v>
      </c>
      <c r="AY186" s="21">
        <v>18.920000000000002</v>
      </c>
      <c r="AZ186" s="21">
        <v>21.76</v>
      </c>
      <c r="BA186" s="21">
        <v>20.84</v>
      </c>
      <c r="BB186" s="21">
        <v>17.440000000000001</v>
      </c>
      <c r="BC186" s="21">
        <v>23.38</v>
      </c>
    </row>
    <row r="187" spans="1:55" x14ac:dyDescent="0.2">
      <c r="A187" s="21" t="s">
        <v>1413</v>
      </c>
      <c r="B187" s="21" t="s">
        <v>1414</v>
      </c>
      <c r="C187" s="21" t="s">
        <v>895</v>
      </c>
      <c r="D187" s="21">
        <v>35327.1</v>
      </c>
      <c r="E187" s="21">
        <v>37766.1</v>
      </c>
      <c r="F187" s="21">
        <v>40153.699999999997</v>
      </c>
      <c r="G187" s="21">
        <v>45846.2</v>
      </c>
      <c r="H187" s="21">
        <v>64368.3</v>
      </c>
      <c r="I187" s="21">
        <v>70813.100000000006</v>
      </c>
      <c r="J187" s="21">
        <v>77759.100000000006</v>
      </c>
      <c r="K187" s="21">
        <v>86046.7</v>
      </c>
      <c r="L187" s="21">
        <v>92003</v>
      </c>
      <c r="M187" s="21">
        <v>122688.1</v>
      </c>
      <c r="N187" s="21">
        <v>163517.1</v>
      </c>
      <c r="O187" s="21">
        <v>184946.3</v>
      </c>
      <c r="P187" s="21">
        <v>173553.2</v>
      </c>
      <c r="Q187" s="21">
        <v>156909.79999999999</v>
      </c>
      <c r="R187" s="21">
        <v>157064.70000000001</v>
      </c>
      <c r="S187" s="21">
        <v>160834.5</v>
      </c>
      <c r="T187" s="21">
        <v>125724.9</v>
      </c>
      <c r="U187" s="21">
        <v>137406</v>
      </c>
      <c r="V187" s="21">
        <v>141976.20000000001</v>
      </c>
      <c r="W187" s="21">
        <v>156346.79999999999</v>
      </c>
      <c r="X187" s="21">
        <v>179909.7</v>
      </c>
      <c r="Y187" s="21">
        <v>171499</v>
      </c>
      <c r="Z187" s="21">
        <v>172152.7</v>
      </c>
      <c r="AA187" s="21">
        <v>174261.9</v>
      </c>
      <c r="AB187" s="21">
        <v>179168.8</v>
      </c>
      <c r="AC187" s="21">
        <v>186803.3</v>
      </c>
      <c r="AD187" s="21">
        <v>207330.2</v>
      </c>
      <c r="AE187" s="21">
        <v>208601.2</v>
      </c>
      <c r="AF187" s="21">
        <v>183795.6</v>
      </c>
      <c r="AG187" s="21">
        <v>208579.7</v>
      </c>
      <c r="AH187" s="21">
        <v>277580.3</v>
      </c>
      <c r="AI187" s="21">
        <v>261690.1</v>
      </c>
      <c r="AJ187" s="21">
        <v>252246.8</v>
      </c>
      <c r="AK187" s="21">
        <v>294013.09999999998</v>
      </c>
      <c r="AL187" s="21">
        <v>365642</v>
      </c>
      <c r="AM187" s="21">
        <v>466304.9</v>
      </c>
      <c r="AN187" s="21">
        <v>537174.69999999995</v>
      </c>
      <c r="AO187" s="21">
        <v>583897.19999999995</v>
      </c>
      <c r="AP187" s="21">
        <v>682388</v>
      </c>
      <c r="AQ187" s="21">
        <v>461974.5</v>
      </c>
      <c r="AR187" s="21">
        <v>564173.69999999995</v>
      </c>
      <c r="AS187" s="21">
        <v>710470.9</v>
      </c>
      <c r="AT187" s="21">
        <v>717946.1</v>
      </c>
      <c r="AU187" s="21">
        <v>711689.8</v>
      </c>
      <c r="AV187" s="21">
        <v>696121.1</v>
      </c>
      <c r="AW187" s="21">
        <v>506437.4</v>
      </c>
      <c r="AX187" s="21">
        <v>450629.5</v>
      </c>
      <c r="AY187" s="21">
        <v>513772.79999999999</v>
      </c>
      <c r="AZ187" s="21">
        <v>597082.4</v>
      </c>
      <c r="BA187" s="21">
        <v>571226.19999999995</v>
      </c>
      <c r="BB187" s="21">
        <v>404450.2</v>
      </c>
      <c r="BC187" s="21">
        <v>602852.80000000005</v>
      </c>
    </row>
    <row r="188" spans="1:55" x14ac:dyDescent="0.2">
      <c r="A188" s="21" t="s">
        <v>1413</v>
      </c>
      <c r="B188" s="21" t="s">
        <v>1414</v>
      </c>
      <c r="C188" s="21" t="s">
        <v>901</v>
      </c>
      <c r="D188" s="21">
        <v>0.9</v>
      </c>
      <c r="E188" s="21">
        <v>1.02</v>
      </c>
      <c r="F188" s="21">
        <v>1.05</v>
      </c>
      <c r="G188" s="21">
        <v>1.2</v>
      </c>
      <c r="H188" s="21">
        <v>2.25</v>
      </c>
      <c r="I188" s="21">
        <v>2.39</v>
      </c>
      <c r="J188" s="21">
        <v>2.4900000000000002</v>
      </c>
      <c r="K188" s="21">
        <v>2.84</v>
      </c>
      <c r="L188" s="21">
        <v>2.92</v>
      </c>
      <c r="M188" s="21">
        <v>4.1399999999999997</v>
      </c>
      <c r="N188" s="21">
        <v>5.62</v>
      </c>
      <c r="O188" s="21">
        <v>6.95</v>
      </c>
      <c r="P188" s="21">
        <v>6.62</v>
      </c>
      <c r="Q188" s="21">
        <v>6.49</v>
      </c>
      <c r="R188" s="21">
        <v>6.48</v>
      </c>
      <c r="S188" s="21">
        <v>6.46</v>
      </c>
      <c r="T188" s="21">
        <v>4.4400000000000004</v>
      </c>
      <c r="U188" s="21">
        <v>4.75</v>
      </c>
      <c r="V188" s="21">
        <v>4.5</v>
      </c>
      <c r="W188" s="21">
        <v>5.09</v>
      </c>
      <c r="X188" s="21">
        <v>6.04</v>
      </c>
      <c r="Y188" s="21">
        <v>5.59</v>
      </c>
      <c r="Z188" s="21">
        <v>5.37</v>
      </c>
      <c r="AA188" s="21">
        <v>5.14</v>
      </c>
      <c r="AB188" s="21">
        <v>5.05</v>
      </c>
      <c r="AC188" s="21">
        <v>5.14</v>
      </c>
      <c r="AD188" s="21">
        <v>6.18</v>
      </c>
      <c r="AE188" s="21">
        <v>6.1</v>
      </c>
      <c r="AF188" s="21">
        <v>5.0999999999999996</v>
      </c>
      <c r="AG188" s="21">
        <v>5.56</v>
      </c>
      <c r="AH188" s="21">
        <v>8.27</v>
      </c>
      <c r="AI188" s="21">
        <v>7.89</v>
      </c>
      <c r="AJ188" s="21">
        <v>7.15</v>
      </c>
      <c r="AK188" s="21">
        <v>8.6</v>
      </c>
      <c r="AL188" s="21">
        <v>10.17</v>
      </c>
      <c r="AM188" s="21">
        <v>13.56</v>
      </c>
      <c r="AN188" s="21">
        <v>15.95</v>
      </c>
      <c r="AO188" s="21">
        <v>17.61</v>
      </c>
      <c r="AP188" s="21">
        <v>23.15</v>
      </c>
      <c r="AQ188" s="21">
        <v>15.61</v>
      </c>
      <c r="AR188" s="21">
        <v>18.97</v>
      </c>
      <c r="AS188" s="21">
        <v>24.48</v>
      </c>
      <c r="AT188" s="21">
        <v>23.8</v>
      </c>
      <c r="AU188" s="21">
        <v>23.34</v>
      </c>
      <c r="AV188" s="21">
        <v>22.91</v>
      </c>
      <c r="AW188" s="21">
        <v>16.61</v>
      </c>
      <c r="AX188" s="21">
        <v>14.65</v>
      </c>
      <c r="AY188" s="21">
        <v>17.100000000000001</v>
      </c>
      <c r="AZ188" s="21">
        <v>19.63</v>
      </c>
      <c r="BA188" s="21">
        <v>18.12</v>
      </c>
      <c r="BB188" s="21">
        <v>14.62</v>
      </c>
      <c r="BC188" s="21">
        <v>21.17</v>
      </c>
    </row>
    <row r="189" spans="1:55" x14ac:dyDescent="0.2">
      <c r="A189" s="21" t="s">
        <v>1413</v>
      </c>
      <c r="B189" s="21" t="s">
        <v>1414</v>
      </c>
      <c r="C189" s="21" t="s">
        <v>906</v>
      </c>
      <c r="D189" s="21">
        <v>1440.2</v>
      </c>
      <c r="E189" s="21">
        <v>1574.4</v>
      </c>
      <c r="F189" s="21">
        <v>1652.6</v>
      </c>
      <c r="G189" s="21">
        <v>1936.2</v>
      </c>
      <c r="H189" s="21">
        <v>3290</v>
      </c>
      <c r="I189" s="21">
        <v>3219.2</v>
      </c>
      <c r="J189" s="21">
        <v>3739.4</v>
      </c>
      <c r="K189" s="21">
        <v>4411.2</v>
      </c>
      <c r="L189" s="21">
        <v>4350</v>
      </c>
      <c r="M189" s="21">
        <v>5658.8</v>
      </c>
      <c r="N189" s="21">
        <v>7408.9</v>
      </c>
      <c r="O189" s="21">
        <v>7793.7</v>
      </c>
      <c r="P189" s="21">
        <v>6864.5</v>
      </c>
      <c r="Q189" s="21">
        <v>7592.1</v>
      </c>
      <c r="R189" s="21">
        <v>7947.5</v>
      </c>
      <c r="S189" s="21">
        <v>6996.3</v>
      </c>
      <c r="T189" s="21">
        <v>5165.8</v>
      </c>
      <c r="U189" s="21">
        <v>5376.6</v>
      </c>
      <c r="V189" s="21">
        <v>4949.8999999999996</v>
      </c>
      <c r="W189" s="21">
        <v>5293.4</v>
      </c>
      <c r="X189" s="21">
        <v>5985.7</v>
      </c>
      <c r="Y189" s="21">
        <v>5223.7</v>
      </c>
      <c r="Z189" s="21">
        <v>4795.8</v>
      </c>
      <c r="AA189" s="21">
        <v>4208.8</v>
      </c>
      <c r="AB189" s="21">
        <v>4162.3999999999996</v>
      </c>
      <c r="AC189" s="21">
        <v>3955.6</v>
      </c>
      <c r="AD189" s="21">
        <v>4878.6000000000004</v>
      </c>
      <c r="AE189" s="21">
        <v>4530.7</v>
      </c>
      <c r="AF189" s="21">
        <v>3575</v>
      </c>
      <c r="AG189" s="21">
        <v>3931.2</v>
      </c>
      <c r="AH189" s="21">
        <v>6674.2</v>
      </c>
      <c r="AI189" s="21">
        <v>6225.4</v>
      </c>
      <c r="AJ189" s="21">
        <v>5186.5</v>
      </c>
      <c r="AK189" s="21">
        <v>7248.9</v>
      </c>
      <c r="AL189" s="21">
        <v>8232.6</v>
      </c>
      <c r="AM189" s="21">
        <v>10330.700000000001</v>
      </c>
      <c r="AN189" s="21">
        <v>10563.2</v>
      </c>
      <c r="AO189" s="21">
        <v>11410.1</v>
      </c>
      <c r="AP189" s="21">
        <v>15336.5</v>
      </c>
      <c r="AQ189" s="21">
        <v>10322.6</v>
      </c>
      <c r="AR189" s="21">
        <v>12327.3</v>
      </c>
      <c r="AS189" s="21">
        <v>15537.1</v>
      </c>
      <c r="AT189" s="21">
        <v>13369.8</v>
      </c>
      <c r="AU189" s="21">
        <v>13074.2</v>
      </c>
      <c r="AV189" s="21">
        <v>13304</v>
      </c>
      <c r="AW189" s="21">
        <v>14767.7</v>
      </c>
      <c r="AX189" s="21">
        <v>12549.4</v>
      </c>
      <c r="AY189" s="21">
        <v>14433</v>
      </c>
      <c r="AZ189" s="21">
        <v>17068.2</v>
      </c>
      <c r="BA189" s="21">
        <v>15982.8</v>
      </c>
      <c r="BB189" s="21">
        <v>12460.8</v>
      </c>
      <c r="BC189" s="21">
        <v>19570.8</v>
      </c>
    </row>
    <row r="190" spans="1:55" x14ac:dyDescent="0.2">
      <c r="A190" s="21" t="s">
        <v>1413</v>
      </c>
      <c r="B190" s="21" t="s">
        <v>1414</v>
      </c>
      <c r="C190" s="21" t="s">
        <v>910</v>
      </c>
      <c r="D190" s="21">
        <v>0.42</v>
      </c>
      <c r="E190" s="21">
        <v>0.57999999999999996</v>
      </c>
      <c r="F190" s="21">
        <v>0.66</v>
      </c>
      <c r="G190" s="21">
        <v>0.8</v>
      </c>
      <c r="H190" s="21">
        <v>1.89</v>
      </c>
      <c r="I190" s="21">
        <v>2</v>
      </c>
      <c r="J190" s="21">
        <v>1.98</v>
      </c>
      <c r="K190" s="21">
        <v>2.23</v>
      </c>
      <c r="L190" s="21">
        <v>2.17</v>
      </c>
      <c r="M190" s="21">
        <v>3.04</v>
      </c>
      <c r="N190" s="21">
        <v>4.34</v>
      </c>
      <c r="O190" s="21">
        <v>5.43</v>
      </c>
      <c r="P190" s="21">
        <v>4.9400000000000004</v>
      </c>
      <c r="Q190" s="21">
        <v>4.68</v>
      </c>
      <c r="R190" s="21">
        <v>4.9000000000000004</v>
      </c>
      <c r="S190" s="21">
        <v>4.3499999999999996</v>
      </c>
      <c r="T190" s="21">
        <v>2.48</v>
      </c>
      <c r="U190" s="21">
        <v>3.04</v>
      </c>
      <c r="V190" s="21">
        <v>2.4900000000000002</v>
      </c>
      <c r="W190" s="21">
        <v>2.95</v>
      </c>
      <c r="X190" s="21">
        <v>3.42</v>
      </c>
      <c r="Y190" s="21">
        <v>2.59</v>
      </c>
      <c r="Z190" s="21">
        <v>2.57</v>
      </c>
      <c r="AA190" s="21">
        <v>2.42</v>
      </c>
      <c r="AB190" s="21">
        <v>2.4700000000000002</v>
      </c>
      <c r="AC190" s="21">
        <v>2.61</v>
      </c>
      <c r="AD190" s="21">
        <v>3.07</v>
      </c>
      <c r="AE190" s="21">
        <v>2.82</v>
      </c>
      <c r="AF190" s="21">
        <v>2.09</v>
      </c>
      <c r="AG190" s="21">
        <v>2.4300000000000002</v>
      </c>
      <c r="AH190" s="21">
        <v>4.2</v>
      </c>
      <c r="AI190" s="21">
        <v>3.87</v>
      </c>
      <c r="AJ190" s="21">
        <v>3.46</v>
      </c>
      <c r="AK190" s="21">
        <v>4.22</v>
      </c>
      <c r="AL190" s="21">
        <v>4.26</v>
      </c>
      <c r="AM190" s="21">
        <v>6.18</v>
      </c>
      <c r="AN190" s="21">
        <v>6.65</v>
      </c>
      <c r="AO190" s="21">
        <v>8.01</v>
      </c>
      <c r="AP190" s="21">
        <v>11.04</v>
      </c>
      <c r="AQ190" s="21">
        <v>7.24</v>
      </c>
      <c r="AR190" s="21">
        <v>9.5500000000000007</v>
      </c>
      <c r="AS190" s="21">
        <v>12.2</v>
      </c>
      <c r="AT190" s="21">
        <v>14.26</v>
      </c>
      <c r="AU190" s="21">
        <v>11.88</v>
      </c>
      <c r="AV190" s="21">
        <v>12.55</v>
      </c>
      <c r="AW190" s="21">
        <v>7.58</v>
      </c>
      <c r="AX190" s="21">
        <v>5.56</v>
      </c>
      <c r="AY190" s="21">
        <v>7.41</v>
      </c>
      <c r="AZ190" s="21">
        <v>9.75</v>
      </c>
      <c r="BA190" s="21">
        <v>8.9600000000000009</v>
      </c>
      <c r="BB190" s="21">
        <v>5.97</v>
      </c>
      <c r="BC190" s="21">
        <v>9.64</v>
      </c>
    </row>
    <row r="191" spans="1:55" x14ac:dyDescent="0.2">
      <c r="A191" s="21" t="s">
        <v>1413</v>
      </c>
      <c r="B191" s="21" t="s">
        <v>1414</v>
      </c>
      <c r="C191" s="21" t="s">
        <v>915</v>
      </c>
      <c r="D191" s="21">
        <v>882.3</v>
      </c>
      <c r="E191" s="21">
        <v>1445.9</v>
      </c>
      <c r="F191" s="21">
        <v>2038.8</v>
      </c>
      <c r="G191" s="21">
        <v>2825.2</v>
      </c>
      <c r="H191" s="21">
        <v>6349.6</v>
      </c>
      <c r="I191" s="21">
        <v>6345.1</v>
      </c>
      <c r="J191" s="21">
        <v>6874.2</v>
      </c>
      <c r="K191" s="21">
        <v>8701</v>
      </c>
      <c r="L191" s="21">
        <v>8660</v>
      </c>
      <c r="M191" s="21">
        <v>9995.1</v>
      </c>
      <c r="N191" s="21">
        <v>11431.6</v>
      </c>
      <c r="O191" s="21">
        <v>11944.4</v>
      </c>
      <c r="P191" s="21">
        <v>7745.5</v>
      </c>
      <c r="Q191" s="21">
        <v>7226.3</v>
      </c>
      <c r="R191" s="21">
        <v>6296.4</v>
      </c>
      <c r="S191" s="21">
        <v>4742.1000000000004</v>
      </c>
      <c r="T191" s="21">
        <v>3603.4</v>
      </c>
      <c r="U191" s="21">
        <v>3823.4</v>
      </c>
      <c r="V191" s="21">
        <v>3896.2</v>
      </c>
      <c r="W191" s="21">
        <v>5029.3</v>
      </c>
      <c r="X191" s="21">
        <v>4408</v>
      </c>
      <c r="Y191" s="21">
        <v>3100.8</v>
      </c>
      <c r="Z191" s="21">
        <v>2547.6</v>
      </c>
      <c r="AA191" s="21">
        <v>2721.7</v>
      </c>
      <c r="AB191" s="21">
        <v>2614.4</v>
      </c>
      <c r="AC191" s="21">
        <v>1971.1</v>
      </c>
      <c r="AD191" s="21">
        <v>2505.5</v>
      </c>
      <c r="AE191" s="21">
        <v>2612.6999999999998</v>
      </c>
      <c r="AF191" s="21">
        <v>2735.9</v>
      </c>
      <c r="AG191" s="21">
        <v>2948.5</v>
      </c>
      <c r="AH191" s="21">
        <v>4807.8999999999996</v>
      </c>
      <c r="AI191" s="21">
        <v>4941.2</v>
      </c>
      <c r="AJ191" s="21">
        <v>3323.1</v>
      </c>
      <c r="AK191" s="21">
        <v>5088.8</v>
      </c>
      <c r="AL191" s="21">
        <v>5115.6000000000004</v>
      </c>
      <c r="AM191" s="21">
        <v>7550.5</v>
      </c>
      <c r="AN191" s="21">
        <v>4233.1000000000004</v>
      </c>
      <c r="AO191" s="21">
        <v>5191.7</v>
      </c>
      <c r="AP191" s="21">
        <v>5070.2</v>
      </c>
      <c r="AQ191" s="21">
        <v>2768.7</v>
      </c>
      <c r="AR191" s="21">
        <v>3536.4</v>
      </c>
      <c r="AS191" s="21">
        <v>3599.6</v>
      </c>
      <c r="AT191" s="21">
        <v>3054.6</v>
      </c>
      <c r="AU191" s="21">
        <v>3030.4</v>
      </c>
      <c r="AV191" s="21">
        <v>3705.6</v>
      </c>
      <c r="AW191" s="21">
        <v>2091.3000000000002</v>
      </c>
      <c r="AX191" s="21">
        <v>1355.9</v>
      </c>
      <c r="AY191" s="21">
        <v>1613</v>
      </c>
      <c r="AZ191" s="21">
        <v>2537.9</v>
      </c>
      <c r="BA191" s="21">
        <v>1688.9</v>
      </c>
      <c r="BB191" s="21">
        <v>1099.8</v>
      </c>
      <c r="BC191" s="21">
        <v>1976.2</v>
      </c>
    </row>
    <row r="192" spans="1:55" x14ac:dyDescent="0.2">
      <c r="A192" s="21" t="s">
        <v>1413</v>
      </c>
      <c r="B192" s="21" t="s">
        <v>1414</v>
      </c>
      <c r="C192" s="21" t="s">
        <v>921</v>
      </c>
      <c r="D192" s="21">
        <v>0.98</v>
      </c>
      <c r="E192" s="21">
        <v>1.06</v>
      </c>
      <c r="F192" s="21">
        <v>1.06</v>
      </c>
      <c r="G192" s="21">
        <v>1.19</v>
      </c>
      <c r="H192" s="21">
        <v>2.2599999999999998</v>
      </c>
      <c r="I192" s="21">
        <v>2.48</v>
      </c>
      <c r="J192" s="21">
        <v>2.59</v>
      </c>
      <c r="K192" s="21">
        <v>2.87</v>
      </c>
      <c r="L192" s="21">
        <v>2.98</v>
      </c>
      <c r="M192" s="21">
        <v>4.0199999999999996</v>
      </c>
      <c r="N192" s="21">
        <v>5.79</v>
      </c>
      <c r="O192" s="21">
        <v>6.91</v>
      </c>
      <c r="P192" s="21">
        <v>6.58</v>
      </c>
      <c r="Q192" s="21">
        <v>6.67</v>
      </c>
      <c r="R192" s="21">
        <v>6.66</v>
      </c>
      <c r="S192" s="21">
        <v>6.4</v>
      </c>
      <c r="T192" s="21">
        <v>5.04</v>
      </c>
      <c r="U192" s="21">
        <v>5.12</v>
      </c>
      <c r="V192" s="21">
        <v>4.7699999999999996</v>
      </c>
      <c r="W192" s="21">
        <v>4.87</v>
      </c>
      <c r="X192" s="21">
        <v>5.73</v>
      </c>
      <c r="Y192" s="21">
        <v>5.54</v>
      </c>
      <c r="Z192" s="21">
        <v>5.17</v>
      </c>
      <c r="AA192" s="21">
        <v>5.09</v>
      </c>
      <c r="AB192" s="21">
        <v>5.18</v>
      </c>
      <c r="AC192" s="21">
        <v>5.34</v>
      </c>
      <c r="AD192" s="21">
        <v>6.18</v>
      </c>
      <c r="AE192" s="21">
        <v>5.87</v>
      </c>
      <c r="AF192" s="21">
        <v>4.6500000000000004</v>
      </c>
      <c r="AG192" s="21">
        <v>5.32</v>
      </c>
      <c r="AH192" s="21">
        <v>7.57</v>
      </c>
      <c r="AI192" s="21">
        <v>7.02</v>
      </c>
      <c r="AJ192" s="21">
        <v>6.68</v>
      </c>
      <c r="AK192" s="21">
        <v>7.99</v>
      </c>
      <c r="AL192" s="21">
        <v>9.5500000000000007</v>
      </c>
      <c r="AM192" s="21">
        <v>12.07</v>
      </c>
      <c r="AN192" s="21">
        <v>14.47</v>
      </c>
      <c r="AO192" s="21">
        <v>16.14</v>
      </c>
      <c r="AP192" s="21">
        <v>20.93</v>
      </c>
      <c r="AQ192" s="21">
        <v>14.85</v>
      </c>
      <c r="AR192" s="21">
        <v>18.260000000000002</v>
      </c>
      <c r="AS192" s="21">
        <v>23.03</v>
      </c>
      <c r="AT192" s="21">
        <v>20.81</v>
      </c>
      <c r="AU192" s="21">
        <v>20.37</v>
      </c>
      <c r="AV192" s="21">
        <v>20.03</v>
      </c>
      <c r="AW192" s="21">
        <v>12.95</v>
      </c>
      <c r="AX192" s="21">
        <v>11.31</v>
      </c>
      <c r="AY192" s="21">
        <v>13.35</v>
      </c>
      <c r="AZ192" s="21">
        <v>15.58</v>
      </c>
      <c r="BA192" s="21">
        <v>13.53</v>
      </c>
      <c r="BB192" s="21">
        <v>10.8</v>
      </c>
      <c r="BC192" s="21">
        <v>16.18</v>
      </c>
    </row>
    <row r="193" spans="1:55" x14ac:dyDescent="0.2">
      <c r="A193" s="21" t="s">
        <v>1413</v>
      </c>
      <c r="B193" s="21" t="s">
        <v>1414</v>
      </c>
      <c r="C193" s="21" t="s">
        <v>926</v>
      </c>
      <c r="D193" s="21">
        <v>6068.5</v>
      </c>
      <c r="E193" s="21">
        <v>6662.9</v>
      </c>
      <c r="F193" s="21">
        <v>7179.8</v>
      </c>
      <c r="G193" s="21">
        <v>8600.2999999999993</v>
      </c>
      <c r="H193" s="21">
        <v>15407.8</v>
      </c>
      <c r="I193" s="21">
        <v>15543.6</v>
      </c>
      <c r="J193" s="21">
        <v>18384.5</v>
      </c>
      <c r="K193" s="21">
        <v>22189.7</v>
      </c>
      <c r="L193" s="21">
        <v>23202.799999999999</v>
      </c>
      <c r="M193" s="21">
        <v>33704.699999999997</v>
      </c>
      <c r="N193" s="21">
        <v>42764.800000000003</v>
      </c>
      <c r="O193" s="21">
        <v>47171.199999999997</v>
      </c>
      <c r="P193" s="21">
        <v>41841.199999999997</v>
      </c>
      <c r="Q193" s="21">
        <v>38509.599999999999</v>
      </c>
      <c r="R193" s="21">
        <v>41560.6</v>
      </c>
      <c r="S193" s="21">
        <v>38970</v>
      </c>
      <c r="T193" s="21">
        <v>30960.799999999999</v>
      </c>
      <c r="U193" s="21">
        <v>31726</v>
      </c>
      <c r="V193" s="21">
        <v>29752.400000000001</v>
      </c>
      <c r="W193" s="21">
        <v>29361.3</v>
      </c>
      <c r="X193" s="21">
        <v>35252.300000000003</v>
      </c>
      <c r="Y193" s="21">
        <v>33457.5</v>
      </c>
      <c r="Z193" s="21">
        <v>32917.4</v>
      </c>
      <c r="AA193" s="21">
        <v>32114.9</v>
      </c>
      <c r="AB193" s="21">
        <v>34085.699999999997</v>
      </c>
      <c r="AC193" s="21">
        <v>34594</v>
      </c>
      <c r="AD193" s="21">
        <v>41121</v>
      </c>
      <c r="AE193" s="21">
        <v>40587.199999999997</v>
      </c>
      <c r="AF193" s="21">
        <v>32597.3</v>
      </c>
      <c r="AG193" s="21">
        <v>38182.1</v>
      </c>
      <c r="AH193" s="21">
        <v>53057.7</v>
      </c>
      <c r="AI193" s="21">
        <v>48133.2</v>
      </c>
      <c r="AJ193" s="21">
        <v>46540.6</v>
      </c>
      <c r="AK193" s="21">
        <v>54863.3</v>
      </c>
      <c r="AL193" s="21">
        <v>71176.100000000006</v>
      </c>
      <c r="AM193" s="21">
        <v>87780.4</v>
      </c>
      <c r="AN193" s="21">
        <v>106283.2</v>
      </c>
      <c r="AO193" s="21">
        <v>113358.2</v>
      </c>
      <c r="AP193" s="21">
        <v>134118.5</v>
      </c>
      <c r="AQ193" s="21">
        <v>84516</v>
      </c>
      <c r="AR193" s="21">
        <v>110650.4</v>
      </c>
      <c r="AS193" s="21">
        <v>137872.6</v>
      </c>
      <c r="AT193" s="21">
        <v>124721.4</v>
      </c>
      <c r="AU193" s="21">
        <v>125855.2</v>
      </c>
      <c r="AV193" s="21">
        <v>121099.3</v>
      </c>
      <c r="AW193" s="21">
        <v>79444.899999999994</v>
      </c>
      <c r="AX193" s="21">
        <v>68900.600000000006</v>
      </c>
      <c r="AY193" s="21">
        <v>83281.3</v>
      </c>
      <c r="AZ193" s="21">
        <v>102408.9</v>
      </c>
      <c r="BA193" s="21">
        <v>89443.199999999997</v>
      </c>
      <c r="BB193" s="21">
        <v>69668.399999999994</v>
      </c>
      <c r="BC193" s="21">
        <v>111947.9</v>
      </c>
    </row>
    <row r="194" spans="1:55" x14ac:dyDescent="0.2">
      <c r="A194" s="21" t="s">
        <v>1413</v>
      </c>
      <c r="B194" s="21" t="s">
        <v>1414</v>
      </c>
      <c r="C194" s="21" t="s">
        <v>928</v>
      </c>
      <c r="D194" s="21">
        <v>6177269</v>
      </c>
      <c r="E194" s="21">
        <v>6303960</v>
      </c>
      <c r="F194" s="21">
        <v>6799797</v>
      </c>
      <c r="G194" s="21">
        <v>7234555</v>
      </c>
      <c r="H194" s="21">
        <v>6826864</v>
      </c>
      <c r="I194" s="21">
        <v>6263887</v>
      </c>
      <c r="J194" s="21">
        <v>7094374</v>
      </c>
      <c r="K194" s="21">
        <v>7736034</v>
      </c>
      <c r="L194" s="21">
        <v>7777067</v>
      </c>
      <c r="M194" s="21">
        <v>8389335</v>
      </c>
      <c r="N194" s="21">
        <v>7381252</v>
      </c>
      <c r="O194" s="21">
        <v>6822500</v>
      </c>
      <c r="P194" s="21">
        <v>6354996</v>
      </c>
      <c r="Q194" s="21">
        <v>5771037</v>
      </c>
      <c r="R194" s="21">
        <v>6238669</v>
      </c>
      <c r="S194" s="21">
        <v>6092039</v>
      </c>
      <c r="T194" s="21">
        <v>6148412</v>
      </c>
      <c r="U194" s="21">
        <v>6202358</v>
      </c>
      <c r="V194" s="21">
        <v>6237787</v>
      </c>
      <c r="W194" s="21">
        <v>6031240</v>
      </c>
      <c r="X194" s="21">
        <v>6156911</v>
      </c>
      <c r="Y194" s="21">
        <v>6034263</v>
      </c>
      <c r="Z194" s="21">
        <v>6362280</v>
      </c>
      <c r="AA194" s="21">
        <v>6310012</v>
      </c>
      <c r="AB194" s="21">
        <v>6586191</v>
      </c>
      <c r="AC194" s="21">
        <v>6478211</v>
      </c>
      <c r="AD194" s="21">
        <v>6650394</v>
      </c>
      <c r="AE194" s="21">
        <v>6914874</v>
      </c>
      <c r="AF194" s="21">
        <v>7005960</v>
      </c>
      <c r="AG194" s="21">
        <v>7172420</v>
      </c>
      <c r="AH194" s="21">
        <v>7012119</v>
      </c>
      <c r="AI194" s="21">
        <v>6855726</v>
      </c>
      <c r="AJ194" s="21">
        <v>6962764</v>
      </c>
      <c r="AK194" s="21">
        <v>6867977</v>
      </c>
      <c r="AL194" s="21">
        <v>7455723</v>
      </c>
      <c r="AM194" s="21">
        <v>7273726</v>
      </c>
      <c r="AN194" s="21">
        <v>7345096</v>
      </c>
      <c r="AO194" s="21">
        <v>7024794</v>
      </c>
      <c r="AP194" s="21">
        <v>6408475</v>
      </c>
      <c r="AQ194" s="21">
        <v>5690623</v>
      </c>
      <c r="AR194" s="21">
        <v>6060368</v>
      </c>
      <c r="AS194" s="21">
        <v>5986644</v>
      </c>
      <c r="AT194" s="21">
        <v>5992233</v>
      </c>
      <c r="AU194" s="21">
        <v>6178279</v>
      </c>
      <c r="AV194" s="21">
        <v>6046178</v>
      </c>
      <c r="AW194" s="21">
        <v>6136921</v>
      </c>
      <c r="AX194" s="21">
        <v>6090104</v>
      </c>
      <c r="AY194" s="21">
        <v>6238480</v>
      </c>
      <c r="AZ194" s="21">
        <v>6573378</v>
      </c>
      <c r="BA194" s="21">
        <v>6612440</v>
      </c>
      <c r="BB194" s="21">
        <v>6452660</v>
      </c>
      <c r="BC194" s="21">
        <v>6918436</v>
      </c>
    </row>
    <row r="195" spans="1:55" x14ac:dyDescent="0.2">
      <c r="A195" s="21" t="s">
        <v>1413</v>
      </c>
      <c r="B195" s="21" t="s">
        <v>1414</v>
      </c>
      <c r="C195" s="21" t="s">
        <v>935</v>
      </c>
      <c r="D195" s="21">
        <v>1.54</v>
      </c>
      <c r="E195" s="21">
        <v>1.59</v>
      </c>
      <c r="F195" s="21">
        <v>1.61</v>
      </c>
      <c r="G195" s="21">
        <v>2.09</v>
      </c>
      <c r="H195" s="21">
        <v>2.85</v>
      </c>
      <c r="I195" s="21">
        <v>3.02</v>
      </c>
      <c r="J195" s="21">
        <v>3.24</v>
      </c>
      <c r="K195" s="21">
        <v>3.64</v>
      </c>
      <c r="L195" s="21">
        <v>3.77</v>
      </c>
      <c r="M195" s="21">
        <v>5.32</v>
      </c>
      <c r="N195" s="21">
        <v>7.24</v>
      </c>
      <c r="O195" s="21">
        <v>8.65</v>
      </c>
      <c r="P195" s="21">
        <v>8.66</v>
      </c>
      <c r="Q195" s="21">
        <v>8.39</v>
      </c>
      <c r="R195" s="21">
        <v>8.44</v>
      </c>
      <c r="S195" s="21">
        <v>8.14</v>
      </c>
      <c r="T195" s="21">
        <v>6.77</v>
      </c>
      <c r="U195" s="21">
        <v>6.59</v>
      </c>
      <c r="V195" s="21">
        <v>6.57</v>
      </c>
      <c r="W195" s="21">
        <v>7.54</v>
      </c>
      <c r="X195" s="21">
        <v>8.69</v>
      </c>
      <c r="Y195" s="21">
        <v>8.48</v>
      </c>
      <c r="Z195" s="21">
        <v>7.8</v>
      </c>
      <c r="AA195" s="21">
        <v>7.64</v>
      </c>
      <c r="AB195" s="21">
        <v>7.57</v>
      </c>
      <c r="AC195" s="21">
        <v>7.49</v>
      </c>
      <c r="AD195" s="21">
        <v>8.6300000000000008</v>
      </c>
      <c r="AE195" s="21">
        <v>8.61</v>
      </c>
      <c r="AF195" s="21">
        <v>7.56</v>
      </c>
      <c r="AG195" s="21">
        <v>7.78</v>
      </c>
      <c r="AH195" s="21">
        <v>11.12</v>
      </c>
      <c r="AI195" s="21">
        <v>11.23</v>
      </c>
      <c r="AJ195" s="21">
        <v>9.99</v>
      </c>
      <c r="AK195" s="21">
        <v>11.83</v>
      </c>
      <c r="AL195" s="21">
        <v>13.33</v>
      </c>
      <c r="AM195" s="21">
        <v>16.77</v>
      </c>
      <c r="AN195" s="21">
        <v>19.260000000000002</v>
      </c>
      <c r="AO195" s="21">
        <v>21.19</v>
      </c>
      <c r="AP195" s="21">
        <v>25.8</v>
      </c>
      <c r="AQ195" s="21">
        <v>20.87</v>
      </c>
      <c r="AR195" s="21">
        <v>23.58</v>
      </c>
      <c r="AS195" s="21">
        <v>27.08</v>
      </c>
      <c r="AT195" s="21">
        <v>27.57</v>
      </c>
      <c r="AU195" s="21">
        <v>26.86</v>
      </c>
      <c r="AV195" s="21">
        <v>28.79</v>
      </c>
      <c r="AW195" s="21">
        <v>20.64</v>
      </c>
      <c r="AX195" s="21">
        <v>18.8</v>
      </c>
      <c r="AY195" s="21">
        <v>21.61</v>
      </c>
      <c r="AZ195" s="21">
        <v>23.02</v>
      </c>
      <c r="BA195" s="21">
        <v>21.2</v>
      </c>
      <c r="BB195" s="21">
        <v>18.47</v>
      </c>
      <c r="BC195" s="21">
        <v>23.05</v>
      </c>
    </row>
    <row r="196" spans="1:55" x14ac:dyDescent="0.2">
      <c r="A196" s="21" t="s">
        <v>1413</v>
      </c>
      <c r="B196" s="21" t="s">
        <v>1414</v>
      </c>
      <c r="C196" s="21" t="s">
        <v>940</v>
      </c>
      <c r="D196" s="21">
        <v>4185.5</v>
      </c>
      <c r="E196" s="21">
        <v>4366.7</v>
      </c>
      <c r="F196" s="21">
        <v>4623</v>
      </c>
      <c r="G196" s="21">
        <v>5851.5</v>
      </c>
      <c r="H196" s="21">
        <v>7290.8</v>
      </c>
      <c r="I196" s="21">
        <v>7488.4</v>
      </c>
      <c r="J196" s="21">
        <v>8757.6</v>
      </c>
      <c r="K196" s="21">
        <v>9775.6</v>
      </c>
      <c r="L196" s="21">
        <v>9833.7999999999993</v>
      </c>
      <c r="M196" s="21">
        <v>11159.8</v>
      </c>
      <c r="N196" s="21">
        <v>12557</v>
      </c>
      <c r="O196" s="21">
        <v>13253.4</v>
      </c>
      <c r="P196" s="21">
        <v>12416.7</v>
      </c>
      <c r="Q196" s="21">
        <v>11353.9</v>
      </c>
      <c r="R196" s="21">
        <v>12922.8</v>
      </c>
      <c r="S196" s="21">
        <v>12744.9</v>
      </c>
      <c r="T196" s="21">
        <v>10436.799999999999</v>
      </c>
      <c r="U196" s="21">
        <v>10662.3</v>
      </c>
      <c r="V196" s="21">
        <v>11012</v>
      </c>
      <c r="W196" s="21">
        <v>12526.9</v>
      </c>
      <c r="X196" s="21">
        <v>12120.8</v>
      </c>
      <c r="Y196" s="21">
        <v>11708.1</v>
      </c>
      <c r="Z196" s="21">
        <v>11031.4</v>
      </c>
      <c r="AA196" s="21">
        <v>10995</v>
      </c>
      <c r="AB196" s="21">
        <v>10656.3</v>
      </c>
      <c r="AC196" s="21">
        <v>10288.6</v>
      </c>
      <c r="AD196" s="21">
        <v>12795.8</v>
      </c>
      <c r="AE196" s="21">
        <v>12238.6</v>
      </c>
      <c r="AF196" s="21">
        <v>9852.4</v>
      </c>
      <c r="AG196" s="21">
        <v>11397</v>
      </c>
      <c r="AH196" s="21">
        <v>17282.900000000001</v>
      </c>
      <c r="AI196" s="21">
        <v>17169</v>
      </c>
      <c r="AJ196" s="21">
        <v>14548.9</v>
      </c>
      <c r="AK196" s="21">
        <v>18293.5</v>
      </c>
      <c r="AL196" s="21">
        <v>20264.099999999999</v>
      </c>
      <c r="AM196" s="21">
        <v>24320.400000000001</v>
      </c>
      <c r="AN196" s="21">
        <v>23530.6</v>
      </c>
      <c r="AO196" s="21">
        <v>26467.8</v>
      </c>
      <c r="AP196" s="21">
        <v>34167.9</v>
      </c>
      <c r="AQ196" s="21">
        <v>24153.599999999999</v>
      </c>
      <c r="AR196" s="21">
        <v>26409.5</v>
      </c>
      <c r="AS196" s="21">
        <v>27985.7</v>
      </c>
      <c r="AT196" s="21">
        <v>24398.2</v>
      </c>
      <c r="AU196" s="21">
        <v>25849.7</v>
      </c>
      <c r="AV196" s="21">
        <v>29804.7</v>
      </c>
      <c r="AW196" s="21">
        <v>20770.400000000001</v>
      </c>
      <c r="AX196" s="21">
        <v>16490.099999999999</v>
      </c>
      <c r="AY196" s="21">
        <v>18807</v>
      </c>
      <c r="AZ196" s="21">
        <v>23511.599999999999</v>
      </c>
      <c r="BA196" s="21">
        <v>22127.7</v>
      </c>
      <c r="BB196" s="21">
        <v>16868.599999999999</v>
      </c>
      <c r="BC196" s="21">
        <v>22286.2</v>
      </c>
    </row>
    <row r="197" spans="1:55" x14ac:dyDescent="0.2">
      <c r="A197" s="21" t="s">
        <v>1413</v>
      </c>
      <c r="B197" s="21" t="s">
        <v>1414</v>
      </c>
      <c r="C197" s="21" t="s">
        <v>942</v>
      </c>
      <c r="D197" s="21">
        <v>27922665</v>
      </c>
      <c r="E197" s="21">
        <v>29022543</v>
      </c>
      <c r="F197" s="21">
        <v>31229895</v>
      </c>
      <c r="G197" s="21">
        <v>32989764</v>
      </c>
      <c r="H197" s="21">
        <v>31607788</v>
      </c>
      <c r="I197" s="21">
        <v>30870588</v>
      </c>
      <c r="J197" s="21">
        <v>33283158</v>
      </c>
      <c r="K197" s="21">
        <v>35113885</v>
      </c>
      <c r="L197" s="21">
        <v>35906001</v>
      </c>
      <c r="M197" s="21">
        <v>34964217</v>
      </c>
      <c r="N197" s="21">
        <v>32076840</v>
      </c>
      <c r="O197" s="21">
        <v>30490317</v>
      </c>
      <c r="P197" s="21">
        <v>28815839</v>
      </c>
      <c r="Q197" s="21">
        <v>28433868</v>
      </c>
      <c r="R197" s="21">
        <v>29305751</v>
      </c>
      <c r="S197" s="21">
        <v>29303223</v>
      </c>
      <c r="T197" s="21">
        <v>30487224</v>
      </c>
      <c r="U197" s="21">
        <v>31024764</v>
      </c>
      <c r="V197" s="21">
        <v>32143708</v>
      </c>
      <c r="W197" s="21">
        <v>32143223</v>
      </c>
      <c r="X197" s="21">
        <v>31458009</v>
      </c>
      <c r="Y197" s="21">
        <v>30923128</v>
      </c>
      <c r="Z197" s="21">
        <v>31336051</v>
      </c>
      <c r="AA197" s="21">
        <v>31668182</v>
      </c>
      <c r="AB197" s="21">
        <v>32435445</v>
      </c>
      <c r="AC197" s="21">
        <v>32411232</v>
      </c>
      <c r="AD197" s="21">
        <v>33370793</v>
      </c>
      <c r="AE197" s="21">
        <v>33896699</v>
      </c>
      <c r="AF197" s="21">
        <v>34823899</v>
      </c>
      <c r="AG197" s="21">
        <v>35742124</v>
      </c>
      <c r="AH197" s="21">
        <v>36304569</v>
      </c>
      <c r="AI197" s="21">
        <v>35974332</v>
      </c>
      <c r="AJ197" s="21">
        <v>36157186</v>
      </c>
      <c r="AK197" s="21">
        <v>36645840</v>
      </c>
      <c r="AL197" s="21">
        <v>38136457</v>
      </c>
      <c r="AM197" s="21">
        <v>38260986</v>
      </c>
      <c r="AN197" s="21">
        <v>37837750</v>
      </c>
      <c r="AO197" s="21">
        <v>37603974</v>
      </c>
      <c r="AP197" s="21">
        <v>35485224</v>
      </c>
      <c r="AQ197" s="21">
        <v>33709682</v>
      </c>
      <c r="AR197" s="21">
        <v>34387905</v>
      </c>
      <c r="AS197" s="21">
        <v>33732183</v>
      </c>
      <c r="AT197" s="21">
        <v>32923057</v>
      </c>
      <c r="AU197" s="21">
        <v>33605273</v>
      </c>
      <c r="AV197" s="21">
        <v>33992326</v>
      </c>
      <c r="AW197" s="21">
        <v>34732250</v>
      </c>
      <c r="AX197" s="21">
        <v>35030693</v>
      </c>
      <c r="AY197" s="21">
        <v>35320641</v>
      </c>
      <c r="AZ197" s="21">
        <v>36161184</v>
      </c>
      <c r="BA197" s="21">
        <v>36133925</v>
      </c>
      <c r="BB197" s="21">
        <v>31597669</v>
      </c>
      <c r="BC197" s="21">
        <v>34798701</v>
      </c>
    </row>
    <row r="198" spans="1:55" x14ac:dyDescent="0.2">
      <c r="A198" s="21" t="s">
        <v>1413</v>
      </c>
      <c r="B198" s="21" t="s">
        <v>1414</v>
      </c>
      <c r="C198" s="21" t="s">
        <v>946</v>
      </c>
      <c r="D198" s="21">
        <v>1.72</v>
      </c>
      <c r="E198" s="21">
        <v>1.79</v>
      </c>
      <c r="F198" s="21">
        <v>1.78</v>
      </c>
      <c r="G198" s="21">
        <v>1.97</v>
      </c>
      <c r="H198" s="21">
        <v>3.06</v>
      </c>
      <c r="I198" s="21">
        <v>3.35</v>
      </c>
      <c r="J198" s="21">
        <v>3.47</v>
      </c>
      <c r="K198" s="21">
        <v>3.73</v>
      </c>
      <c r="L198" s="21">
        <v>3.84</v>
      </c>
      <c r="M198" s="21">
        <v>5.24</v>
      </c>
      <c r="N198" s="21">
        <v>7.41</v>
      </c>
      <c r="O198" s="21">
        <v>8.69</v>
      </c>
      <c r="P198" s="21">
        <v>8.41</v>
      </c>
      <c r="Q198" s="21">
        <v>7.79</v>
      </c>
      <c r="R198" s="21">
        <v>7.7</v>
      </c>
      <c r="S198" s="21">
        <v>7.65</v>
      </c>
      <c r="T198" s="21">
        <v>5.77</v>
      </c>
      <c r="U198" s="21">
        <v>6.09</v>
      </c>
      <c r="V198" s="21">
        <v>5.96</v>
      </c>
      <c r="W198" s="21">
        <v>6.49</v>
      </c>
      <c r="X198" s="21">
        <v>7.56</v>
      </c>
      <c r="Y198" s="21">
        <v>7.28</v>
      </c>
      <c r="Z198" s="21">
        <v>7.13</v>
      </c>
      <c r="AA198" s="21">
        <v>7.08</v>
      </c>
      <c r="AB198" s="21">
        <v>7.11</v>
      </c>
      <c r="AC198" s="21">
        <v>7.33</v>
      </c>
      <c r="AD198" s="21">
        <v>8.0500000000000007</v>
      </c>
      <c r="AE198" s="21">
        <v>7.92</v>
      </c>
      <c r="AF198" s="21">
        <v>6.68</v>
      </c>
      <c r="AG198" s="21">
        <v>7.42</v>
      </c>
      <c r="AH198" s="21">
        <v>9.9</v>
      </c>
      <c r="AI198" s="21">
        <v>9.4</v>
      </c>
      <c r="AJ198" s="21">
        <v>8.9</v>
      </c>
      <c r="AK198" s="21">
        <v>10.36</v>
      </c>
      <c r="AL198" s="21">
        <v>12.34</v>
      </c>
      <c r="AM198" s="21">
        <v>15.58</v>
      </c>
      <c r="AN198" s="21">
        <v>18.02</v>
      </c>
      <c r="AO198" s="21">
        <v>19.690000000000001</v>
      </c>
      <c r="AP198" s="21">
        <v>24.55</v>
      </c>
      <c r="AQ198" s="21">
        <v>17.32</v>
      </c>
      <c r="AR198" s="21">
        <v>20.85</v>
      </c>
      <c r="AS198" s="21">
        <v>26.55</v>
      </c>
      <c r="AT198" s="21">
        <v>26.83</v>
      </c>
      <c r="AU198" s="21">
        <v>26.17</v>
      </c>
      <c r="AV198" s="21">
        <v>25.42</v>
      </c>
      <c r="AW198" s="21">
        <v>17.95</v>
      </c>
      <c r="AX198" s="21">
        <v>15.7</v>
      </c>
      <c r="AY198" s="21">
        <v>17.89</v>
      </c>
      <c r="AZ198" s="21">
        <v>20.54</v>
      </c>
      <c r="BA198" s="21">
        <v>19.39</v>
      </c>
      <c r="BB198" s="21">
        <v>15.97</v>
      </c>
      <c r="BC198" s="21">
        <v>21.8</v>
      </c>
    </row>
    <row r="199" spans="1:55" x14ac:dyDescent="0.2">
      <c r="A199" s="21" t="s">
        <v>1413</v>
      </c>
      <c r="B199" s="21" t="s">
        <v>1414</v>
      </c>
      <c r="C199" s="21" t="s">
        <v>951</v>
      </c>
      <c r="D199" s="21">
        <v>47903.8</v>
      </c>
      <c r="E199" s="21">
        <v>51816</v>
      </c>
      <c r="F199" s="21">
        <v>55647.9</v>
      </c>
      <c r="G199" s="21">
        <v>65059.3</v>
      </c>
      <c r="H199" s="21">
        <v>96706.5</v>
      </c>
      <c r="I199" s="21">
        <v>103409.5</v>
      </c>
      <c r="J199" s="21">
        <v>115514.8</v>
      </c>
      <c r="K199" s="21">
        <v>131124.29999999999</v>
      </c>
      <c r="L199" s="21">
        <v>138049.60000000001</v>
      </c>
      <c r="M199" s="21">
        <v>183206.5</v>
      </c>
      <c r="N199" s="21">
        <v>237679.4</v>
      </c>
      <c r="O199" s="21">
        <v>265109</v>
      </c>
      <c r="P199" s="21">
        <v>242421.1</v>
      </c>
      <c r="Q199" s="21">
        <v>221591.7</v>
      </c>
      <c r="R199" s="21">
        <v>225792</v>
      </c>
      <c r="S199" s="21">
        <v>224287.7</v>
      </c>
      <c r="T199" s="21">
        <v>175891.7</v>
      </c>
      <c r="U199" s="21">
        <v>188994.3</v>
      </c>
      <c r="V199" s="21">
        <v>191586.7</v>
      </c>
      <c r="W199" s="21">
        <v>208557.7</v>
      </c>
      <c r="X199" s="21">
        <v>237676.5</v>
      </c>
      <c r="Y199" s="21">
        <v>224989</v>
      </c>
      <c r="Z199" s="21">
        <v>223444.8</v>
      </c>
      <c r="AA199" s="21">
        <v>224302.3</v>
      </c>
      <c r="AB199" s="21">
        <v>230687.6</v>
      </c>
      <c r="AC199" s="21">
        <v>237612.5</v>
      </c>
      <c r="AD199" s="21">
        <v>268631</v>
      </c>
      <c r="AE199" s="21">
        <v>268570.40000000002</v>
      </c>
      <c r="AF199" s="21">
        <v>232556.3</v>
      </c>
      <c r="AG199" s="21">
        <v>265038.5</v>
      </c>
      <c r="AH199" s="21">
        <v>359403</v>
      </c>
      <c r="AI199" s="21">
        <v>338158.9</v>
      </c>
      <c r="AJ199" s="21">
        <v>321846</v>
      </c>
      <c r="AK199" s="21">
        <v>379507.7</v>
      </c>
      <c r="AL199" s="21">
        <v>470430.4</v>
      </c>
      <c r="AM199" s="21">
        <v>596286.9</v>
      </c>
      <c r="AN199" s="21">
        <v>681784.8</v>
      </c>
      <c r="AO199" s="21">
        <v>740325</v>
      </c>
      <c r="AP199" s="21">
        <v>871081.1</v>
      </c>
      <c r="AQ199" s="21">
        <v>583735.5</v>
      </c>
      <c r="AR199" s="21">
        <v>717097.3</v>
      </c>
      <c r="AS199" s="21">
        <v>895465.9</v>
      </c>
      <c r="AT199" s="21">
        <v>883490.1</v>
      </c>
      <c r="AU199" s="21">
        <v>879499.2</v>
      </c>
      <c r="AV199" s="21">
        <v>864034.8</v>
      </c>
      <c r="AW199" s="21">
        <v>623511.69999999995</v>
      </c>
      <c r="AX199" s="21">
        <v>549925.5</v>
      </c>
      <c r="AY199" s="21">
        <v>631907.19999999995</v>
      </c>
      <c r="AZ199" s="21">
        <v>742609</v>
      </c>
      <c r="BA199" s="21">
        <v>700468.7</v>
      </c>
      <c r="BB199" s="21">
        <v>504547.8</v>
      </c>
      <c r="BC199" s="21">
        <v>758634</v>
      </c>
    </row>
    <row r="200" spans="1:55" x14ac:dyDescent="0.2">
      <c r="A200" s="21" t="s">
        <v>1413</v>
      </c>
      <c r="B200" s="21" t="s">
        <v>1414</v>
      </c>
      <c r="C200" s="21" t="s">
        <v>959</v>
      </c>
      <c r="D200" s="21">
        <v>1.82</v>
      </c>
      <c r="E200" s="21">
        <v>1.9</v>
      </c>
      <c r="F200" s="21">
        <v>1.91</v>
      </c>
      <c r="G200" s="21">
        <v>2.11</v>
      </c>
      <c r="H200" s="21">
        <v>3.2</v>
      </c>
      <c r="I200" s="21">
        <v>3.5</v>
      </c>
      <c r="J200" s="21">
        <v>3.64</v>
      </c>
      <c r="K200" s="21">
        <v>3.92</v>
      </c>
      <c r="L200" s="21">
        <v>4.05</v>
      </c>
      <c r="M200" s="21">
        <v>5.47</v>
      </c>
      <c r="N200" s="21">
        <v>7.68</v>
      </c>
      <c r="O200" s="21">
        <v>8.9499999999999993</v>
      </c>
      <c r="P200" s="21">
        <v>8.61</v>
      </c>
      <c r="Q200" s="21">
        <v>7.97</v>
      </c>
      <c r="R200" s="21">
        <v>7.83</v>
      </c>
      <c r="S200" s="21">
        <v>7.78</v>
      </c>
      <c r="T200" s="21">
        <v>5.93</v>
      </c>
      <c r="U200" s="21">
        <v>6.22</v>
      </c>
      <c r="V200" s="21">
        <v>6.14</v>
      </c>
      <c r="W200" s="21">
        <v>6.69</v>
      </c>
      <c r="X200" s="21">
        <v>7.73</v>
      </c>
      <c r="Y200" s="21">
        <v>7.46</v>
      </c>
      <c r="Z200" s="21">
        <v>7.28</v>
      </c>
      <c r="AA200" s="21">
        <v>7.25</v>
      </c>
      <c r="AB200" s="21">
        <v>7.27</v>
      </c>
      <c r="AC200" s="21">
        <v>7.44</v>
      </c>
      <c r="AD200" s="21">
        <v>8.18</v>
      </c>
      <c r="AE200" s="21">
        <v>8.07</v>
      </c>
      <c r="AF200" s="21">
        <v>6.86</v>
      </c>
      <c r="AG200" s="21">
        <v>7.59</v>
      </c>
      <c r="AH200" s="21">
        <v>10.09</v>
      </c>
      <c r="AI200" s="21">
        <v>9.6</v>
      </c>
      <c r="AJ200" s="21">
        <v>9.0500000000000007</v>
      </c>
      <c r="AK200" s="21">
        <v>10.56</v>
      </c>
      <c r="AL200" s="21">
        <v>12.6</v>
      </c>
      <c r="AM200" s="21">
        <v>15.9</v>
      </c>
      <c r="AN200" s="21">
        <v>18.21</v>
      </c>
      <c r="AO200" s="21">
        <v>19.89</v>
      </c>
      <c r="AP200" s="21">
        <v>24.72</v>
      </c>
      <c r="AQ200" s="21">
        <v>17.43</v>
      </c>
      <c r="AR200" s="21">
        <v>20.98</v>
      </c>
      <c r="AS200" s="21">
        <v>26.67</v>
      </c>
      <c r="AT200" s="21">
        <v>26.92</v>
      </c>
      <c r="AU200" s="21">
        <v>26.28</v>
      </c>
      <c r="AV200" s="21">
        <v>25.53</v>
      </c>
      <c r="AW200" s="21">
        <v>18.03</v>
      </c>
      <c r="AX200" s="21">
        <v>15.77</v>
      </c>
      <c r="AY200" s="21">
        <v>17.96</v>
      </c>
      <c r="AZ200" s="21">
        <v>20.61</v>
      </c>
      <c r="BA200" s="21">
        <v>19.440000000000001</v>
      </c>
      <c r="BB200" s="21">
        <v>16.03</v>
      </c>
      <c r="BC200" s="21">
        <v>21.87</v>
      </c>
    </row>
    <row r="201" spans="1:55" x14ac:dyDescent="0.2">
      <c r="A201" s="21" t="s">
        <v>1413</v>
      </c>
      <c r="B201" s="21" t="s">
        <v>1414</v>
      </c>
      <c r="C201" s="21" t="s">
        <v>962</v>
      </c>
      <c r="D201" s="21">
        <v>47021.5</v>
      </c>
      <c r="E201" s="21">
        <v>50370.1</v>
      </c>
      <c r="F201" s="21">
        <v>53609.1</v>
      </c>
      <c r="G201" s="21">
        <v>62234.1</v>
      </c>
      <c r="H201" s="21">
        <v>90356.9</v>
      </c>
      <c r="I201" s="21">
        <v>97064.3</v>
      </c>
      <c r="J201" s="21">
        <v>108640.6</v>
      </c>
      <c r="K201" s="21">
        <v>122423.3</v>
      </c>
      <c r="L201" s="21">
        <v>129389.6</v>
      </c>
      <c r="M201" s="21">
        <v>173211.4</v>
      </c>
      <c r="N201" s="21">
        <v>226247.8</v>
      </c>
      <c r="O201" s="21">
        <v>253164.6</v>
      </c>
      <c r="P201" s="21">
        <v>234675.6</v>
      </c>
      <c r="Q201" s="21">
        <v>214365.4</v>
      </c>
      <c r="R201" s="21">
        <v>219495.6</v>
      </c>
      <c r="S201" s="21">
        <v>219545.60000000001</v>
      </c>
      <c r="T201" s="21">
        <v>172288.3</v>
      </c>
      <c r="U201" s="21">
        <v>185170.8</v>
      </c>
      <c r="V201" s="21">
        <v>187690.5</v>
      </c>
      <c r="W201" s="21">
        <v>203528.4</v>
      </c>
      <c r="X201" s="21">
        <v>233268.5</v>
      </c>
      <c r="Y201" s="21">
        <v>221888.2</v>
      </c>
      <c r="Z201" s="21">
        <v>220897.2</v>
      </c>
      <c r="AA201" s="21">
        <v>221580.6</v>
      </c>
      <c r="AB201" s="21">
        <v>228073.2</v>
      </c>
      <c r="AC201" s="21">
        <v>235641.4</v>
      </c>
      <c r="AD201" s="21">
        <v>266125.5</v>
      </c>
      <c r="AE201" s="21">
        <v>265957.7</v>
      </c>
      <c r="AF201" s="21">
        <v>229820.4</v>
      </c>
      <c r="AG201" s="21">
        <v>262090</v>
      </c>
      <c r="AH201" s="21">
        <v>354595.1</v>
      </c>
      <c r="AI201" s="21">
        <v>333217.7</v>
      </c>
      <c r="AJ201" s="21">
        <v>318522.90000000002</v>
      </c>
      <c r="AK201" s="21">
        <v>374418.9</v>
      </c>
      <c r="AL201" s="21">
        <v>465314.8</v>
      </c>
      <c r="AM201" s="21">
        <v>588736.4</v>
      </c>
      <c r="AN201" s="21">
        <v>677551.7</v>
      </c>
      <c r="AO201" s="21">
        <v>735133.3</v>
      </c>
      <c r="AP201" s="21">
        <v>866010.9</v>
      </c>
      <c r="AQ201" s="21">
        <v>580966.80000000005</v>
      </c>
      <c r="AR201" s="21">
        <v>713560.9</v>
      </c>
      <c r="AS201" s="21">
        <v>891866.3</v>
      </c>
      <c r="AT201" s="21">
        <v>880435.5</v>
      </c>
      <c r="AU201" s="21">
        <v>876468.8</v>
      </c>
      <c r="AV201" s="21">
        <v>860329.1</v>
      </c>
      <c r="AW201" s="21">
        <v>621420.5</v>
      </c>
      <c r="AX201" s="21">
        <v>548569.59999999998</v>
      </c>
      <c r="AY201" s="21">
        <v>630294.1</v>
      </c>
      <c r="AZ201" s="21">
        <v>740071.1</v>
      </c>
      <c r="BA201" s="21">
        <v>698779.8</v>
      </c>
      <c r="BB201" s="21">
        <v>503448</v>
      </c>
      <c r="BC201" s="21">
        <v>756657.8</v>
      </c>
    </row>
    <row r="202" spans="1:55" x14ac:dyDescent="0.2">
      <c r="A202" s="21" t="s">
        <v>1413</v>
      </c>
      <c r="B202" s="21" t="s">
        <v>1414</v>
      </c>
      <c r="C202" s="21" t="s">
        <v>966</v>
      </c>
      <c r="D202" s="21">
        <v>0</v>
      </c>
      <c r="E202" s="21">
        <v>0</v>
      </c>
      <c r="F202" s="21">
        <v>0</v>
      </c>
      <c r="G202" s="21">
        <v>0</v>
      </c>
      <c r="H202" s="21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>
        <v>0</v>
      </c>
      <c r="Z202" s="21">
        <v>0.89</v>
      </c>
      <c r="AA202" s="21">
        <v>0.68</v>
      </c>
      <c r="AB202" s="21">
        <v>0.79</v>
      </c>
      <c r="AC202" s="21">
        <v>0.78</v>
      </c>
      <c r="AD202" s="21">
        <v>0.82</v>
      </c>
      <c r="AE202" s="21">
        <v>1.01</v>
      </c>
      <c r="AF202" s="21">
        <v>1.07</v>
      </c>
      <c r="AG202" s="21">
        <v>0.79</v>
      </c>
      <c r="AH202" s="21">
        <v>0.78</v>
      </c>
      <c r="AI202" s="21">
        <v>0.83</v>
      </c>
      <c r="AJ202" s="21">
        <v>0.84</v>
      </c>
      <c r="AK202" s="21">
        <v>0.83</v>
      </c>
      <c r="AL202" s="21">
        <v>1.1100000000000001</v>
      </c>
      <c r="AM202" s="21">
        <v>1.38</v>
      </c>
      <c r="AN202" s="21">
        <v>1.41</v>
      </c>
      <c r="AO202" s="21">
        <v>1.37</v>
      </c>
      <c r="AP202" s="21">
        <v>2.12</v>
      </c>
      <c r="AQ202" s="21">
        <v>1.64</v>
      </c>
      <c r="AR202" s="21">
        <v>1.38</v>
      </c>
      <c r="AS202" s="21">
        <v>1.69</v>
      </c>
      <c r="AT202" s="21">
        <v>1.98</v>
      </c>
      <c r="AU202" s="21">
        <v>1.77</v>
      </c>
      <c r="AV202" s="21">
        <v>1.71</v>
      </c>
      <c r="AW202" s="21">
        <v>1.49</v>
      </c>
      <c r="AX202" s="21">
        <v>1.38</v>
      </c>
      <c r="AY202" s="21">
        <v>1.39</v>
      </c>
      <c r="AZ202" s="21">
        <v>1.56</v>
      </c>
      <c r="BA202" s="21">
        <v>1.56</v>
      </c>
      <c r="BB202" s="21">
        <v>1.6</v>
      </c>
      <c r="BC202" s="21">
        <v>1.81</v>
      </c>
    </row>
    <row r="203" spans="1:55" x14ac:dyDescent="0.2">
      <c r="A203" s="21" t="s">
        <v>1413</v>
      </c>
      <c r="B203" s="21" t="s">
        <v>1414</v>
      </c>
      <c r="C203" s="21" t="s">
        <v>969</v>
      </c>
      <c r="D203" s="21">
        <v>0</v>
      </c>
      <c r="E203" s="21">
        <v>0</v>
      </c>
      <c r="F203" s="21">
        <v>0</v>
      </c>
      <c r="G203" s="21">
        <v>0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0</v>
      </c>
      <c r="T203" s="21">
        <v>0</v>
      </c>
      <c r="U203" s="21">
        <v>0</v>
      </c>
      <c r="V203" s="21">
        <v>0</v>
      </c>
      <c r="W203" s="21">
        <v>0</v>
      </c>
      <c r="X203" s="21">
        <v>0</v>
      </c>
      <c r="Y203" s="21">
        <v>0</v>
      </c>
      <c r="Z203" s="21">
        <v>0.1</v>
      </c>
      <c r="AA203" s="21">
        <v>0.1</v>
      </c>
      <c r="AB203" s="21">
        <v>0.1</v>
      </c>
      <c r="AC203" s="21">
        <v>0.1</v>
      </c>
      <c r="AD203" s="21">
        <v>0.1</v>
      </c>
      <c r="AE203" s="21">
        <v>0.1</v>
      </c>
      <c r="AF203" s="21">
        <v>0.1</v>
      </c>
      <c r="AG203" s="21">
        <v>0.1</v>
      </c>
      <c r="AH203" s="21">
        <v>0.1</v>
      </c>
      <c r="AI203" s="21">
        <v>0.2</v>
      </c>
      <c r="AJ203" s="21">
        <v>0.2</v>
      </c>
      <c r="AK203" s="21">
        <v>0.3</v>
      </c>
      <c r="AL203" s="21">
        <v>0.3</v>
      </c>
      <c r="AM203" s="21">
        <v>0.4</v>
      </c>
      <c r="AN203" s="21">
        <v>0.4</v>
      </c>
      <c r="AO203" s="21">
        <v>0.5</v>
      </c>
      <c r="AP203" s="21">
        <v>0.6</v>
      </c>
      <c r="AQ203" s="21">
        <v>0.4</v>
      </c>
      <c r="AR203" s="21">
        <v>0.5</v>
      </c>
      <c r="AS203" s="21">
        <v>0.3</v>
      </c>
      <c r="AT203" s="21">
        <v>0.7</v>
      </c>
      <c r="AU203" s="21">
        <v>0.6</v>
      </c>
      <c r="AV203" s="21">
        <v>0.9</v>
      </c>
      <c r="AW203" s="21">
        <v>0.8</v>
      </c>
      <c r="AX203" s="21">
        <v>0.4</v>
      </c>
      <c r="AY203" s="21">
        <v>0.7</v>
      </c>
      <c r="AZ203" s="21">
        <v>0.6</v>
      </c>
      <c r="BA203" s="21">
        <v>0.3</v>
      </c>
      <c r="BB203" s="21">
        <v>0.2</v>
      </c>
      <c r="BC203" s="21">
        <v>0.3</v>
      </c>
    </row>
    <row r="204" spans="1:55" x14ac:dyDescent="0.2">
      <c r="A204" s="21" t="s">
        <v>1413</v>
      </c>
      <c r="B204" s="21" t="s">
        <v>1414</v>
      </c>
      <c r="C204" s="21" t="s">
        <v>975</v>
      </c>
      <c r="D204" s="21">
        <v>0.28999999999999998</v>
      </c>
      <c r="E204" s="21">
        <v>0.3</v>
      </c>
      <c r="F204" s="21">
        <v>0.31</v>
      </c>
      <c r="G204" s="21">
        <v>0.28000000000000003</v>
      </c>
      <c r="H204" s="21">
        <v>0.36</v>
      </c>
      <c r="I204" s="21">
        <v>0.53</v>
      </c>
      <c r="J204" s="21">
        <v>1.5</v>
      </c>
      <c r="K204" s="21">
        <v>1.37</v>
      </c>
      <c r="L204" s="21">
        <v>0.86</v>
      </c>
      <c r="M204" s="21">
        <v>1.38</v>
      </c>
      <c r="N204" s="21">
        <v>2.61</v>
      </c>
      <c r="O204" s="21">
        <v>0.95</v>
      </c>
      <c r="P204" s="21">
        <v>1.1499999999999999</v>
      </c>
      <c r="Q204" s="21">
        <v>1.27</v>
      </c>
      <c r="R204" s="21">
        <v>1.25</v>
      </c>
      <c r="S204" s="21">
        <v>1.27</v>
      </c>
      <c r="T204" s="21">
        <v>1.04</v>
      </c>
      <c r="U204" s="21">
        <v>1.04</v>
      </c>
      <c r="V204" s="21">
        <v>0.99</v>
      </c>
      <c r="W204" s="21">
        <v>0.86</v>
      </c>
      <c r="X204" s="21">
        <v>0.82</v>
      </c>
      <c r="Y204" s="21">
        <v>0.81</v>
      </c>
      <c r="Z204" s="21">
        <v>0.75</v>
      </c>
      <c r="AA204" s="21">
        <v>0.77</v>
      </c>
      <c r="AB204" s="21">
        <v>0.56999999999999995</v>
      </c>
      <c r="AC204" s="21">
        <v>0.7</v>
      </c>
      <c r="AD204" s="21">
        <v>0.72</v>
      </c>
      <c r="AE204" s="21">
        <v>0.96</v>
      </c>
      <c r="AF204" s="21">
        <v>0.67</v>
      </c>
      <c r="AG204" s="21">
        <v>0.61</v>
      </c>
      <c r="AH204" s="21">
        <v>0.48</v>
      </c>
      <c r="AI204" s="21">
        <v>0.97</v>
      </c>
      <c r="AJ204" s="21">
        <v>0.56999999999999995</v>
      </c>
      <c r="AK204" s="21">
        <v>0.61</v>
      </c>
      <c r="AL204" s="21">
        <v>0.79</v>
      </c>
      <c r="AM204" s="21">
        <v>0.98</v>
      </c>
      <c r="AN204" s="21">
        <v>1.26</v>
      </c>
      <c r="AO204" s="21">
        <v>1.54</v>
      </c>
      <c r="AP204" s="21">
        <v>1.88</v>
      </c>
      <c r="AQ204" s="21">
        <v>1.62</v>
      </c>
      <c r="AR204" s="21">
        <v>2.13</v>
      </c>
      <c r="AS204" s="21">
        <v>2.92</v>
      </c>
      <c r="AT204" s="21">
        <v>2.54</v>
      </c>
      <c r="AU204" s="21">
        <v>1.93</v>
      </c>
      <c r="AV204" s="21">
        <v>1.79</v>
      </c>
      <c r="AW204" s="21">
        <v>1.68</v>
      </c>
      <c r="AX204" s="21">
        <v>1.49</v>
      </c>
      <c r="AY204" s="21">
        <v>2.02</v>
      </c>
      <c r="AZ204" s="21">
        <v>2.37</v>
      </c>
      <c r="BA204" s="21">
        <v>1.85</v>
      </c>
      <c r="BB204" s="21">
        <v>1.6</v>
      </c>
      <c r="BC204" s="21">
        <v>2.87</v>
      </c>
    </row>
    <row r="205" spans="1:55" x14ac:dyDescent="0.2">
      <c r="A205" s="21" t="s">
        <v>1413</v>
      </c>
      <c r="B205" s="21" t="s">
        <v>1414</v>
      </c>
      <c r="C205" s="21" t="s">
        <v>978</v>
      </c>
      <c r="D205" s="21">
        <v>5.5</v>
      </c>
      <c r="E205" s="21">
        <v>5.4</v>
      </c>
      <c r="F205" s="21">
        <v>5.9</v>
      </c>
      <c r="G205" s="21">
        <v>4.2</v>
      </c>
      <c r="H205" s="21">
        <v>6.8</v>
      </c>
      <c r="I205" s="21">
        <v>1.1000000000000001</v>
      </c>
      <c r="J205" s="21">
        <v>3.1</v>
      </c>
      <c r="K205" s="21">
        <v>4</v>
      </c>
      <c r="L205" s="21">
        <v>10.3</v>
      </c>
      <c r="M205" s="21">
        <v>11.1</v>
      </c>
      <c r="N205" s="21">
        <v>14.1</v>
      </c>
      <c r="O205" s="21">
        <v>4</v>
      </c>
      <c r="P205" s="21">
        <v>5.2</v>
      </c>
      <c r="Q205" s="21">
        <v>10</v>
      </c>
      <c r="R205" s="21">
        <v>9.4</v>
      </c>
      <c r="S205" s="21">
        <v>8.9</v>
      </c>
      <c r="T205" s="21">
        <v>9.8000000000000007</v>
      </c>
      <c r="U205" s="21">
        <v>10.9</v>
      </c>
      <c r="V205" s="21">
        <v>12.2</v>
      </c>
      <c r="W205" s="21">
        <v>13.4</v>
      </c>
      <c r="X205" s="21">
        <v>25</v>
      </c>
      <c r="Y205" s="21">
        <v>23.8</v>
      </c>
      <c r="Z205" s="21">
        <v>33.700000000000003</v>
      </c>
      <c r="AA205" s="21">
        <v>60.7</v>
      </c>
      <c r="AB205" s="21">
        <v>40</v>
      </c>
      <c r="AC205" s="21">
        <v>56.7</v>
      </c>
      <c r="AD205" s="21">
        <v>57</v>
      </c>
      <c r="AE205" s="21">
        <v>97.8</v>
      </c>
      <c r="AF205" s="21">
        <v>82.9</v>
      </c>
      <c r="AG205" s="21">
        <v>68.8</v>
      </c>
      <c r="AH205" s="21">
        <v>46.9</v>
      </c>
      <c r="AI205" s="21">
        <v>99.9</v>
      </c>
      <c r="AJ205" s="21">
        <v>99.3</v>
      </c>
      <c r="AK205" s="21">
        <v>106</v>
      </c>
      <c r="AL205" s="21">
        <v>166.7</v>
      </c>
      <c r="AM205" s="21">
        <v>226.8</v>
      </c>
      <c r="AN205" s="21">
        <v>255.2</v>
      </c>
      <c r="AO205" s="21">
        <v>250</v>
      </c>
      <c r="AP205" s="21">
        <v>275.5</v>
      </c>
      <c r="AQ205" s="21">
        <v>213.1</v>
      </c>
      <c r="AR205" s="21">
        <v>290.3</v>
      </c>
      <c r="AS205" s="21">
        <v>403.9</v>
      </c>
      <c r="AT205" s="21">
        <v>216.2</v>
      </c>
      <c r="AU205" s="21">
        <v>236.8</v>
      </c>
      <c r="AV205" s="21">
        <v>211.1</v>
      </c>
      <c r="AW205" s="21">
        <v>188</v>
      </c>
      <c r="AX205" s="21">
        <v>176.8</v>
      </c>
      <c r="AY205" s="21">
        <v>196.7</v>
      </c>
      <c r="AZ205" s="21">
        <v>240.2</v>
      </c>
      <c r="BA205" s="21">
        <v>140.5</v>
      </c>
      <c r="BB205" s="21">
        <v>140.19999999999999</v>
      </c>
      <c r="BC205" s="21">
        <v>252.8</v>
      </c>
    </row>
    <row r="206" spans="1:55" x14ac:dyDescent="0.2">
      <c r="A206" s="21" t="s">
        <v>1413</v>
      </c>
      <c r="B206" s="21" t="s">
        <v>1414</v>
      </c>
      <c r="C206" s="21" t="s">
        <v>982</v>
      </c>
      <c r="D206" s="21">
        <v>0.53</v>
      </c>
      <c r="E206" s="21">
        <v>0.66</v>
      </c>
      <c r="F206" s="21">
        <v>0.61</v>
      </c>
      <c r="G206" s="21">
        <v>0.61</v>
      </c>
      <c r="H206" s="21">
        <v>0.74</v>
      </c>
      <c r="I206" s="21">
        <v>1.42</v>
      </c>
      <c r="J206" s="21">
        <v>1.57</v>
      </c>
      <c r="K206" s="21">
        <v>1.83</v>
      </c>
      <c r="L206" s="21">
        <v>1.69</v>
      </c>
      <c r="M206" s="21">
        <v>1.69</v>
      </c>
      <c r="N206" s="21">
        <v>2.19</v>
      </c>
      <c r="O206" s="21">
        <v>2.75</v>
      </c>
      <c r="P206" s="21">
        <v>2.15</v>
      </c>
      <c r="Q206" s="21">
        <v>1.55</v>
      </c>
      <c r="R206" s="21">
        <v>1.66</v>
      </c>
      <c r="S206" s="21">
        <v>1.86</v>
      </c>
      <c r="T206" s="21">
        <v>1.53</v>
      </c>
      <c r="U206" s="21">
        <v>1.5</v>
      </c>
      <c r="V206" s="21">
        <v>1.45</v>
      </c>
      <c r="W206" s="21">
        <v>1.68</v>
      </c>
      <c r="X206" s="21">
        <v>1.73</v>
      </c>
      <c r="Y206" s="21">
        <v>1.5</v>
      </c>
      <c r="Z206" s="21">
        <v>1.18</v>
      </c>
      <c r="AA206" s="21">
        <v>0.97</v>
      </c>
      <c r="AB206" s="21">
        <v>1.02</v>
      </c>
      <c r="AC206" s="21">
        <v>1.1499999999999999</v>
      </c>
      <c r="AD206" s="21">
        <v>1.51</v>
      </c>
      <c r="AE206" s="21">
        <v>1.37</v>
      </c>
      <c r="AF206" s="21">
        <v>1.27</v>
      </c>
      <c r="AG206" s="21">
        <v>1.31</v>
      </c>
      <c r="AH206" s="21">
        <v>1.39</v>
      </c>
      <c r="AI206" s="21">
        <v>1.55</v>
      </c>
      <c r="AJ206" s="21">
        <v>1.28</v>
      </c>
      <c r="AK206" s="21">
        <v>1.29</v>
      </c>
      <c r="AL206" s="21">
        <v>1.46</v>
      </c>
      <c r="AM206" s="21">
        <v>1.82</v>
      </c>
      <c r="AN206" s="21">
        <v>2.06</v>
      </c>
      <c r="AO206" s="21">
        <v>2.44</v>
      </c>
      <c r="AP206" s="21">
        <v>4.1100000000000003</v>
      </c>
      <c r="AQ206" s="21">
        <v>2.4</v>
      </c>
      <c r="AR206" s="21">
        <v>3.41</v>
      </c>
      <c r="AS206" s="21">
        <v>4.55</v>
      </c>
      <c r="AT206" s="21">
        <v>3.43</v>
      </c>
      <c r="AU206" s="21">
        <v>2.72</v>
      </c>
      <c r="AV206" s="21">
        <v>2.6</v>
      </c>
      <c r="AW206" s="21">
        <v>2.4</v>
      </c>
      <c r="AX206" s="21">
        <v>1.91</v>
      </c>
      <c r="AY206" s="21">
        <v>2.59</v>
      </c>
      <c r="AZ206" s="21">
        <v>3.47</v>
      </c>
      <c r="BA206" s="21">
        <v>2.87</v>
      </c>
      <c r="BB206" s="21">
        <v>2.0499999999999998</v>
      </c>
      <c r="BC206" s="21">
        <v>3.62</v>
      </c>
    </row>
    <row r="207" spans="1:55" x14ac:dyDescent="0.2">
      <c r="A207" s="21" t="s">
        <v>1413</v>
      </c>
      <c r="B207" s="21" t="s">
        <v>1414</v>
      </c>
      <c r="C207" s="21" t="s">
        <v>985</v>
      </c>
      <c r="D207" s="21">
        <v>70.3</v>
      </c>
      <c r="E207" s="21">
        <v>97.9</v>
      </c>
      <c r="F207" s="21">
        <v>105.8</v>
      </c>
      <c r="G207" s="21">
        <v>96.2</v>
      </c>
      <c r="H207" s="21">
        <v>97</v>
      </c>
      <c r="I207" s="21">
        <v>212.6</v>
      </c>
      <c r="J207" s="21">
        <v>217.7</v>
      </c>
      <c r="K207" s="21">
        <v>339.9</v>
      </c>
      <c r="L207" s="21">
        <v>262.3</v>
      </c>
      <c r="M207" s="21">
        <v>191.4</v>
      </c>
      <c r="N207" s="21">
        <v>214.6</v>
      </c>
      <c r="O207" s="21">
        <v>570.6</v>
      </c>
      <c r="P207" s="21">
        <v>365.1</v>
      </c>
      <c r="Q207" s="21">
        <v>141.80000000000001</v>
      </c>
      <c r="R207" s="21">
        <v>217.1</v>
      </c>
      <c r="S207" s="21">
        <v>241.2</v>
      </c>
      <c r="T207" s="21">
        <v>189.9</v>
      </c>
      <c r="U207" s="21">
        <v>282.89999999999998</v>
      </c>
      <c r="V207" s="21">
        <v>283.10000000000002</v>
      </c>
      <c r="W207" s="21">
        <v>312.5</v>
      </c>
      <c r="X207" s="21">
        <v>400.1</v>
      </c>
      <c r="Y207" s="21">
        <v>311.2</v>
      </c>
      <c r="Z207" s="21">
        <v>341.5</v>
      </c>
      <c r="AA207" s="21">
        <v>188.8</v>
      </c>
      <c r="AB207" s="21">
        <v>221.1</v>
      </c>
      <c r="AC207" s="21">
        <v>245</v>
      </c>
      <c r="AD207" s="21">
        <v>347.1</v>
      </c>
      <c r="AE207" s="21">
        <v>278.8</v>
      </c>
      <c r="AF207" s="21">
        <v>412.7</v>
      </c>
      <c r="AG207" s="21">
        <v>521</v>
      </c>
      <c r="AH207" s="21">
        <v>356.8</v>
      </c>
      <c r="AI207" s="21">
        <v>502.1</v>
      </c>
      <c r="AJ207" s="21">
        <v>396.4</v>
      </c>
      <c r="AK207" s="21">
        <v>367</v>
      </c>
      <c r="AL207" s="21">
        <v>536.79999999999995</v>
      </c>
      <c r="AM207" s="21">
        <v>602</v>
      </c>
      <c r="AN207" s="21">
        <v>762.3</v>
      </c>
      <c r="AO207" s="21">
        <v>870.3</v>
      </c>
      <c r="AP207" s="21">
        <v>1462.5</v>
      </c>
      <c r="AQ207" s="21">
        <v>687.3</v>
      </c>
      <c r="AR207" s="21">
        <v>588.9</v>
      </c>
      <c r="AS207" s="21">
        <v>613.1</v>
      </c>
      <c r="AT207" s="21">
        <v>622.5</v>
      </c>
      <c r="AU207" s="21">
        <v>353.1</v>
      </c>
      <c r="AV207" s="21">
        <v>301.5</v>
      </c>
      <c r="AW207" s="21">
        <v>346.1</v>
      </c>
      <c r="AX207" s="21">
        <v>214.3</v>
      </c>
      <c r="AY207" s="21">
        <v>205.1</v>
      </c>
      <c r="AZ207" s="21">
        <v>324.8</v>
      </c>
      <c r="BA207" s="21">
        <v>266.5</v>
      </c>
      <c r="BB207" s="21">
        <v>122.3</v>
      </c>
      <c r="BC207" s="21">
        <v>226.1</v>
      </c>
    </row>
    <row r="208" spans="1:55" x14ac:dyDescent="0.2">
      <c r="A208" s="21" t="s">
        <v>1413</v>
      </c>
      <c r="B208" s="21" t="s">
        <v>1414</v>
      </c>
      <c r="C208" s="21" t="s">
        <v>987</v>
      </c>
      <c r="D208" s="21">
        <v>132334</v>
      </c>
      <c r="E208" s="21">
        <v>148498</v>
      </c>
      <c r="F208" s="21">
        <v>174633</v>
      </c>
      <c r="G208" s="21">
        <v>157904</v>
      </c>
      <c r="H208" s="21">
        <v>131630</v>
      </c>
      <c r="I208" s="21">
        <v>150131</v>
      </c>
      <c r="J208" s="21">
        <v>139098</v>
      </c>
      <c r="K208" s="21">
        <v>185306</v>
      </c>
      <c r="L208" s="21">
        <v>155369</v>
      </c>
      <c r="M208" s="21">
        <v>113206</v>
      </c>
      <c r="N208" s="21">
        <v>97980</v>
      </c>
      <c r="O208" s="21">
        <v>207404</v>
      </c>
      <c r="P208" s="21">
        <v>169975</v>
      </c>
      <c r="Q208" s="21">
        <v>91804</v>
      </c>
      <c r="R208" s="21">
        <v>130524</v>
      </c>
      <c r="S208" s="21">
        <v>129909</v>
      </c>
      <c r="T208" s="21">
        <v>124061</v>
      </c>
      <c r="U208" s="21">
        <v>188329</v>
      </c>
      <c r="V208" s="21">
        <v>195906</v>
      </c>
      <c r="W208" s="21">
        <v>186034</v>
      </c>
      <c r="X208" s="21">
        <v>231008</v>
      </c>
      <c r="Y208" s="21">
        <v>207016</v>
      </c>
      <c r="Z208" s="21">
        <v>288248</v>
      </c>
      <c r="AA208" s="21">
        <v>193903</v>
      </c>
      <c r="AB208" s="21">
        <v>217396</v>
      </c>
      <c r="AC208" s="21">
        <v>212507</v>
      </c>
      <c r="AD208" s="21">
        <v>230533</v>
      </c>
      <c r="AE208" s="21">
        <v>203515</v>
      </c>
      <c r="AF208" s="21">
        <v>324180</v>
      </c>
      <c r="AG208" s="21">
        <v>397447</v>
      </c>
      <c r="AH208" s="21">
        <v>256716</v>
      </c>
      <c r="AI208" s="21">
        <v>324951</v>
      </c>
      <c r="AJ208" s="21">
        <v>310542</v>
      </c>
      <c r="AK208" s="21">
        <v>283474</v>
      </c>
      <c r="AL208" s="21">
        <v>367860</v>
      </c>
      <c r="AM208" s="21">
        <v>331354</v>
      </c>
      <c r="AN208" s="21">
        <v>369241</v>
      </c>
      <c r="AO208" s="21">
        <v>356635</v>
      </c>
      <c r="AP208" s="21">
        <v>355948</v>
      </c>
      <c r="AQ208" s="21">
        <v>286369</v>
      </c>
      <c r="AR208" s="21">
        <v>172846</v>
      </c>
      <c r="AS208" s="21">
        <v>134797</v>
      </c>
      <c r="AT208" s="21">
        <v>181421</v>
      </c>
      <c r="AU208" s="21">
        <v>130004</v>
      </c>
      <c r="AV208" s="21">
        <v>115976</v>
      </c>
      <c r="AW208" s="21">
        <v>144077</v>
      </c>
      <c r="AX208" s="21">
        <v>112022</v>
      </c>
      <c r="AY208" s="21">
        <v>79071</v>
      </c>
      <c r="AZ208" s="21">
        <v>93622</v>
      </c>
      <c r="BA208" s="21">
        <v>92845</v>
      </c>
      <c r="BB208" s="21">
        <v>59709</v>
      </c>
      <c r="BC208" s="21">
        <v>62413</v>
      </c>
    </row>
    <row r="209" spans="1:55" x14ac:dyDescent="0.2">
      <c r="A209" s="21" t="s">
        <v>1413</v>
      </c>
      <c r="B209" s="21" t="s">
        <v>1414</v>
      </c>
      <c r="C209" s="21" t="s">
        <v>991</v>
      </c>
      <c r="D209" s="21">
        <v>313640</v>
      </c>
      <c r="E209" s="21">
        <v>314573</v>
      </c>
      <c r="F209" s="21">
        <v>338248</v>
      </c>
      <c r="G209" s="21">
        <v>400054</v>
      </c>
      <c r="H209" s="21">
        <v>373970</v>
      </c>
      <c r="I209" s="21">
        <v>390205</v>
      </c>
      <c r="J209" s="21">
        <v>395536</v>
      </c>
      <c r="K209" s="21">
        <v>400506</v>
      </c>
      <c r="L209" s="21">
        <v>394813</v>
      </c>
      <c r="M209" s="21">
        <v>420054</v>
      </c>
      <c r="N209" s="21">
        <v>418186</v>
      </c>
      <c r="O209" s="21">
        <v>341826</v>
      </c>
      <c r="P209" s="21">
        <v>370669</v>
      </c>
      <c r="Q209" s="21">
        <v>403090</v>
      </c>
      <c r="R209" s="21">
        <v>407319</v>
      </c>
      <c r="S209" s="21">
        <v>444668</v>
      </c>
      <c r="T209" s="21">
        <v>456547</v>
      </c>
      <c r="U209" s="21">
        <v>458083</v>
      </c>
      <c r="V209" s="21">
        <v>478914</v>
      </c>
      <c r="W209" s="21">
        <v>473956</v>
      </c>
      <c r="X209" s="21">
        <v>483209</v>
      </c>
      <c r="Y209" s="21">
        <v>485631</v>
      </c>
      <c r="Z209" s="21">
        <v>509462</v>
      </c>
      <c r="AA209" s="21">
        <v>531395</v>
      </c>
      <c r="AB209" s="21">
        <v>505763</v>
      </c>
      <c r="AC209" s="21">
        <v>508787</v>
      </c>
      <c r="AD209" s="21">
        <v>526305</v>
      </c>
      <c r="AE209" s="21">
        <v>523895</v>
      </c>
      <c r="AF209" s="21">
        <v>534305</v>
      </c>
      <c r="AG209" s="21">
        <v>538317</v>
      </c>
      <c r="AH209" s="21">
        <v>539353</v>
      </c>
      <c r="AI209" s="21">
        <v>532618</v>
      </c>
      <c r="AJ209" s="21">
        <v>531546</v>
      </c>
      <c r="AK209" s="21">
        <v>541220</v>
      </c>
      <c r="AL209" s="21">
        <v>569929</v>
      </c>
      <c r="AM209" s="21">
        <v>563642</v>
      </c>
      <c r="AN209" s="21">
        <v>568923</v>
      </c>
      <c r="AO209" s="21">
        <v>553350</v>
      </c>
      <c r="AP209" s="21">
        <v>514346</v>
      </c>
      <c r="AQ209" s="21">
        <v>518778</v>
      </c>
      <c r="AR209" s="21">
        <v>521639</v>
      </c>
      <c r="AS209" s="21">
        <v>528441</v>
      </c>
      <c r="AT209" s="21">
        <v>535590</v>
      </c>
      <c r="AU209" s="21">
        <v>533703</v>
      </c>
      <c r="AV209" s="21">
        <v>537853</v>
      </c>
      <c r="AW209" s="21">
        <v>519495</v>
      </c>
      <c r="AX209" s="21">
        <v>540883</v>
      </c>
      <c r="AY209" s="21">
        <v>531333</v>
      </c>
      <c r="AZ209" s="21">
        <v>535275</v>
      </c>
      <c r="BA209" s="21">
        <v>509851</v>
      </c>
      <c r="BB209" s="21">
        <v>435758</v>
      </c>
      <c r="BC209" s="21">
        <v>452494</v>
      </c>
    </row>
    <row r="210" spans="1:55" x14ac:dyDescent="0.2">
      <c r="A210" s="21" t="s">
        <v>1413</v>
      </c>
      <c r="B210" s="21" t="s">
        <v>1414</v>
      </c>
      <c r="C210" s="21" t="s">
        <v>993</v>
      </c>
      <c r="D210" s="21">
        <v>151504</v>
      </c>
      <c r="E210" s="21">
        <v>166726</v>
      </c>
      <c r="F210" s="21">
        <v>193527</v>
      </c>
      <c r="G210" s="21">
        <v>173166</v>
      </c>
      <c r="H210" s="21">
        <v>150455</v>
      </c>
      <c r="I210" s="21">
        <v>152245</v>
      </c>
      <c r="J210" s="21">
        <v>141148</v>
      </c>
      <c r="K210" s="21">
        <v>188244</v>
      </c>
      <c r="L210" s="21">
        <v>167365</v>
      </c>
      <c r="M210" s="21">
        <v>121275</v>
      </c>
      <c r="N210" s="21">
        <v>103378</v>
      </c>
      <c r="O210" s="21">
        <v>211587</v>
      </c>
      <c r="P210" s="21">
        <v>174473</v>
      </c>
      <c r="Q210" s="21">
        <v>99679</v>
      </c>
      <c r="R210" s="21">
        <v>138100</v>
      </c>
      <c r="S210" s="21">
        <v>136877</v>
      </c>
      <c r="T210" s="21">
        <v>133480</v>
      </c>
      <c r="U210" s="21">
        <v>198798</v>
      </c>
      <c r="V210" s="21">
        <v>208226</v>
      </c>
      <c r="W210" s="21">
        <v>201617</v>
      </c>
      <c r="X210" s="21">
        <v>261375</v>
      </c>
      <c r="Y210" s="21">
        <v>236346</v>
      </c>
      <c r="Z210" s="21">
        <v>333326</v>
      </c>
      <c r="AA210" s="21">
        <v>272706</v>
      </c>
      <c r="AB210" s="21">
        <v>287248</v>
      </c>
      <c r="AC210" s="21">
        <v>293188</v>
      </c>
      <c r="AD210" s="21">
        <v>310218</v>
      </c>
      <c r="AE210" s="21">
        <v>305206</v>
      </c>
      <c r="AF210" s="21">
        <v>447860</v>
      </c>
      <c r="AG210" s="21">
        <v>510058</v>
      </c>
      <c r="AH210" s="21">
        <v>355524</v>
      </c>
      <c r="AI210" s="21">
        <v>428367</v>
      </c>
      <c r="AJ210" s="21">
        <v>485962</v>
      </c>
      <c r="AK210" s="21">
        <v>458469</v>
      </c>
      <c r="AL210" s="21">
        <v>578934</v>
      </c>
      <c r="AM210" s="21">
        <v>562750</v>
      </c>
      <c r="AN210" s="21">
        <v>572563</v>
      </c>
      <c r="AO210" s="21">
        <v>519543</v>
      </c>
      <c r="AP210" s="21">
        <v>502626</v>
      </c>
      <c r="AQ210" s="21">
        <v>418459</v>
      </c>
      <c r="AR210" s="21">
        <v>309787</v>
      </c>
      <c r="AS210" s="21">
        <v>273300</v>
      </c>
      <c r="AT210" s="21">
        <v>266837</v>
      </c>
      <c r="AU210" s="21">
        <v>252871</v>
      </c>
      <c r="AV210" s="21">
        <v>234656</v>
      </c>
      <c r="AW210" s="21">
        <v>256314</v>
      </c>
      <c r="AX210" s="21">
        <v>230636</v>
      </c>
      <c r="AY210" s="21">
        <v>176774</v>
      </c>
      <c r="AZ210" s="21">
        <v>195458</v>
      </c>
      <c r="BA210" s="21">
        <v>168968</v>
      </c>
      <c r="BB210" s="21">
        <v>147247</v>
      </c>
      <c r="BC210" s="21">
        <v>150547</v>
      </c>
    </row>
    <row r="211" spans="1:55" x14ac:dyDescent="0.2">
      <c r="A211" s="21" t="s">
        <v>1413</v>
      </c>
      <c r="B211" s="21" t="s">
        <v>1414</v>
      </c>
      <c r="C211" s="21" t="s">
        <v>997</v>
      </c>
      <c r="D211" s="21">
        <v>0.5</v>
      </c>
      <c r="E211" s="21">
        <v>0.62</v>
      </c>
      <c r="F211" s="21">
        <v>0.57999999999999996</v>
      </c>
      <c r="G211" s="21">
        <v>0.57999999999999996</v>
      </c>
      <c r="H211" s="21">
        <v>0.69</v>
      </c>
      <c r="I211" s="21">
        <v>1.4</v>
      </c>
      <c r="J211" s="21">
        <v>1.56</v>
      </c>
      <c r="K211" s="21">
        <v>1.83</v>
      </c>
      <c r="L211" s="21">
        <v>1.63</v>
      </c>
      <c r="M211" s="21">
        <v>1.67</v>
      </c>
      <c r="N211" s="21">
        <v>2.21</v>
      </c>
      <c r="O211" s="21">
        <v>2.72</v>
      </c>
      <c r="P211" s="21">
        <v>2.12</v>
      </c>
      <c r="Q211" s="21">
        <v>1.52</v>
      </c>
      <c r="R211" s="21">
        <v>1.64</v>
      </c>
      <c r="S211" s="21">
        <v>1.83</v>
      </c>
      <c r="T211" s="21">
        <v>1.5</v>
      </c>
      <c r="U211" s="21">
        <v>1.48</v>
      </c>
      <c r="V211" s="21">
        <v>1.42</v>
      </c>
      <c r="W211" s="21">
        <v>1.62</v>
      </c>
      <c r="X211" s="21">
        <v>1.63</v>
      </c>
      <c r="Y211" s="21">
        <v>1.42</v>
      </c>
      <c r="Z211" s="21">
        <v>1.1299999999999999</v>
      </c>
      <c r="AA211" s="21">
        <v>0.92</v>
      </c>
      <c r="AB211" s="21">
        <v>0.91</v>
      </c>
      <c r="AC211" s="21">
        <v>1.03</v>
      </c>
      <c r="AD211" s="21">
        <v>1.3</v>
      </c>
      <c r="AE211" s="21">
        <v>1.23</v>
      </c>
      <c r="AF211" s="21">
        <v>1.1100000000000001</v>
      </c>
      <c r="AG211" s="21">
        <v>1.1599999999999999</v>
      </c>
      <c r="AH211" s="21">
        <v>1.1399999999999999</v>
      </c>
      <c r="AI211" s="21">
        <v>1.41</v>
      </c>
      <c r="AJ211" s="21">
        <v>1.02</v>
      </c>
      <c r="AK211" s="21">
        <v>1.03</v>
      </c>
      <c r="AL211" s="21">
        <v>1.22</v>
      </c>
      <c r="AM211" s="21">
        <v>1.47</v>
      </c>
      <c r="AN211" s="21">
        <v>1.78</v>
      </c>
      <c r="AO211" s="21">
        <v>2.16</v>
      </c>
      <c r="AP211" s="21">
        <v>3.46</v>
      </c>
      <c r="AQ211" s="21">
        <v>2.15</v>
      </c>
      <c r="AR211" s="21">
        <v>2.84</v>
      </c>
      <c r="AS211" s="21">
        <v>3.72</v>
      </c>
      <c r="AT211" s="21">
        <v>3.15</v>
      </c>
      <c r="AU211" s="21">
        <v>2.34</v>
      </c>
      <c r="AV211" s="21">
        <v>2.19</v>
      </c>
      <c r="AW211" s="21">
        <v>2.09</v>
      </c>
      <c r="AX211" s="21">
        <v>1.7</v>
      </c>
      <c r="AY211" s="21">
        <v>2.2799999999999998</v>
      </c>
      <c r="AZ211" s="21">
        <v>2.89</v>
      </c>
      <c r="BA211" s="21">
        <v>2.41</v>
      </c>
      <c r="BB211" s="21">
        <v>1.78</v>
      </c>
      <c r="BC211" s="21">
        <v>3.18</v>
      </c>
    </row>
    <row r="212" spans="1:55" x14ac:dyDescent="0.2">
      <c r="A212" s="21" t="s">
        <v>1413</v>
      </c>
      <c r="B212" s="21" t="s">
        <v>1414</v>
      </c>
      <c r="C212" s="21" t="s">
        <v>1000</v>
      </c>
      <c r="D212" s="21">
        <v>75.8</v>
      </c>
      <c r="E212" s="21">
        <v>103.3</v>
      </c>
      <c r="F212" s="21">
        <v>111.7</v>
      </c>
      <c r="G212" s="21">
        <v>100.4</v>
      </c>
      <c r="H212" s="21">
        <v>103.8</v>
      </c>
      <c r="I212" s="21">
        <v>213.7</v>
      </c>
      <c r="J212" s="21">
        <v>220.8</v>
      </c>
      <c r="K212" s="21">
        <v>343.9</v>
      </c>
      <c r="L212" s="21">
        <v>272.5</v>
      </c>
      <c r="M212" s="21">
        <v>202.6</v>
      </c>
      <c r="N212" s="21">
        <v>228.7</v>
      </c>
      <c r="O212" s="21">
        <v>574.5</v>
      </c>
      <c r="P212" s="21">
        <v>370.3</v>
      </c>
      <c r="Q212" s="21">
        <v>151.9</v>
      </c>
      <c r="R212" s="21">
        <v>226.5</v>
      </c>
      <c r="S212" s="21">
        <v>250.1</v>
      </c>
      <c r="T212" s="21">
        <v>199.8</v>
      </c>
      <c r="U212" s="21">
        <v>293.7</v>
      </c>
      <c r="V212" s="21">
        <v>295.3</v>
      </c>
      <c r="W212" s="21">
        <v>326</v>
      </c>
      <c r="X212" s="21">
        <v>425.1</v>
      </c>
      <c r="Y212" s="21">
        <v>335</v>
      </c>
      <c r="Z212" s="21">
        <v>375.2</v>
      </c>
      <c r="AA212" s="21">
        <v>249.6</v>
      </c>
      <c r="AB212" s="21">
        <v>261.2</v>
      </c>
      <c r="AC212" s="21">
        <v>301.8</v>
      </c>
      <c r="AD212" s="21">
        <v>404.2</v>
      </c>
      <c r="AE212" s="21">
        <v>376.8</v>
      </c>
      <c r="AF212" s="21">
        <v>495.7</v>
      </c>
      <c r="AG212" s="21">
        <v>589.9</v>
      </c>
      <c r="AH212" s="21">
        <v>403.9</v>
      </c>
      <c r="AI212" s="21">
        <v>602.20000000000005</v>
      </c>
      <c r="AJ212" s="21">
        <v>495.9</v>
      </c>
      <c r="AK212" s="21">
        <v>473.3</v>
      </c>
      <c r="AL212" s="21">
        <v>703.8</v>
      </c>
      <c r="AM212" s="21">
        <v>829.2</v>
      </c>
      <c r="AN212" s="21">
        <v>1018</v>
      </c>
      <c r="AO212" s="21">
        <v>1120.7</v>
      </c>
      <c r="AP212" s="21">
        <v>1738.6</v>
      </c>
      <c r="AQ212" s="21">
        <v>900.8</v>
      </c>
      <c r="AR212" s="21">
        <v>879.7</v>
      </c>
      <c r="AS212" s="21">
        <v>1017.3</v>
      </c>
      <c r="AT212" s="21">
        <v>839.4</v>
      </c>
      <c r="AU212" s="21">
        <v>590.5</v>
      </c>
      <c r="AV212" s="21">
        <v>513.5</v>
      </c>
      <c r="AW212" s="21">
        <v>534.9</v>
      </c>
      <c r="AX212" s="21">
        <v>391.5</v>
      </c>
      <c r="AY212" s="21">
        <v>402.5</v>
      </c>
      <c r="AZ212" s="21">
        <v>565.5</v>
      </c>
      <c r="BA212" s="21">
        <v>407.4</v>
      </c>
      <c r="BB212" s="21">
        <v>262.7</v>
      </c>
      <c r="BC212" s="21">
        <v>479.2</v>
      </c>
    </row>
    <row r="213" spans="1:55" x14ac:dyDescent="0.2">
      <c r="A213" s="21" t="s">
        <v>1413</v>
      </c>
      <c r="B213" s="21" t="s">
        <v>1414</v>
      </c>
      <c r="C213" s="21" t="s">
        <v>1004</v>
      </c>
      <c r="D213" s="21">
        <v>0.53</v>
      </c>
      <c r="E213" s="21">
        <v>0.66</v>
      </c>
      <c r="F213" s="21">
        <v>0.61</v>
      </c>
      <c r="G213" s="21">
        <v>0.61</v>
      </c>
      <c r="H213" s="21">
        <v>0.74</v>
      </c>
      <c r="I213" s="21">
        <v>1.42</v>
      </c>
      <c r="J213" s="21">
        <v>1.57</v>
      </c>
      <c r="K213" s="21">
        <v>1.83</v>
      </c>
      <c r="L213" s="21">
        <v>1.69</v>
      </c>
      <c r="M213" s="21">
        <v>1.69</v>
      </c>
      <c r="N213" s="21">
        <v>2.19</v>
      </c>
      <c r="O213" s="21">
        <v>2.75</v>
      </c>
      <c r="P213" s="21">
        <v>2.15</v>
      </c>
      <c r="Q213" s="21">
        <v>1.55</v>
      </c>
      <c r="R213" s="21">
        <v>1.66</v>
      </c>
      <c r="S213" s="21">
        <v>1.86</v>
      </c>
      <c r="T213" s="21">
        <v>1.53</v>
      </c>
      <c r="U213" s="21">
        <v>1.5</v>
      </c>
      <c r="V213" s="21">
        <v>1.45</v>
      </c>
      <c r="W213" s="21">
        <v>1.68</v>
      </c>
      <c r="X213" s="21">
        <v>1.73</v>
      </c>
      <c r="Y213" s="21">
        <v>1.5</v>
      </c>
      <c r="Z213" s="21">
        <v>1.18</v>
      </c>
      <c r="AA213" s="21">
        <v>0.97</v>
      </c>
      <c r="AB213" s="21">
        <v>1.02</v>
      </c>
      <c r="AC213" s="21">
        <v>1.1499999999999999</v>
      </c>
      <c r="AD213" s="21">
        <v>1.51</v>
      </c>
      <c r="AE213" s="21">
        <v>1.37</v>
      </c>
      <c r="AF213" s="21">
        <v>1.27</v>
      </c>
      <c r="AG213" s="21">
        <v>1.31</v>
      </c>
      <c r="AH213" s="21">
        <v>1.39</v>
      </c>
      <c r="AI213" s="21">
        <v>1.54</v>
      </c>
      <c r="AJ213" s="21">
        <v>1.28</v>
      </c>
      <c r="AK213" s="21">
        <v>1.29</v>
      </c>
      <c r="AL213" s="21">
        <v>1.46</v>
      </c>
      <c r="AM213" s="21">
        <v>1.82</v>
      </c>
      <c r="AN213" s="21">
        <v>2.06</v>
      </c>
      <c r="AO213" s="21">
        <v>2.44</v>
      </c>
      <c r="AP213" s="21">
        <v>4.1100000000000003</v>
      </c>
      <c r="AQ213" s="21">
        <v>2.4</v>
      </c>
      <c r="AR213" s="21">
        <v>3.4</v>
      </c>
      <c r="AS213" s="21">
        <v>4.54</v>
      </c>
      <c r="AT213" s="21">
        <v>3.43</v>
      </c>
      <c r="AU213" s="21">
        <v>2.71</v>
      </c>
      <c r="AV213" s="21">
        <v>2.6</v>
      </c>
      <c r="AW213" s="21">
        <v>2.4</v>
      </c>
      <c r="AX213" s="21">
        <v>1.91</v>
      </c>
      <c r="AY213" s="21">
        <v>2.59</v>
      </c>
      <c r="AZ213" s="21">
        <v>3.46</v>
      </c>
      <c r="BA213" s="21">
        <v>2.87</v>
      </c>
      <c r="BB213" s="21">
        <v>2.0499999999999998</v>
      </c>
      <c r="BC213" s="21">
        <v>3.62</v>
      </c>
    </row>
    <row r="214" spans="1:55" x14ac:dyDescent="0.2">
      <c r="A214" s="21" t="s">
        <v>1413</v>
      </c>
      <c r="B214" s="21" t="s">
        <v>1414</v>
      </c>
      <c r="C214" s="21" t="s">
        <v>1007</v>
      </c>
      <c r="D214" s="21">
        <v>70.3</v>
      </c>
      <c r="E214" s="21">
        <v>97.9</v>
      </c>
      <c r="F214" s="21">
        <v>105.8</v>
      </c>
      <c r="G214" s="21">
        <v>96.2</v>
      </c>
      <c r="H214" s="21">
        <v>97</v>
      </c>
      <c r="I214" s="21">
        <v>212.6</v>
      </c>
      <c r="J214" s="21">
        <v>217.7</v>
      </c>
      <c r="K214" s="21">
        <v>339.9</v>
      </c>
      <c r="L214" s="21">
        <v>262.3</v>
      </c>
      <c r="M214" s="21">
        <v>191.4</v>
      </c>
      <c r="N214" s="21">
        <v>214.6</v>
      </c>
      <c r="O214" s="21">
        <v>570.6</v>
      </c>
      <c r="P214" s="21">
        <v>365.1</v>
      </c>
      <c r="Q214" s="21">
        <v>141.80000000000001</v>
      </c>
      <c r="R214" s="21">
        <v>217.1</v>
      </c>
      <c r="S214" s="21">
        <v>241.2</v>
      </c>
      <c r="T214" s="21">
        <v>189.9</v>
      </c>
      <c r="U214" s="21">
        <v>282.89999999999998</v>
      </c>
      <c r="V214" s="21">
        <v>283.10000000000002</v>
      </c>
      <c r="W214" s="21">
        <v>312.5</v>
      </c>
      <c r="X214" s="21">
        <v>400.1</v>
      </c>
      <c r="Y214" s="21">
        <v>311.2</v>
      </c>
      <c r="Z214" s="21">
        <v>341.5</v>
      </c>
      <c r="AA214" s="21">
        <v>188.9</v>
      </c>
      <c r="AB214" s="21">
        <v>221.2</v>
      </c>
      <c r="AC214" s="21">
        <v>245.1</v>
      </c>
      <c r="AD214" s="21">
        <v>347.2</v>
      </c>
      <c r="AE214" s="21">
        <v>279</v>
      </c>
      <c r="AF214" s="21">
        <v>412.8</v>
      </c>
      <c r="AG214" s="21">
        <v>521.1</v>
      </c>
      <c r="AH214" s="21">
        <v>356.9</v>
      </c>
      <c r="AI214" s="21">
        <v>502.3</v>
      </c>
      <c r="AJ214" s="21">
        <v>396.6</v>
      </c>
      <c r="AK214" s="21">
        <v>367.3</v>
      </c>
      <c r="AL214" s="21">
        <v>537.1</v>
      </c>
      <c r="AM214" s="21">
        <v>602.4</v>
      </c>
      <c r="AN214" s="21">
        <v>762.7</v>
      </c>
      <c r="AO214" s="21">
        <v>870.7</v>
      </c>
      <c r="AP214" s="21">
        <v>1463.1</v>
      </c>
      <c r="AQ214" s="21">
        <v>687.7</v>
      </c>
      <c r="AR214" s="21">
        <v>589.4</v>
      </c>
      <c r="AS214" s="21">
        <v>613.4</v>
      </c>
      <c r="AT214" s="21">
        <v>623.20000000000005</v>
      </c>
      <c r="AU214" s="21">
        <v>353.8</v>
      </c>
      <c r="AV214" s="21">
        <v>302.39999999999998</v>
      </c>
      <c r="AW214" s="21">
        <v>346.9</v>
      </c>
      <c r="AX214" s="21">
        <v>214.7</v>
      </c>
      <c r="AY214" s="21">
        <v>205.8</v>
      </c>
      <c r="AZ214" s="21">
        <v>325.39999999999998</v>
      </c>
      <c r="BA214" s="21">
        <v>266.89999999999998</v>
      </c>
      <c r="BB214" s="21">
        <v>122.4</v>
      </c>
      <c r="BC214" s="21">
        <v>226.4</v>
      </c>
    </row>
    <row r="215" spans="1:55" x14ac:dyDescent="0.2">
      <c r="A215" s="21" t="s">
        <v>1413</v>
      </c>
      <c r="B215" s="21" t="s">
        <v>1414</v>
      </c>
      <c r="C215" s="21" t="s">
        <v>1009</v>
      </c>
      <c r="D215" s="21">
        <v>2.31</v>
      </c>
      <c r="E215" s="21">
        <v>2.37</v>
      </c>
      <c r="F215" s="21">
        <v>2.38</v>
      </c>
      <c r="G215" s="21">
        <v>2.57</v>
      </c>
      <c r="H215" s="21">
        <v>3.7</v>
      </c>
      <c r="I215" s="21">
        <v>4.0199999999999996</v>
      </c>
      <c r="J215" s="21">
        <v>4.2</v>
      </c>
      <c r="K215" s="21">
        <v>4.47</v>
      </c>
      <c r="L215" s="21">
        <v>4.59</v>
      </c>
      <c r="M215" s="21">
        <v>6.19</v>
      </c>
      <c r="N215" s="21">
        <v>8.6</v>
      </c>
      <c r="O215" s="21">
        <v>9.83</v>
      </c>
      <c r="P215" s="21">
        <v>9.42</v>
      </c>
      <c r="Q215" s="21">
        <v>8.44</v>
      </c>
      <c r="R215" s="21">
        <v>8.26</v>
      </c>
      <c r="S215" s="21">
        <v>8.26</v>
      </c>
      <c r="T215" s="21">
        <v>6.23</v>
      </c>
      <c r="U215" s="21">
        <v>6.6</v>
      </c>
      <c r="V215" s="21">
        <v>6.58</v>
      </c>
      <c r="W215" s="21">
        <v>7.21</v>
      </c>
      <c r="X215" s="21">
        <v>8.32</v>
      </c>
      <c r="Y215" s="21">
        <v>8.0299999999999994</v>
      </c>
      <c r="Z215" s="21">
        <v>7.95</v>
      </c>
      <c r="AA215" s="21">
        <v>7.93</v>
      </c>
      <c r="AB215" s="21">
        <v>7.94</v>
      </c>
      <c r="AC215" s="21">
        <v>8.11</v>
      </c>
      <c r="AD215" s="21">
        <v>8.77</v>
      </c>
      <c r="AE215" s="21">
        <v>8.73</v>
      </c>
      <c r="AF215" s="21">
        <v>7.5</v>
      </c>
      <c r="AG215" s="21">
        <v>8.2799999999999994</v>
      </c>
      <c r="AH215" s="21">
        <v>10.76</v>
      </c>
      <c r="AI215" s="21">
        <v>10.25</v>
      </c>
      <c r="AJ215" s="21">
        <v>9.68</v>
      </c>
      <c r="AK215" s="21">
        <v>11.23</v>
      </c>
      <c r="AL215" s="21">
        <v>13.46</v>
      </c>
      <c r="AM215" s="21">
        <v>16.920000000000002</v>
      </c>
      <c r="AN215" s="21">
        <v>19.2</v>
      </c>
      <c r="AO215" s="21">
        <v>20.82</v>
      </c>
      <c r="AP215" s="21">
        <v>25.61</v>
      </c>
      <c r="AQ215" s="21">
        <v>17.88</v>
      </c>
      <c r="AR215" s="21">
        <v>21.53</v>
      </c>
      <c r="AS215" s="21">
        <v>27.53</v>
      </c>
      <c r="AT215" s="21">
        <v>28.39</v>
      </c>
      <c r="AU215" s="21">
        <v>27.73</v>
      </c>
      <c r="AV215" s="21">
        <v>26.72</v>
      </c>
      <c r="AW215" s="21">
        <v>19.149999999999999</v>
      </c>
      <c r="AX215" s="21">
        <v>16.7</v>
      </c>
      <c r="AY215" s="21">
        <v>18.91</v>
      </c>
      <c r="AZ215" s="21">
        <v>21.74</v>
      </c>
      <c r="BA215" s="21">
        <v>20.82</v>
      </c>
      <c r="BB215" s="21">
        <v>17.420000000000002</v>
      </c>
      <c r="BC215" s="21">
        <v>23.35</v>
      </c>
    </row>
    <row r="216" spans="1:55" x14ac:dyDescent="0.2">
      <c r="A216" s="21" t="s">
        <v>1413</v>
      </c>
      <c r="B216" s="21" t="s">
        <v>1414</v>
      </c>
      <c r="C216" s="21" t="s">
        <v>1011</v>
      </c>
      <c r="D216" s="21">
        <v>35330</v>
      </c>
      <c r="E216" s="21">
        <v>37768.300000000003</v>
      </c>
      <c r="F216" s="21">
        <v>40155.5</v>
      </c>
      <c r="G216" s="21">
        <v>45847.5</v>
      </c>
      <c r="H216" s="21">
        <v>64370</v>
      </c>
      <c r="I216" s="21">
        <v>70813.8</v>
      </c>
      <c r="J216" s="21">
        <v>77759.399999999994</v>
      </c>
      <c r="K216" s="21">
        <v>86047</v>
      </c>
      <c r="L216" s="21">
        <v>92003</v>
      </c>
      <c r="M216" s="21">
        <v>122688.1</v>
      </c>
      <c r="N216" s="21">
        <v>163517.1</v>
      </c>
      <c r="O216" s="21">
        <v>185018.9</v>
      </c>
      <c r="P216" s="21">
        <v>173743</v>
      </c>
      <c r="Q216" s="21">
        <v>157218.29999999999</v>
      </c>
      <c r="R216" s="21">
        <v>157431.5</v>
      </c>
      <c r="S216" s="21">
        <v>161285.1</v>
      </c>
      <c r="T216" s="21">
        <v>126115.3</v>
      </c>
      <c r="U216" s="21">
        <v>137883.9</v>
      </c>
      <c r="V216" s="21">
        <v>142463.6</v>
      </c>
      <c r="W216" s="21">
        <v>156892</v>
      </c>
      <c r="X216" s="21">
        <v>180461.6</v>
      </c>
      <c r="Y216" s="21">
        <v>172122.9</v>
      </c>
      <c r="Z216" s="21">
        <v>172864.7</v>
      </c>
      <c r="AA216" s="21">
        <v>174274.6</v>
      </c>
      <c r="AB216" s="21">
        <v>179182.4</v>
      </c>
      <c r="AC216" s="21">
        <v>186821.7</v>
      </c>
      <c r="AD216" s="21">
        <v>207355.1</v>
      </c>
      <c r="AE216" s="21">
        <v>208638.4</v>
      </c>
      <c r="AF216" s="21">
        <v>183834.4</v>
      </c>
      <c r="AG216" s="21">
        <v>208629.7</v>
      </c>
      <c r="AH216" s="21">
        <v>277647.90000000002</v>
      </c>
      <c r="AI216" s="21">
        <v>261796</v>
      </c>
      <c r="AJ216" s="21">
        <v>252328.7</v>
      </c>
      <c r="AK216" s="21">
        <v>294138.59999999998</v>
      </c>
      <c r="AL216" s="21">
        <v>365805.9</v>
      </c>
      <c r="AM216" s="21">
        <v>466520.1</v>
      </c>
      <c r="AN216" s="21">
        <v>537408.5</v>
      </c>
      <c r="AO216" s="21">
        <v>584130.19999999995</v>
      </c>
      <c r="AP216" s="21">
        <v>682713.8</v>
      </c>
      <c r="AQ216" s="21">
        <v>462218</v>
      </c>
      <c r="AR216" s="21">
        <v>564372.30000000005</v>
      </c>
      <c r="AS216" s="21">
        <v>710698.2</v>
      </c>
      <c r="AT216" s="21">
        <v>718265</v>
      </c>
      <c r="AU216" s="21">
        <v>712051.9</v>
      </c>
      <c r="AV216" s="21">
        <v>696540.9</v>
      </c>
      <c r="AW216" s="21">
        <v>506836.8</v>
      </c>
      <c r="AX216" s="21">
        <v>451024.5</v>
      </c>
      <c r="AY216" s="21">
        <v>514228.3</v>
      </c>
      <c r="AZ216" s="21">
        <v>597547.19999999995</v>
      </c>
      <c r="BA216" s="21">
        <v>571729.9</v>
      </c>
      <c r="BB216" s="21">
        <v>404876.79999999999</v>
      </c>
      <c r="BC216" s="21">
        <v>603437.1</v>
      </c>
    </row>
    <row r="217" spans="1:55" x14ac:dyDescent="0.2">
      <c r="A217" s="21" t="s">
        <v>1413</v>
      </c>
      <c r="B217" s="21" t="s">
        <v>1414</v>
      </c>
      <c r="C217" s="21" t="s">
        <v>1013</v>
      </c>
      <c r="D217" s="21">
        <v>15317464</v>
      </c>
      <c r="E217" s="21">
        <v>15928826</v>
      </c>
      <c r="F217" s="21">
        <v>16895391</v>
      </c>
      <c r="G217" s="21">
        <v>17834561</v>
      </c>
      <c r="H217" s="21">
        <v>17402399</v>
      </c>
      <c r="I217" s="21">
        <v>17615931</v>
      </c>
      <c r="J217" s="21">
        <v>18507999</v>
      </c>
      <c r="K217" s="21">
        <v>19243493</v>
      </c>
      <c r="L217" s="21">
        <v>20043894</v>
      </c>
      <c r="M217" s="21">
        <v>19825499</v>
      </c>
      <c r="N217" s="21">
        <v>19009268</v>
      </c>
      <c r="O217" s="21">
        <v>18819270</v>
      </c>
      <c r="P217" s="21">
        <v>18440004</v>
      </c>
      <c r="Q217" s="21">
        <v>18628762</v>
      </c>
      <c r="R217" s="21">
        <v>19063715</v>
      </c>
      <c r="S217" s="21">
        <v>19521892</v>
      </c>
      <c r="T217" s="21">
        <v>20240598</v>
      </c>
      <c r="U217" s="21">
        <v>20883264</v>
      </c>
      <c r="V217" s="21">
        <v>21634624</v>
      </c>
      <c r="W217" s="21">
        <v>21775047</v>
      </c>
      <c r="X217" s="21">
        <v>21686462</v>
      </c>
      <c r="Y217" s="21">
        <v>21444587</v>
      </c>
      <c r="Z217" s="21">
        <v>21756399</v>
      </c>
      <c r="AA217" s="21">
        <v>21979117</v>
      </c>
      <c r="AB217" s="21">
        <v>22561212</v>
      </c>
      <c r="AC217" s="21">
        <v>23040510</v>
      </c>
      <c r="AD217" s="21">
        <v>23636161</v>
      </c>
      <c r="AE217" s="21">
        <v>23899198</v>
      </c>
      <c r="AF217" s="21">
        <v>24516148</v>
      </c>
      <c r="AG217" s="21">
        <v>25198642</v>
      </c>
      <c r="AH217" s="21">
        <v>25800323</v>
      </c>
      <c r="AI217" s="21">
        <v>25538792</v>
      </c>
      <c r="AJ217" s="21">
        <v>26066219</v>
      </c>
      <c r="AK217" s="21">
        <v>26202823</v>
      </c>
      <c r="AL217" s="21">
        <v>27171240</v>
      </c>
      <c r="AM217" s="21">
        <v>27576494</v>
      </c>
      <c r="AN217" s="21">
        <v>27996020</v>
      </c>
      <c r="AO217" s="21">
        <v>28059561</v>
      </c>
      <c r="AP217" s="21">
        <v>26657002</v>
      </c>
      <c r="AQ217" s="21">
        <v>25845981</v>
      </c>
      <c r="AR217" s="21">
        <v>26216761</v>
      </c>
      <c r="AS217" s="21">
        <v>25813189</v>
      </c>
      <c r="AT217" s="21">
        <v>25300527</v>
      </c>
      <c r="AU217" s="21">
        <v>25680419</v>
      </c>
      <c r="AV217" s="21">
        <v>26071154</v>
      </c>
      <c r="AW217" s="21">
        <v>26465069</v>
      </c>
      <c r="AX217" s="21">
        <v>27006598</v>
      </c>
      <c r="AY217" s="21">
        <v>27200379</v>
      </c>
      <c r="AZ217" s="21">
        <v>27489164</v>
      </c>
      <c r="BA217" s="21">
        <v>27462284</v>
      </c>
      <c r="BB217" s="21">
        <v>23246364</v>
      </c>
      <c r="BC217" s="21">
        <v>25840440</v>
      </c>
    </row>
    <row r="218" spans="1:55" x14ac:dyDescent="0.2">
      <c r="A218" s="21" t="s">
        <v>1413</v>
      </c>
      <c r="B218" s="21" t="s">
        <v>1414</v>
      </c>
      <c r="C218" s="21" t="s">
        <v>1015</v>
      </c>
      <c r="D218" s="21">
        <v>0.8</v>
      </c>
      <c r="E218" s="21">
        <v>0.87</v>
      </c>
      <c r="F218" s="21">
        <v>0.91</v>
      </c>
      <c r="G218" s="21">
        <v>1</v>
      </c>
      <c r="H218" s="21">
        <v>1.46</v>
      </c>
      <c r="I218" s="21">
        <v>1.68</v>
      </c>
      <c r="J218" s="21">
        <v>1.9</v>
      </c>
      <c r="K218" s="21">
        <v>2.2799999999999998</v>
      </c>
      <c r="L218" s="21">
        <v>2.42</v>
      </c>
      <c r="M218" s="21">
        <v>3.1</v>
      </c>
      <c r="N218" s="21">
        <v>4.01</v>
      </c>
      <c r="O218" s="21">
        <v>4.72</v>
      </c>
      <c r="P218" s="21">
        <v>5.0999999999999996</v>
      </c>
      <c r="Q218" s="21">
        <v>5.59</v>
      </c>
      <c r="R218" s="21">
        <v>5.58</v>
      </c>
      <c r="S218" s="21">
        <v>5.53</v>
      </c>
      <c r="T218" s="21">
        <v>4.66</v>
      </c>
      <c r="U218" s="21">
        <v>4.57</v>
      </c>
      <c r="V218" s="21">
        <v>4.41</v>
      </c>
      <c r="W218" s="21">
        <v>4.63</v>
      </c>
      <c r="X218" s="21">
        <v>4.93</v>
      </c>
      <c r="Y218" s="21">
        <v>4.8</v>
      </c>
      <c r="Z218" s="21">
        <v>4.7699999999999996</v>
      </c>
      <c r="AA218" s="21">
        <v>4.97</v>
      </c>
      <c r="AB218" s="21">
        <v>5.14</v>
      </c>
      <c r="AC218" s="21">
        <v>4.8499999999999996</v>
      </c>
      <c r="AD218" s="21">
        <v>5.29</v>
      </c>
      <c r="AE218" s="21">
        <v>5.58</v>
      </c>
      <c r="AF218" s="21">
        <v>5.19</v>
      </c>
      <c r="AG218" s="21">
        <v>5.14</v>
      </c>
      <c r="AH218" s="21">
        <v>6.73</v>
      </c>
      <c r="AI218" s="21">
        <v>8.0299999999999994</v>
      </c>
      <c r="AJ218" s="21">
        <v>6.46</v>
      </c>
      <c r="AK218" s="21">
        <v>7.99</v>
      </c>
      <c r="AL218" s="21">
        <v>9.1199999999999992</v>
      </c>
      <c r="AM218" s="21">
        <v>11.17</v>
      </c>
      <c r="AN218" s="21">
        <v>12.11</v>
      </c>
      <c r="AO218" s="21">
        <v>11.86</v>
      </c>
      <c r="AP218" s="21">
        <v>13.5</v>
      </c>
      <c r="AQ218" s="21">
        <v>10.5</v>
      </c>
      <c r="AR218" s="21">
        <v>10.65</v>
      </c>
      <c r="AS218" s="21">
        <v>11.17</v>
      </c>
      <c r="AT218" s="21">
        <v>10.37</v>
      </c>
      <c r="AU218" s="21">
        <v>10.07</v>
      </c>
      <c r="AV218" s="21">
        <v>10.61</v>
      </c>
      <c r="AW218" s="21">
        <v>9.51</v>
      </c>
      <c r="AX218" s="21">
        <v>8.6199999999999992</v>
      </c>
      <c r="AY218" s="21">
        <v>9.5500000000000007</v>
      </c>
      <c r="AZ218" s="21">
        <v>9.86</v>
      </c>
      <c r="BA218" s="21">
        <v>9.5</v>
      </c>
      <c r="BB218" s="21">
        <v>8.84</v>
      </c>
      <c r="BC218" s="21">
        <v>11.23</v>
      </c>
    </row>
    <row r="219" spans="1:55" x14ac:dyDescent="0.2">
      <c r="A219" s="21" t="s">
        <v>1413</v>
      </c>
      <c r="B219" s="21" t="s">
        <v>1414</v>
      </c>
      <c r="C219" s="21" t="s">
        <v>1017</v>
      </c>
      <c r="D219" s="21">
        <v>3358.2</v>
      </c>
      <c r="E219" s="21">
        <v>3720.6</v>
      </c>
      <c r="F219" s="21">
        <v>4020.8</v>
      </c>
      <c r="G219" s="21">
        <v>4442.2</v>
      </c>
      <c r="H219" s="21">
        <v>6205.9</v>
      </c>
      <c r="I219" s="21">
        <v>6798.8</v>
      </c>
      <c r="J219" s="21">
        <v>8298.4</v>
      </c>
      <c r="K219" s="21">
        <v>9702</v>
      </c>
      <c r="L219" s="21">
        <v>10396.4</v>
      </c>
      <c r="M219" s="21">
        <v>13510.6</v>
      </c>
      <c r="N219" s="21">
        <v>16463</v>
      </c>
      <c r="O219" s="21">
        <v>18145.099999999999</v>
      </c>
      <c r="P219" s="21">
        <v>19743.3</v>
      </c>
      <c r="Q219" s="21">
        <v>21498.799999999999</v>
      </c>
      <c r="R219" s="21">
        <v>22283.9</v>
      </c>
      <c r="S219" s="21">
        <v>20627.599999999999</v>
      </c>
      <c r="T219" s="21">
        <v>17183.8</v>
      </c>
      <c r="U219" s="21">
        <v>17195.900000000001</v>
      </c>
      <c r="V219" s="21">
        <v>17554.599999999999</v>
      </c>
      <c r="W219" s="21">
        <v>18446.900000000001</v>
      </c>
      <c r="X219" s="21">
        <v>18975.7</v>
      </c>
      <c r="Y219" s="21">
        <v>18688.400000000001</v>
      </c>
      <c r="Z219" s="21">
        <v>18770.900000000001</v>
      </c>
      <c r="AA219" s="21">
        <v>19467.2</v>
      </c>
      <c r="AB219" s="21">
        <v>20370.099999999999</v>
      </c>
      <c r="AC219" s="21">
        <v>19623</v>
      </c>
      <c r="AD219" s="21">
        <v>22290.6</v>
      </c>
      <c r="AE219" s="21">
        <v>23603.4</v>
      </c>
      <c r="AF219" s="21">
        <v>20490.3</v>
      </c>
      <c r="AG219" s="21">
        <v>20537.400000000001</v>
      </c>
      <c r="AH219" s="21">
        <v>28291.5</v>
      </c>
      <c r="AI219" s="21">
        <v>32385.5</v>
      </c>
      <c r="AJ219" s="21">
        <v>26399.1</v>
      </c>
      <c r="AK219" s="21">
        <v>33976.199999999997</v>
      </c>
      <c r="AL219" s="21">
        <v>38141.9</v>
      </c>
      <c r="AM219" s="21">
        <v>44635.1</v>
      </c>
      <c r="AN219" s="21">
        <v>44712</v>
      </c>
      <c r="AO219" s="21">
        <v>45889.3</v>
      </c>
      <c r="AP219" s="21">
        <v>54507.199999999997</v>
      </c>
      <c r="AQ219" s="21">
        <v>41933.800000000003</v>
      </c>
      <c r="AR219" s="21">
        <v>42108.2</v>
      </c>
      <c r="AS219" s="21">
        <v>44547.6</v>
      </c>
      <c r="AT219" s="21">
        <v>37796.300000000003</v>
      </c>
      <c r="AU219" s="21">
        <v>40995.699999999997</v>
      </c>
      <c r="AV219" s="21">
        <v>45466.5</v>
      </c>
      <c r="AW219" s="21">
        <v>41189</v>
      </c>
      <c r="AX219" s="21">
        <v>36242</v>
      </c>
      <c r="AY219" s="21">
        <v>40524.400000000001</v>
      </c>
      <c r="AZ219" s="21">
        <v>45666.8</v>
      </c>
      <c r="BA219" s="21">
        <v>44075.7</v>
      </c>
      <c r="BB219" s="21">
        <v>37518.5</v>
      </c>
      <c r="BC219" s="21">
        <v>49994</v>
      </c>
    </row>
    <row r="220" spans="1:55" x14ac:dyDescent="0.2">
      <c r="A220" s="21" t="s">
        <v>1413</v>
      </c>
      <c r="B220" s="21" t="s">
        <v>1414</v>
      </c>
      <c r="C220" s="21" t="s">
        <v>1019</v>
      </c>
      <c r="D220" s="21">
        <v>4211502</v>
      </c>
      <c r="E220" s="21">
        <v>4299337</v>
      </c>
      <c r="F220" s="21">
        <v>4401610</v>
      </c>
      <c r="G220" s="21">
        <v>4428698</v>
      </c>
      <c r="H220" s="21">
        <v>4250472</v>
      </c>
      <c r="I220" s="21">
        <v>4050153</v>
      </c>
      <c r="J220" s="21">
        <v>4363096</v>
      </c>
      <c r="K220" s="21">
        <v>4249261</v>
      </c>
      <c r="L220" s="21">
        <v>4299804</v>
      </c>
      <c r="M220" s="21">
        <v>4355155</v>
      </c>
      <c r="N220" s="21">
        <v>4106178</v>
      </c>
      <c r="O220" s="21">
        <v>3841945</v>
      </c>
      <c r="P220" s="21">
        <v>3869282</v>
      </c>
      <c r="Q220" s="21">
        <v>3842519</v>
      </c>
      <c r="R220" s="21">
        <v>3996158</v>
      </c>
      <c r="S220" s="21">
        <v>3730125</v>
      </c>
      <c r="T220" s="21">
        <v>3688121</v>
      </c>
      <c r="U220" s="21">
        <v>3765260</v>
      </c>
      <c r="V220" s="21">
        <v>3983260</v>
      </c>
      <c r="W220" s="21">
        <v>3982139</v>
      </c>
      <c r="X220" s="21">
        <v>3847697</v>
      </c>
      <c r="Y220" s="21">
        <v>3892374</v>
      </c>
      <c r="Z220" s="21">
        <v>3931633</v>
      </c>
      <c r="AA220" s="21">
        <v>3920036</v>
      </c>
      <c r="AB220" s="21">
        <v>3959634</v>
      </c>
      <c r="AC220" s="21">
        <v>4048798</v>
      </c>
      <c r="AD220" s="21">
        <v>4212295</v>
      </c>
      <c r="AE220" s="21">
        <v>4228981</v>
      </c>
      <c r="AF220" s="21">
        <v>3947432</v>
      </c>
      <c r="AG220" s="21">
        <v>3995430</v>
      </c>
      <c r="AH220" s="21">
        <v>4206054</v>
      </c>
      <c r="AI220" s="21">
        <v>4031450</v>
      </c>
      <c r="AJ220" s="21">
        <v>4087892</v>
      </c>
      <c r="AK220" s="21">
        <v>4250757</v>
      </c>
      <c r="AL220" s="21">
        <v>4182578</v>
      </c>
      <c r="AM220" s="21">
        <v>3996125</v>
      </c>
      <c r="AN220" s="21">
        <v>3690650</v>
      </c>
      <c r="AO220" s="21">
        <v>3868823</v>
      </c>
      <c r="AP220" s="21">
        <v>4037743</v>
      </c>
      <c r="AQ220" s="21">
        <v>3993749</v>
      </c>
      <c r="AR220" s="21">
        <v>3954028</v>
      </c>
      <c r="AS220" s="21">
        <v>3989012</v>
      </c>
      <c r="AT220" s="21">
        <v>3645435</v>
      </c>
      <c r="AU220" s="21">
        <v>4069890</v>
      </c>
      <c r="AV220" s="21">
        <v>4286610</v>
      </c>
      <c r="AW220" s="21">
        <v>4331066</v>
      </c>
      <c r="AX220" s="21">
        <v>4202862</v>
      </c>
      <c r="AY220" s="21">
        <v>4242475</v>
      </c>
      <c r="AZ220" s="21">
        <v>4629563</v>
      </c>
      <c r="BA220" s="21">
        <v>4638367</v>
      </c>
      <c r="BB220" s="21">
        <v>4246043</v>
      </c>
      <c r="BC220" s="21">
        <v>4450837</v>
      </c>
    </row>
    <row r="221" spans="1:55" x14ac:dyDescent="0.2">
      <c r="A221" s="21" t="s">
        <v>1413</v>
      </c>
      <c r="B221" s="21" t="s">
        <v>1414</v>
      </c>
      <c r="C221" s="21" t="s">
        <v>1021</v>
      </c>
      <c r="D221" s="21">
        <v>0.32</v>
      </c>
      <c r="E221" s="21">
        <v>0.38</v>
      </c>
      <c r="F221" s="21">
        <v>0.42</v>
      </c>
      <c r="G221" s="21">
        <v>0.47</v>
      </c>
      <c r="H221" s="21">
        <v>0.87</v>
      </c>
      <c r="I221" s="21">
        <v>0.97</v>
      </c>
      <c r="J221" s="21">
        <v>1.03</v>
      </c>
      <c r="K221" s="21">
        <v>1.17</v>
      </c>
      <c r="L221" s="21">
        <v>1.27</v>
      </c>
      <c r="M221" s="21">
        <v>1.5</v>
      </c>
      <c r="N221" s="21">
        <v>1.77</v>
      </c>
      <c r="O221" s="21">
        <v>2.04</v>
      </c>
      <c r="P221" s="21">
        <v>2.0499999999999998</v>
      </c>
      <c r="Q221" s="21">
        <v>2.02</v>
      </c>
      <c r="R221" s="21">
        <v>2.02</v>
      </c>
      <c r="S221" s="21">
        <v>1.91</v>
      </c>
      <c r="T221" s="21">
        <v>1.6</v>
      </c>
      <c r="U221" s="21">
        <v>1.57</v>
      </c>
      <c r="V221" s="21">
        <v>1.49</v>
      </c>
      <c r="W221" s="21">
        <v>1.51</v>
      </c>
      <c r="X221" s="21">
        <v>1.48</v>
      </c>
      <c r="Y221" s="21">
        <v>1.4</v>
      </c>
      <c r="Z221" s="21">
        <v>1.38</v>
      </c>
      <c r="AA221" s="21">
        <v>1.4</v>
      </c>
      <c r="AB221" s="21">
        <v>1.36</v>
      </c>
      <c r="AC221" s="21">
        <v>1.29</v>
      </c>
      <c r="AD221" s="21">
        <v>1.35</v>
      </c>
      <c r="AE221" s="21">
        <v>1.38</v>
      </c>
      <c r="AF221" s="21">
        <v>1.32</v>
      </c>
      <c r="AG221" s="21">
        <v>1.33</v>
      </c>
      <c r="AH221" s="21">
        <v>1.71</v>
      </c>
      <c r="AI221" s="21">
        <v>1.85</v>
      </c>
      <c r="AJ221" s="21">
        <v>1.54</v>
      </c>
      <c r="AK221" s="21">
        <v>1.84</v>
      </c>
      <c r="AL221" s="21">
        <v>2</v>
      </c>
      <c r="AM221" s="21">
        <v>2.61</v>
      </c>
      <c r="AN221" s="21">
        <v>2.48</v>
      </c>
      <c r="AO221" s="21">
        <v>2.68</v>
      </c>
      <c r="AP221" s="21">
        <v>3.21</v>
      </c>
      <c r="AQ221" s="21">
        <v>2.4500000000000002</v>
      </c>
      <c r="AR221" s="21">
        <v>2.63</v>
      </c>
      <c r="AS221" s="21">
        <v>2.65</v>
      </c>
      <c r="AT221" s="21">
        <v>2.41</v>
      </c>
      <c r="AU221" s="21">
        <v>2.62</v>
      </c>
      <c r="AV221" s="21">
        <v>2.8</v>
      </c>
      <c r="AW221" s="21">
        <v>2.2799999999999998</v>
      </c>
      <c r="AX221" s="21">
        <v>2.09</v>
      </c>
      <c r="AY221" s="21">
        <v>2.21</v>
      </c>
      <c r="AZ221" s="21">
        <v>2.33</v>
      </c>
      <c r="BA221" s="21">
        <v>2.08</v>
      </c>
      <c r="BB221" s="21">
        <v>1.84</v>
      </c>
      <c r="BC221" s="21">
        <v>3</v>
      </c>
    </row>
    <row r="222" spans="1:55" x14ac:dyDescent="0.2">
      <c r="A222" s="21" t="s">
        <v>1413</v>
      </c>
      <c r="B222" s="21" t="s">
        <v>1414</v>
      </c>
      <c r="C222" s="21" t="s">
        <v>1023</v>
      </c>
      <c r="D222" s="21">
        <v>4356.5</v>
      </c>
      <c r="E222" s="21">
        <v>5490.9</v>
      </c>
      <c r="F222" s="21">
        <v>6551.1</v>
      </c>
      <c r="G222" s="21">
        <v>7951.9</v>
      </c>
      <c r="H222" s="21">
        <v>14557.8</v>
      </c>
      <c r="I222" s="21">
        <v>16545.5</v>
      </c>
      <c r="J222" s="21">
        <v>19078.400000000001</v>
      </c>
      <c r="K222" s="21">
        <v>23715.5</v>
      </c>
      <c r="L222" s="21">
        <v>26125.4</v>
      </c>
      <c r="M222" s="21">
        <v>31471.599999999999</v>
      </c>
      <c r="N222" s="21">
        <v>38027.1</v>
      </c>
      <c r="O222" s="21">
        <v>44273.7</v>
      </c>
      <c r="P222" s="21">
        <v>42354</v>
      </c>
      <c r="Q222" s="21">
        <v>42565.9</v>
      </c>
      <c r="R222" s="21">
        <v>44686</v>
      </c>
      <c r="S222" s="21">
        <v>43969.8</v>
      </c>
      <c r="T222" s="21">
        <v>37016.199999999997</v>
      </c>
      <c r="U222" s="21">
        <v>38182</v>
      </c>
      <c r="V222" s="21">
        <v>38552.5</v>
      </c>
      <c r="W222" s="21">
        <v>40829.4</v>
      </c>
      <c r="X222" s="21">
        <v>40626.5</v>
      </c>
      <c r="Y222" s="21">
        <v>38752.300000000003</v>
      </c>
      <c r="Z222" s="21">
        <v>38662.800000000003</v>
      </c>
      <c r="AA222" s="21">
        <v>40316.5</v>
      </c>
      <c r="AB222" s="21">
        <v>40351.1</v>
      </c>
      <c r="AC222" s="21">
        <v>39072.5</v>
      </c>
      <c r="AD222" s="21">
        <v>41651.9</v>
      </c>
      <c r="AE222" s="21">
        <v>42946.7</v>
      </c>
      <c r="AF222" s="21">
        <v>43310.5</v>
      </c>
      <c r="AG222" s="21">
        <v>44688</v>
      </c>
      <c r="AH222" s="21">
        <v>60053.2</v>
      </c>
      <c r="AI222" s="21">
        <v>64671.4</v>
      </c>
      <c r="AJ222" s="21">
        <v>54228.800000000003</v>
      </c>
      <c r="AK222" s="21">
        <v>64672.1</v>
      </c>
      <c r="AL222" s="21">
        <v>71700.7</v>
      </c>
      <c r="AM222" s="21">
        <v>95915.7</v>
      </c>
      <c r="AN222" s="21">
        <v>90074.1</v>
      </c>
      <c r="AO222" s="21">
        <v>100682.8</v>
      </c>
      <c r="AP222" s="21">
        <v>118529.60000000001</v>
      </c>
      <c r="AQ222" s="21">
        <v>84813.1</v>
      </c>
      <c r="AR222" s="21">
        <v>94791.4</v>
      </c>
      <c r="AS222" s="21">
        <v>92729</v>
      </c>
      <c r="AT222" s="21">
        <v>82168</v>
      </c>
      <c r="AU222" s="21">
        <v>89112.3</v>
      </c>
      <c r="AV222" s="21">
        <v>95827.199999999997</v>
      </c>
      <c r="AW222" s="21">
        <v>76352.3</v>
      </c>
      <c r="AX222" s="21">
        <v>68513.899999999994</v>
      </c>
      <c r="AY222" s="21">
        <v>69714</v>
      </c>
      <c r="AZ222" s="21">
        <v>75639.5</v>
      </c>
      <c r="BA222" s="21">
        <v>64875.6</v>
      </c>
      <c r="BB222" s="21">
        <v>53985.2</v>
      </c>
      <c r="BC222" s="21">
        <v>90257.1</v>
      </c>
    </row>
    <row r="223" spans="1:55" x14ac:dyDescent="0.2">
      <c r="A223" s="21" t="s">
        <v>1413</v>
      </c>
      <c r="B223" s="21" t="s">
        <v>1414</v>
      </c>
      <c r="C223" s="21" t="s">
        <v>1025</v>
      </c>
      <c r="D223" s="21">
        <v>0.62</v>
      </c>
      <c r="E223" s="21">
        <v>0.68</v>
      </c>
      <c r="F223" s="21">
        <v>0.72</v>
      </c>
      <c r="G223" s="21">
        <v>0.8</v>
      </c>
      <c r="H223" s="21">
        <v>1.39</v>
      </c>
      <c r="I223" s="21">
        <v>1.68</v>
      </c>
      <c r="J223" s="21">
        <v>1.85</v>
      </c>
      <c r="K223" s="21">
        <v>2.12</v>
      </c>
      <c r="L223" s="21">
        <v>2.27</v>
      </c>
      <c r="M223" s="21">
        <v>2.85</v>
      </c>
      <c r="N223" s="21">
        <v>3.78</v>
      </c>
      <c r="O223" s="21">
        <v>4.41</v>
      </c>
      <c r="P223" s="21">
        <v>4.67</v>
      </c>
      <c r="Q223" s="21">
        <v>4.72</v>
      </c>
      <c r="R223" s="21">
        <v>4.6900000000000004</v>
      </c>
      <c r="S223" s="21">
        <v>4.47</v>
      </c>
      <c r="T223" s="21">
        <v>3.67</v>
      </c>
      <c r="U223" s="21">
        <v>3.55</v>
      </c>
      <c r="V223" s="21">
        <v>3.39</v>
      </c>
      <c r="W223" s="21">
        <v>3.31</v>
      </c>
      <c r="X223" s="21">
        <v>3.66</v>
      </c>
      <c r="Y223" s="21">
        <v>3.54</v>
      </c>
      <c r="Z223" s="21">
        <v>3.47</v>
      </c>
      <c r="AA223" s="21">
        <v>3.5</v>
      </c>
      <c r="AB223" s="21">
        <v>3.53</v>
      </c>
      <c r="AC223" s="21">
        <v>3.42</v>
      </c>
      <c r="AD223" s="21">
        <v>3.94</v>
      </c>
      <c r="AE223" s="21">
        <v>3.95</v>
      </c>
      <c r="AF223" s="21">
        <v>3.39</v>
      </c>
      <c r="AG223" s="21">
        <v>3.71</v>
      </c>
      <c r="AH223" s="21">
        <v>5.12</v>
      </c>
      <c r="AI223" s="21">
        <v>5.45</v>
      </c>
      <c r="AJ223" s="21">
        <v>4.87</v>
      </c>
      <c r="AK223" s="21">
        <v>6.05</v>
      </c>
      <c r="AL223" s="21">
        <v>7.19</v>
      </c>
      <c r="AM223" s="21">
        <v>9.14</v>
      </c>
      <c r="AN223" s="21">
        <v>10.1</v>
      </c>
      <c r="AO223" s="21">
        <v>10.6</v>
      </c>
      <c r="AP223" s="21">
        <v>13.27</v>
      </c>
      <c r="AQ223" s="21">
        <v>9.4600000000000009</v>
      </c>
      <c r="AR223" s="21">
        <v>10.52</v>
      </c>
      <c r="AS223" s="21">
        <v>12.32</v>
      </c>
      <c r="AT223" s="21">
        <v>10.91</v>
      </c>
      <c r="AU223" s="21">
        <v>10.94</v>
      </c>
      <c r="AV223" s="21">
        <v>11.05</v>
      </c>
      <c r="AW223" s="21">
        <v>7.75</v>
      </c>
      <c r="AX223" s="21">
        <v>6.81</v>
      </c>
      <c r="AY223" s="21">
        <v>7.89</v>
      </c>
      <c r="AZ223" s="21">
        <v>8.7799999999999994</v>
      </c>
      <c r="BA223" s="21">
        <v>7.93</v>
      </c>
      <c r="BB223" s="21">
        <v>6.6</v>
      </c>
      <c r="BC223" s="21">
        <v>9.76</v>
      </c>
    </row>
    <row r="224" spans="1:55" x14ac:dyDescent="0.2">
      <c r="A224" s="21" t="s">
        <v>1413</v>
      </c>
      <c r="B224" s="21" t="s">
        <v>1414</v>
      </c>
      <c r="C224" s="21" t="s">
        <v>1027</v>
      </c>
      <c r="D224" s="21">
        <v>11081.4</v>
      </c>
      <c r="E224" s="21">
        <v>12002.6</v>
      </c>
      <c r="F224" s="21">
        <v>13121.1</v>
      </c>
      <c r="G224" s="21">
        <v>15511.6</v>
      </c>
      <c r="H224" s="21">
        <v>25668.9</v>
      </c>
      <c r="I224" s="21">
        <v>27367</v>
      </c>
      <c r="J224" s="21">
        <v>31821.1</v>
      </c>
      <c r="K224" s="21">
        <v>37059.699999999997</v>
      </c>
      <c r="L224" s="21">
        <v>39933.699999999997</v>
      </c>
      <c r="M224" s="21">
        <v>52856</v>
      </c>
      <c r="N224" s="21">
        <v>65452.800000000003</v>
      </c>
      <c r="O224" s="21">
        <v>74573.8</v>
      </c>
      <c r="P224" s="21">
        <v>68138.600000000006</v>
      </c>
      <c r="Q224" s="21">
        <v>65275.8</v>
      </c>
      <c r="R224" s="21">
        <v>71293.399999999994</v>
      </c>
      <c r="S224" s="21">
        <v>66246.5</v>
      </c>
      <c r="T224" s="21">
        <v>52599.199999999997</v>
      </c>
      <c r="U224" s="21">
        <v>52541.5</v>
      </c>
      <c r="V224" s="21">
        <v>52369.1</v>
      </c>
      <c r="W224" s="21">
        <v>54065.1</v>
      </c>
      <c r="X224" s="21">
        <v>59992.9</v>
      </c>
      <c r="Y224" s="21">
        <v>57684.6</v>
      </c>
      <c r="Z224" s="21">
        <v>58753.7</v>
      </c>
      <c r="AA224" s="21">
        <v>59669.4</v>
      </c>
      <c r="AB224" s="21">
        <v>62062.9</v>
      </c>
      <c r="AC224" s="21">
        <v>61950.5</v>
      </c>
      <c r="AD224" s="21">
        <v>72704.7</v>
      </c>
      <c r="AE224" s="21">
        <v>74379.199999999997</v>
      </c>
      <c r="AF224" s="21">
        <v>62355</v>
      </c>
      <c r="AG224" s="21">
        <v>67530.399999999994</v>
      </c>
      <c r="AH224" s="21">
        <v>93104.4</v>
      </c>
      <c r="AI224" s="21">
        <v>92494.5</v>
      </c>
      <c r="AJ224" s="21">
        <v>83929.600000000006</v>
      </c>
      <c r="AK224" s="21">
        <v>101554.6</v>
      </c>
      <c r="AL224" s="21">
        <v>125626.2</v>
      </c>
      <c r="AM224" s="21">
        <v>151995.29999999999</v>
      </c>
      <c r="AN224" s="21">
        <v>168076.1</v>
      </c>
      <c r="AO224" s="21">
        <v>173274.9</v>
      </c>
      <c r="AP224" s="21">
        <v>206920</v>
      </c>
      <c r="AQ224" s="21">
        <v>128217.9</v>
      </c>
      <c r="AR224" s="21">
        <v>158890.5</v>
      </c>
      <c r="AS224" s="21">
        <v>186735.4</v>
      </c>
      <c r="AT224" s="21">
        <v>167347</v>
      </c>
      <c r="AU224" s="21">
        <v>171957</v>
      </c>
      <c r="AV224" s="21">
        <v>175016.9</v>
      </c>
      <c r="AW224" s="21">
        <v>121656.3</v>
      </c>
      <c r="AX224" s="21">
        <v>106577.1</v>
      </c>
      <c r="AY224" s="21">
        <v>125956.1</v>
      </c>
      <c r="AZ224" s="21">
        <v>147387.70000000001</v>
      </c>
      <c r="BA224" s="21">
        <v>132507.29999999999</v>
      </c>
      <c r="BB224" s="21">
        <v>105861.4</v>
      </c>
      <c r="BC224" s="21">
        <v>162956.4</v>
      </c>
    </row>
    <row r="225" spans="1:55" x14ac:dyDescent="0.2">
      <c r="A225" s="21" t="s">
        <v>1413</v>
      </c>
      <c r="B225" s="21" t="s">
        <v>1414</v>
      </c>
      <c r="C225" s="21" t="s">
        <v>1029</v>
      </c>
      <c r="D225" s="21">
        <v>17998549</v>
      </c>
      <c r="E225" s="21">
        <v>17748596</v>
      </c>
      <c r="F225" s="21">
        <v>18327300</v>
      </c>
      <c r="G225" s="21">
        <v>19336423</v>
      </c>
      <c r="H225" s="21">
        <v>18411966</v>
      </c>
      <c r="I225" s="21">
        <v>16336087</v>
      </c>
      <c r="J225" s="21">
        <v>17181063</v>
      </c>
      <c r="K225" s="21">
        <v>17520762</v>
      </c>
      <c r="L225" s="21">
        <v>17604141</v>
      </c>
      <c r="M225" s="21">
        <v>18537525</v>
      </c>
      <c r="N225" s="21">
        <v>17313548</v>
      </c>
      <c r="O225" s="21">
        <v>16913691</v>
      </c>
      <c r="P225" s="21">
        <v>14583193</v>
      </c>
      <c r="Q225" s="21">
        <v>13835923</v>
      </c>
      <c r="R225" s="21">
        <v>15193727</v>
      </c>
      <c r="S225" s="21">
        <v>14810058</v>
      </c>
      <c r="T225" s="21">
        <v>14317508</v>
      </c>
      <c r="U225" s="21">
        <v>14784556</v>
      </c>
      <c r="V225" s="21">
        <v>15466309</v>
      </c>
      <c r="W225" s="21">
        <v>16344833</v>
      </c>
      <c r="X225" s="21">
        <v>16387262</v>
      </c>
      <c r="Y225" s="21">
        <v>16300477</v>
      </c>
      <c r="Z225" s="21">
        <v>16911552</v>
      </c>
      <c r="AA225" s="21">
        <v>17029258</v>
      </c>
      <c r="AB225" s="21">
        <v>17570602</v>
      </c>
      <c r="AC225" s="21">
        <v>18121330</v>
      </c>
      <c r="AD225" s="21">
        <v>18437799</v>
      </c>
      <c r="AE225" s="21">
        <v>18821176</v>
      </c>
      <c r="AF225" s="21">
        <v>18372294</v>
      </c>
      <c r="AG225" s="21">
        <v>18223407</v>
      </c>
      <c r="AH225" s="21">
        <v>18178531</v>
      </c>
      <c r="AI225" s="21">
        <v>16969537</v>
      </c>
      <c r="AJ225" s="21">
        <v>17232011</v>
      </c>
      <c r="AK225" s="21">
        <v>16795245</v>
      </c>
      <c r="AL225" s="21">
        <v>17471827</v>
      </c>
      <c r="AM225" s="21">
        <v>16627714</v>
      </c>
      <c r="AN225" s="21">
        <v>16640152</v>
      </c>
      <c r="AO225" s="21">
        <v>16349793</v>
      </c>
      <c r="AP225" s="21">
        <v>15591637</v>
      </c>
      <c r="AQ225" s="21">
        <v>13557849</v>
      </c>
      <c r="AR225" s="21">
        <v>15105267</v>
      </c>
      <c r="AS225" s="21">
        <v>15162516</v>
      </c>
      <c r="AT225" s="21">
        <v>15333179</v>
      </c>
      <c r="AU225" s="21">
        <v>15712636</v>
      </c>
      <c r="AV225" s="21">
        <v>15834583</v>
      </c>
      <c r="AW225" s="21">
        <v>15706391</v>
      </c>
      <c r="AX225" s="21">
        <v>15657570</v>
      </c>
      <c r="AY225" s="21">
        <v>15961000</v>
      </c>
      <c r="AZ225" s="21">
        <v>16782710</v>
      </c>
      <c r="BA225" s="21">
        <v>16706537</v>
      </c>
      <c r="BB225" s="21">
        <v>16028006</v>
      </c>
      <c r="BC225" s="21">
        <v>16689019</v>
      </c>
    </row>
    <row r="226" spans="1:55" x14ac:dyDescent="0.2">
      <c r="A226" s="21" t="s">
        <v>1413</v>
      </c>
      <c r="B226" s="21" t="s">
        <v>1414</v>
      </c>
      <c r="C226" s="21" t="s">
        <v>1031</v>
      </c>
      <c r="D226" s="21">
        <v>1.22</v>
      </c>
      <c r="E226" s="21">
        <v>1.28</v>
      </c>
      <c r="F226" s="21">
        <v>1.33</v>
      </c>
      <c r="G226" s="21">
        <v>1.54</v>
      </c>
      <c r="H226" s="21">
        <v>1.91</v>
      </c>
      <c r="I226" s="21">
        <v>2.11</v>
      </c>
      <c r="J226" s="21">
        <v>2.37</v>
      </c>
      <c r="K226" s="21">
        <v>2.75</v>
      </c>
      <c r="L226" s="21">
        <v>2.92</v>
      </c>
      <c r="M226" s="21">
        <v>3.59</v>
      </c>
      <c r="N226" s="21">
        <v>4.51</v>
      </c>
      <c r="O226" s="21">
        <v>5.24</v>
      </c>
      <c r="P226" s="21">
        <v>5.8</v>
      </c>
      <c r="Q226" s="21">
        <v>6.33</v>
      </c>
      <c r="R226" s="21">
        <v>6.44</v>
      </c>
      <c r="S226" s="21">
        <v>6.37</v>
      </c>
      <c r="T226" s="21">
        <v>5.83</v>
      </c>
      <c r="U226" s="21">
        <v>5.6</v>
      </c>
      <c r="V226" s="21">
        <v>5.54</v>
      </c>
      <c r="W226" s="21">
        <v>5.88</v>
      </c>
      <c r="X226" s="21">
        <v>6.23</v>
      </c>
      <c r="Y226" s="21">
        <v>6.17</v>
      </c>
      <c r="Z226" s="21">
        <v>6.06</v>
      </c>
      <c r="AA226" s="21">
        <v>6.22</v>
      </c>
      <c r="AB226" s="21">
        <v>6.39</v>
      </c>
      <c r="AC226" s="21">
        <v>6.11</v>
      </c>
      <c r="AD226" s="21">
        <v>6.57</v>
      </c>
      <c r="AE226" s="21">
        <v>7.03</v>
      </c>
      <c r="AF226" s="21">
        <v>6.7</v>
      </c>
      <c r="AG226" s="21">
        <v>6.68</v>
      </c>
      <c r="AH226" s="21">
        <v>8.32</v>
      </c>
      <c r="AI226" s="21">
        <v>9.6999999999999993</v>
      </c>
      <c r="AJ226" s="21">
        <v>8.09</v>
      </c>
      <c r="AK226" s="21">
        <v>9.69</v>
      </c>
      <c r="AL226" s="21">
        <v>10.96</v>
      </c>
      <c r="AM226" s="21">
        <v>13.16</v>
      </c>
      <c r="AN226" s="21">
        <v>14.42</v>
      </c>
      <c r="AO226" s="21">
        <v>14.27</v>
      </c>
      <c r="AP226" s="21">
        <v>15.93</v>
      </c>
      <c r="AQ226" s="21">
        <v>13.36</v>
      </c>
      <c r="AR226" s="21">
        <v>13.31</v>
      </c>
      <c r="AS226" s="21">
        <v>13.59</v>
      </c>
      <c r="AT226" s="21">
        <v>13.32</v>
      </c>
      <c r="AU226" s="21">
        <v>12.71</v>
      </c>
      <c r="AV226" s="21">
        <v>13.55</v>
      </c>
      <c r="AW226" s="21">
        <v>11.69</v>
      </c>
      <c r="AX226" s="21">
        <v>10.99</v>
      </c>
      <c r="AY226" s="21">
        <v>12.11</v>
      </c>
      <c r="AZ226" s="21">
        <v>12.09</v>
      </c>
      <c r="BA226" s="21">
        <v>11.81</v>
      </c>
      <c r="BB226" s="21">
        <v>11.47</v>
      </c>
      <c r="BC226" s="21">
        <v>13.41</v>
      </c>
    </row>
    <row r="227" spans="1:55" x14ac:dyDescent="0.2">
      <c r="A227" s="21" t="s">
        <v>1413</v>
      </c>
      <c r="B227" s="21" t="s">
        <v>1414</v>
      </c>
      <c r="C227" s="21" t="s">
        <v>1033</v>
      </c>
      <c r="D227" s="21">
        <v>9760.5</v>
      </c>
      <c r="E227" s="21">
        <v>10344.5</v>
      </c>
      <c r="F227" s="21">
        <v>11060.4</v>
      </c>
      <c r="G227" s="21">
        <v>12318.9</v>
      </c>
      <c r="H227" s="21">
        <v>14537.6</v>
      </c>
      <c r="I227" s="21">
        <v>16194.2</v>
      </c>
      <c r="J227" s="21">
        <v>19064.5</v>
      </c>
      <c r="K227" s="21">
        <v>21465.4</v>
      </c>
      <c r="L227" s="21">
        <v>22787.9</v>
      </c>
      <c r="M227" s="21">
        <v>26468.7</v>
      </c>
      <c r="N227" s="21">
        <v>30822.1</v>
      </c>
      <c r="O227" s="21">
        <v>33708.6</v>
      </c>
      <c r="P227" s="21">
        <v>37463.9</v>
      </c>
      <c r="Q227" s="21">
        <v>38897.699999999997</v>
      </c>
      <c r="R227" s="21">
        <v>41883.699999999997</v>
      </c>
      <c r="S227" s="21">
        <v>40951.5</v>
      </c>
      <c r="T227" s="21">
        <v>36399.800000000003</v>
      </c>
      <c r="U227" s="21">
        <v>35320.5</v>
      </c>
      <c r="V227" s="21">
        <v>37118</v>
      </c>
      <c r="W227" s="21">
        <v>40314.9</v>
      </c>
      <c r="X227" s="21">
        <v>38531.1</v>
      </c>
      <c r="Y227" s="21">
        <v>39176.400000000001</v>
      </c>
      <c r="Z227" s="21">
        <v>39550.1</v>
      </c>
      <c r="AA227" s="21">
        <v>42331.7</v>
      </c>
      <c r="AB227" s="21">
        <v>42409.599999999999</v>
      </c>
      <c r="AC227" s="21">
        <v>40351.9</v>
      </c>
      <c r="AD227" s="21">
        <v>46837.1</v>
      </c>
      <c r="AE227" s="21">
        <v>47497.5</v>
      </c>
      <c r="AF227" s="21">
        <v>41241.599999999999</v>
      </c>
      <c r="AG227" s="21">
        <v>43516.4</v>
      </c>
      <c r="AH227" s="21">
        <v>57089.599999999999</v>
      </c>
      <c r="AI227" s="21">
        <v>64083.3</v>
      </c>
      <c r="AJ227" s="21">
        <v>53708.7</v>
      </c>
      <c r="AK227" s="21">
        <v>67408.7</v>
      </c>
      <c r="AL227" s="21">
        <v>73503.100000000006</v>
      </c>
      <c r="AM227" s="21">
        <v>86792.9</v>
      </c>
      <c r="AN227" s="21">
        <v>84661.5</v>
      </c>
      <c r="AO227" s="21">
        <v>89649.5</v>
      </c>
      <c r="AP227" s="21">
        <v>104164.4</v>
      </c>
      <c r="AQ227" s="21">
        <v>83723.7</v>
      </c>
      <c r="AR227" s="21">
        <v>82993.7</v>
      </c>
      <c r="AS227" s="21">
        <v>82477.3</v>
      </c>
      <c r="AT227" s="21">
        <v>70903.5</v>
      </c>
      <c r="AU227" s="21">
        <v>79329.399999999994</v>
      </c>
      <c r="AV227" s="21">
        <v>88534</v>
      </c>
      <c r="AW227" s="21">
        <v>70421.100000000006</v>
      </c>
      <c r="AX227" s="21">
        <v>61473.1</v>
      </c>
      <c r="AY227" s="21">
        <v>68448.5</v>
      </c>
      <c r="AZ227" s="21">
        <v>77979.899999999994</v>
      </c>
      <c r="BA227" s="21">
        <v>76897.399999999994</v>
      </c>
      <c r="BB227" s="21">
        <v>68595.100000000006</v>
      </c>
      <c r="BC227" s="21">
        <v>81407</v>
      </c>
    </row>
    <row r="228" spans="1:55" x14ac:dyDescent="0.2">
      <c r="A228" s="21" t="s">
        <v>1413</v>
      </c>
      <c r="B228" s="21" t="s">
        <v>1414</v>
      </c>
      <c r="C228" s="21" t="s">
        <v>1035</v>
      </c>
      <c r="D228" s="21">
        <v>7988255</v>
      </c>
      <c r="E228" s="21">
        <v>8109699</v>
      </c>
      <c r="F228" s="21">
        <v>8337981</v>
      </c>
      <c r="G228" s="21">
        <v>7986722</v>
      </c>
      <c r="H228" s="21">
        <v>7629912</v>
      </c>
      <c r="I228" s="21">
        <v>7675735</v>
      </c>
      <c r="J228" s="21">
        <v>8035830</v>
      </c>
      <c r="K228" s="21">
        <v>7793647</v>
      </c>
      <c r="L228" s="21">
        <v>7803756</v>
      </c>
      <c r="M228" s="21">
        <v>7374639</v>
      </c>
      <c r="N228" s="21">
        <v>6839645</v>
      </c>
      <c r="O228" s="21">
        <v>6436512</v>
      </c>
      <c r="P228" s="21">
        <v>6463819</v>
      </c>
      <c r="Q228" s="21">
        <v>6146757</v>
      </c>
      <c r="R228" s="21">
        <v>6502966</v>
      </c>
      <c r="S228" s="21">
        <v>6425152</v>
      </c>
      <c r="T228" s="21">
        <v>6245807</v>
      </c>
      <c r="U228" s="21">
        <v>6309647</v>
      </c>
      <c r="V228" s="21">
        <v>6703249</v>
      </c>
      <c r="W228" s="21">
        <v>6854056</v>
      </c>
      <c r="X228" s="21">
        <v>6189389</v>
      </c>
      <c r="Y228" s="21">
        <v>6346965</v>
      </c>
      <c r="Z228" s="21">
        <v>6529064</v>
      </c>
      <c r="AA228" s="21">
        <v>6802802</v>
      </c>
      <c r="AB228" s="21">
        <v>6637527</v>
      </c>
      <c r="AC228" s="21">
        <v>6602272</v>
      </c>
      <c r="AD228" s="21">
        <v>7126778</v>
      </c>
      <c r="AE228" s="21">
        <v>6757154</v>
      </c>
      <c r="AF228" s="21">
        <v>6160017</v>
      </c>
      <c r="AG228" s="21">
        <v>6512643</v>
      </c>
      <c r="AH228" s="21">
        <v>6859566</v>
      </c>
      <c r="AI228" s="21">
        <v>6605920</v>
      </c>
      <c r="AJ228" s="21">
        <v>6641557</v>
      </c>
      <c r="AK228" s="21">
        <v>6958207</v>
      </c>
      <c r="AL228" s="21">
        <v>6704101</v>
      </c>
      <c r="AM228" s="21">
        <v>6595620</v>
      </c>
      <c r="AN228" s="21">
        <v>5869762</v>
      </c>
      <c r="AO228" s="21">
        <v>6281320</v>
      </c>
      <c r="AP228" s="21">
        <v>6538610</v>
      </c>
      <c r="AQ228" s="21">
        <v>6268336</v>
      </c>
      <c r="AR228" s="21">
        <v>6234582</v>
      </c>
      <c r="AS228" s="21">
        <v>6070882</v>
      </c>
      <c r="AT228" s="21">
        <v>5321863</v>
      </c>
      <c r="AU228" s="21">
        <v>6239456</v>
      </c>
      <c r="AV228" s="21">
        <v>6536264</v>
      </c>
      <c r="AW228" s="21">
        <v>6025057</v>
      </c>
      <c r="AX228" s="21">
        <v>5594610</v>
      </c>
      <c r="AY228" s="21">
        <v>5650240</v>
      </c>
      <c r="AZ228" s="21">
        <v>6450155</v>
      </c>
      <c r="BA228" s="21">
        <v>6512455</v>
      </c>
      <c r="BB228" s="21">
        <v>5979209</v>
      </c>
      <c r="BC228" s="21">
        <v>6072104</v>
      </c>
    </row>
    <row r="229" spans="1:55" x14ac:dyDescent="0.2">
      <c r="A229" s="21" t="s">
        <v>1413</v>
      </c>
      <c r="B229" s="21" t="s">
        <v>1414</v>
      </c>
      <c r="C229" s="21" t="s">
        <v>1037</v>
      </c>
      <c r="D229" s="21">
        <v>59172860</v>
      </c>
      <c r="E229" s="21">
        <v>60412777</v>
      </c>
      <c r="F229" s="21">
        <v>63609752</v>
      </c>
      <c r="G229" s="21">
        <v>66469877</v>
      </c>
      <c r="H229" s="21">
        <v>64437245</v>
      </c>
      <c r="I229" s="21">
        <v>62804695</v>
      </c>
      <c r="J229" s="21">
        <v>66600260</v>
      </c>
      <c r="K229" s="21">
        <v>69023951</v>
      </c>
      <c r="L229" s="21">
        <v>70385109</v>
      </c>
      <c r="M229" s="21">
        <v>71108666</v>
      </c>
      <c r="N229" s="21">
        <v>68692726</v>
      </c>
      <c r="O229" s="21">
        <v>67729979</v>
      </c>
      <c r="P229" s="21">
        <v>64043353</v>
      </c>
      <c r="Q229" s="21">
        <v>63513175</v>
      </c>
      <c r="R229" s="21">
        <v>66925140</v>
      </c>
      <c r="S229" s="21">
        <v>67567620</v>
      </c>
      <c r="T229" s="21">
        <v>67582165</v>
      </c>
      <c r="U229" s="21">
        <v>69995622</v>
      </c>
      <c r="V229" s="21">
        <v>73681676</v>
      </c>
      <c r="W229" s="21">
        <v>75908168</v>
      </c>
      <c r="X229" s="21">
        <v>75476055</v>
      </c>
      <c r="Y229" s="21">
        <v>75681028</v>
      </c>
      <c r="Z229" s="21">
        <v>77095764</v>
      </c>
      <c r="AA229" s="21">
        <v>78540942</v>
      </c>
      <c r="AB229" s="21">
        <v>80333941</v>
      </c>
      <c r="AC229" s="21">
        <v>82002375</v>
      </c>
      <c r="AD229" s="21">
        <v>84213064</v>
      </c>
      <c r="AE229" s="21">
        <v>84872427</v>
      </c>
      <c r="AF229" s="21">
        <v>85862427</v>
      </c>
      <c r="AG229" s="21">
        <v>87554873</v>
      </c>
      <c r="AH229" s="21">
        <v>90207005</v>
      </c>
      <c r="AI229" s="21">
        <v>88028845</v>
      </c>
      <c r="AJ229" s="21">
        <v>89212022</v>
      </c>
      <c r="AK229" s="21">
        <v>89309795</v>
      </c>
      <c r="AL229" s="21">
        <v>91365648</v>
      </c>
      <c r="AM229" s="21">
        <v>91501414</v>
      </c>
      <c r="AN229" s="21">
        <v>90455692</v>
      </c>
      <c r="AO229" s="21">
        <v>92094181</v>
      </c>
      <c r="AP229" s="21">
        <v>89696639</v>
      </c>
      <c r="AQ229" s="21">
        <v>84286885</v>
      </c>
      <c r="AR229" s="21">
        <v>87612192</v>
      </c>
      <c r="AS229" s="21">
        <v>85983487</v>
      </c>
      <c r="AT229" s="21">
        <v>83665873</v>
      </c>
      <c r="AU229" s="21">
        <v>85755899</v>
      </c>
      <c r="AV229" s="21">
        <v>86930320</v>
      </c>
      <c r="AW229" s="21">
        <v>86006672</v>
      </c>
      <c r="AX229" s="21">
        <v>85206994</v>
      </c>
      <c r="AY229" s="21">
        <v>84624829</v>
      </c>
      <c r="AZ229" s="21">
        <v>87749529</v>
      </c>
      <c r="BA229" s="21">
        <v>86478139</v>
      </c>
      <c r="BB229" s="21">
        <v>78824431</v>
      </c>
      <c r="BC229" s="21">
        <v>83103994</v>
      </c>
    </row>
    <row r="230" spans="1:55" x14ac:dyDescent="0.2">
      <c r="A230" s="21" t="s">
        <v>1413</v>
      </c>
      <c r="B230" s="21" t="s">
        <v>1414</v>
      </c>
      <c r="C230" s="21" t="s">
        <v>1039</v>
      </c>
      <c r="D230" s="21">
        <v>1.08</v>
      </c>
      <c r="E230" s="21">
        <v>1.1499999999999999</v>
      </c>
      <c r="F230" s="21">
        <v>1.18</v>
      </c>
      <c r="G230" s="21">
        <v>1.29</v>
      </c>
      <c r="H230" s="21">
        <v>1.95</v>
      </c>
      <c r="I230" s="21">
        <v>2.19</v>
      </c>
      <c r="J230" s="21">
        <v>2.34</v>
      </c>
      <c r="K230" s="21">
        <v>2.58</v>
      </c>
      <c r="L230" s="21">
        <v>2.72</v>
      </c>
      <c r="M230" s="21">
        <v>3.47</v>
      </c>
      <c r="N230" s="21">
        <v>4.58</v>
      </c>
      <c r="O230" s="21">
        <v>5.25</v>
      </c>
      <c r="P230" s="21">
        <v>5.33</v>
      </c>
      <c r="Q230" s="21">
        <v>5.12</v>
      </c>
      <c r="R230" s="21">
        <v>5.04</v>
      </c>
      <c r="S230" s="21">
        <v>4.93</v>
      </c>
      <c r="T230" s="21">
        <v>3.98</v>
      </c>
      <c r="U230" s="21">
        <v>4.0199999999999996</v>
      </c>
      <c r="V230" s="21">
        <v>3.91</v>
      </c>
      <c r="W230" s="21">
        <v>4.09</v>
      </c>
      <c r="X230" s="21">
        <v>4.49</v>
      </c>
      <c r="Y230" s="21">
        <v>4.3099999999999996</v>
      </c>
      <c r="Z230" s="21">
        <v>4.26</v>
      </c>
      <c r="AA230" s="21">
        <v>4.28</v>
      </c>
      <c r="AB230" s="21">
        <v>4.29</v>
      </c>
      <c r="AC230" s="21">
        <v>4.24</v>
      </c>
      <c r="AD230" s="21">
        <v>4.6399999999999997</v>
      </c>
      <c r="AE230" s="21">
        <v>4.68</v>
      </c>
      <c r="AF230" s="21">
        <v>4.09</v>
      </c>
      <c r="AG230" s="21">
        <v>4.4000000000000004</v>
      </c>
      <c r="AH230" s="21">
        <v>5.72</v>
      </c>
      <c r="AI230" s="21">
        <v>5.86</v>
      </c>
      <c r="AJ230" s="21">
        <v>5.28</v>
      </c>
      <c r="AK230" s="21">
        <v>6.29</v>
      </c>
      <c r="AL230" s="21">
        <v>7.39</v>
      </c>
      <c r="AM230" s="21">
        <v>9.24</v>
      </c>
      <c r="AN230" s="21">
        <v>10.23</v>
      </c>
      <c r="AO230" s="21">
        <v>10.79</v>
      </c>
      <c r="AP230" s="21">
        <v>13.01</v>
      </c>
      <c r="AQ230" s="21">
        <v>9.5</v>
      </c>
      <c r="AR230" s="21">
        <v>10.77</v>
      </c>
      <c r="AS230" s="21">
        <v>12.99</v>
      </c>
      <c r="AT230" s="21">
        <v>12.87</v>
      </c>
      <c r="AU230" s="21">
        <v>12.75</v>
      </c>
      <c r="AV230" s="21">
        <v>12.67</v>
      </c>
      <c r="AW230" s="21">
        <v>9.49</v>
      </c>
      <c r="AX230" s="21">
        <v>8.49</v>
      </c>
      <c r="AY230" s="21">
        <v>9.68</v>
      </c>
      <c r="AZ230" s="21">
        <v>10.76</v>
      </c>
      <c r="BA230" s="21">
        <v>10.29</v>
      </c>
      <c r="BB230" s="21">
        <v>8.51</v>
      </c>
      <c r="BC230" s="21">
        <v>11.89</v>
      </c>
    </row>
    <row r="231" spans="1:55" x14ac:dyDescent="0.2">
      <c r="A231" s="21" t="s">
        <v>1413</v>
      </c>
      <c r="B231" s="21" t="s">
        <v>1414</v>
      </c>
      <c r="C231" s="21" t="s">
        <v>1041</v>
      </c>
      <c r="D231" s="21">
        <v>63886.7</v>
      </c>
      <c r="E231" s="21">
        <v>69326.899999999994</v>
      </c>
      <c r="F231" s="21">
        <v>74908.800000000003</v>
      </c>
      <c r="G231" s="21">
        <v>86072.1</v>
      </c>
      <c r="H231" s="21">
        <v>125340.3</v>
      </c>
      <c r="I231" s="21">
        <v>137719.29999999999</v>
      </c>
      <c r="J231" s="21">
        <v>156021.79999999999</v>
      </c>
      <c r="K231" s="21">
        <v>177989.6</v>
      </c>
      <c r="L231" s="21">
        <v>191246.3</v>
      </c>
      <c r="M231" s="21">
        <v>246995</v>
      </c>
      <c r="N231" s="21">
        <v>314282.09999999998</v>
      </c>
      <c r="O231" s="21">
        <v>355720</v>
      </c>
      <c r="P231" s="21">
        <v>341442.8</v>
      </c>
      <c r="Q231" s="21">
        <v>325456.5</v>
      </c>
      <c r="R231" s="21">
        <v>337578.6</v>
      </c>
      <c r="S231" s="21">
        <v>333080.3</v>
      </c>
      <c r="T231" s="21">
        <v>269314.40000000002</v>
      </c>
      <c r="U231" s="21">
        <v>281123.7</v>
      </c>
      <c r="V231" s="21">
        <v>288057.8</v>
      </c>
      <c r="W231" s="21">
        <v>310548.3</v>
      </c>
      <c r="X231" s="21">
        <v>338587.8</v>
      </c>
      <c r="Y231" s="21">
        <v>326424.7</v>
      </c>
      <c r="Z231" s="21">
        <v>328602.3</v>
      </c>
      <c r="AA231" s="21">
        <v>336059.5</v>
      </c>
      <c r="AB231" s="21">
        <v>344376.2</v>
      </c>
      <c r="AC231" s="21">
        <v>347819.6</v>
      </c>
      <c r="AD231" s="21">
        <v>390839.4</v>
      </c>
      <c r="AE231" s="21">
        <v>397065.2</v>
      </c>
      <c r="AF231" s="21">
        <v>351231.7</v>
      </c>
      <c r="AG231" s="21">
        <v>384901.9</v>
      </c>
      <c r="AH231" s="21">
        <v>516186.6</v>
      </c>
      <c r="AI231" s="21">
        <v>515430.7</v>
      </c>
      <c r="AJ231" s="21">
        <v>470595</v>
      </c>
      <c r="AK231" s="21">
        <v>561750.1</v>
      </c>
      <c r="AL231" s="21">
        <v>674777.7</v>
      </c>
      <c r="AM231" s="21">
        <v>845859.2</v>
      </c>
      <c r="AN231" s="21">
        <v>924932.2</v>
      </c>
      <c r="AO231" s="21">
        <v>993626.7</v>
      </c>
      <c r="AP231" s="21">
        <v>1166835</v>
      </c>
      <c r="AQ231" s="21">
        <v>800906.6</v>
      </c>
      <c r="AR231" s="21">
        <v>943156.2</v>
      </c>
      <c r="AS231" s="21">
        <v>1117187.5</v>
      </c>
      <c r="AT231" s="21">
        <v>1076479.8</v>
      </c>
      <c r="AU231" s="21">
        <v>1093446.3</v>
      </c>
      <c r="AV231" s="21">
        <v>1101385.6000000001</v>
      </c>
      <c r="AW231" s="21">
        <v>816455.5</v>
      </c>
      <c r="AX231" s="21">
        <v>723830.8</v>
      </c>
      <c r="AY231" s="21">
        <v>818871.4</v>
      </c>
      <c r="AZ231" s="21">
        <v>944221.1</v>
      </c>
      <c r="BA231" s="21">
        <v>890085.9</v>
      </c>
      <c r="BB231" s="21">
        <v>670837</v>
      </c>
      <c r="BC231" s="21">
        <v>988051.5</v>
      </c>
    </row>
    <row r="232" spans="1:55" x14ac:dyDescent="0.2">
      <c r="A232" s="21" t="s">
        <v>1413</v>
      </c>
      <c r="B232" s="21" t="s">
        <v>1414</v>
      </c>
      <c r="C232" s="21" t="s">
        <v>1043</v>
      </c>
      <c r="D232" s="21">
        <v>1.31</v>
      </c>
      <c r="E232" s="21">
        <v>1.39</v>
      </c>
      <c r="F232" s="21">
        <v>1.43</v>
      </c>
      <c r="G232" s="21">
        <v>1.58</v>
      </c>
      <c r="H232" s="21">
        <v>2.3199999999999998</v>
      </c>
      <c r="I232" s="21">
        <v>2.65</v>
      </c>
      <c r="J232" s="21">
        <v>2.85</v>
      </c>
      <c r="K232" s="21">
        <v>3.16</v>
      </c>
      <c r="L232" s="21">
        <v>3.32</v>
      </c>
      <c r="M232" s="21">
        <v>4.3</v>
      </c>
      <c r="N232" s="21">
        <v>5.84</v>
      </c>
      <c r="O232" s="21">
        <v>6.77</v>
      </c>
      <c r="P232" s="21">
        <v>6.9</v>
      </c>
      <c r="Q232" s="21">
        <v>6.66</v>
      </c>
      <c r="R232" s="21">
        <v>6.54</v>
      </c>
      <c r="S232" s="21">
        <v>6.5</v>
      </c>
      <c r="T232" s="21">
        <v>5.22</v>
      </c>
      <c r="U232" s="21">
        <v>5.31</v>
      </c>
      <c r="V232" s="21">
        <v>5.22</v>
      </c>
      <c r="W232" s="21">
        <v>5.51</v>
      </c>
      <c r="X232" s="21">
        <v>6.19</v>
      </c>
      <c r="Y232" s="21">
        <v>6</v>
      </c>
      <c r="Z232" s="21">
        <v>5.9</v>
      </c>
      <c r="AA232" s="21">
        <v>5.95</v>
      </c>
      <c r="AB232" s="21">
        <v>5.99</v>
      </c>
      <c r="AC232" s="21">
        <v>5.96</v>
      </c>
      <c r="AD232" s="21">
        <v>6.54</v>
      </c>
      <c r="AE232" s="21">
        <v>6.59</v>
      </c>
      <c r="AF232" s="21">
        <v>5.81</v>
      </c>
      <c r="AG232" s="21">
        <v>6.31</v>
      </c>
      <c r="AH232" s="21">
        <v>8.2899999999999991</v>
      </c>
      <c r="AI232" s="21">
        <v>8.48</v>
      </c>
      <c r="AJ232" s="21">
        <v>7.71</v>
      </c>
      <c r="AK232" s="21">
        <v>9.17</v>
      </c>
      <c r="AL232" s="21">
        <v>10.86</v>
      </c>
      <c r="AM232" s="21">
        <v>13.69</v>
      </c>
      <c r="AN232" s="21">
        <v>15.4</v>
      </c>
      <c r="AO232" s="21">
        <v>16.37</v>
      </c>
      <c r="AP232" s="21">
        <v>19.84</v>
      </c>
      <c r="AQ232" s="21">
        <v>14.42</v>
      </c>
      <c r="AR232" s="21">
        <v>16.47</v>
      </c>
      <c r="AS232" s="21">
        <v>20.07</v>
      </c>
      <c r="AT232" s="21">
        <v>20.05</v>
      </c>
      <c r="AU232" s="21">
        <v>19.43</v>
      </c>
      <c r="AV232" s="21">
        <v>19.07</v>
      </c>
      <c r="AW232" s="21">
        <v>14.09</v>
      </c>
      <c r="AX232" s="21">
        <v>12.49</v>
      </c>
      <c r="AY232" s="21">
        <v>14.12</v>
      </c>
      <c r="AZ232" s="21">
        <v>15.69</v>
      </c>
      <c r="BA232" s="21">
        <v>14.92</v>
      </c>
      <c r="BB232" s="21">
        <v>12.46</v>
      </c>
      <c r="BC232" s="21">
        <v>16.920000000000002</v>
      </c>
    </row>
    <row r="233" spans="1:55" x14ac:dyDescent="0.2">
      <c r="A233" s="21" t="s">
        <v>1413</v>
      </c>
      <c r="B233" s="21" t="s">
        <v>1414</v>
      </c>
      <c r="C233" s="21" t="s">
        <v>1045</v>
      </c>
      <c r="D233" s="21">
        <v>59530.1</v>
      </c>
      <c r="E233" s="21">
        <v>63836</v>
      </c>
      <c r="F233" s="21">
        <v>68357.8</v>
      </c>
      <c r="G233" s="21">
        <v>78120.2</v>
      </c>
      <c r="H233" s="21">
        <v>110782.5</v>
      </c>
      <c r="I233" s="21">
        <v>121173.8</v>
      </c>
      <c r="J233" s="21">
        <v>136943.4</v>
      </c>
      <c r="K233" s="21">
        <v>154274.1</v>
      </c>
      <c r="L233" s="21">
        <v>165121</v>
      </c>
      <c r="M233" s="21">
        <v>215523.4</v>
      </c>
      <c r="N233" s="21">
        <v>276255</v>
      </c>
      <c r="O233" s="21">
        <v>311446.3</v>
      </c>
      <c r="P233" s="21">
        <v>299088.8</v>
      </c>
      <c r="Q233" s="21">
        <v>282890.59999999998</v>
      </c>
      <c r="R233" s="21">
        <v>292892.5</v>
      </c>
      <c r="S233" s="21">
        <v>289110.59999999998</v>
      </c>
      <c r="T233" s="21">
        <v>232298.1</v>
      </c>
      <c r="U233" s="21">
        <v>242941.8</v>
      </c>
      <c r="V233" s="21">
        <v>249505.3</v>
      </c>
      <c r="W233" s="21">
        <v>269718.90000000002</v>
      </c>
      <c r="X233" s="21">
        <v>297961.3</v>
      </c>
      <c r="Y233" s="21">
        <v>287672.40000000002</v>
      </c>
      <c r="Z233" s="21">
        <v>289939.40000000002</v>
      </c>
      <c r="AA233" s="21">
        <v>295743</v>
      </c>
      <c r="AB233" s="21">
        <v>304025</v>
      </c>
      <c r="AC233" s="21">
        <v>308747.09999999998</v>
      </c>
      <c r="AD233" s="21">
        <v>349187.5</v>
      </c>
      <c r="AE233" s="21">
        <v>354118.40000000002</v>
      </c>
      <c r="AF233" s="21">
        <v>307921.2</v>
      </c>
      <c r="AG233" s="21">
        <v>340213.9</v>
      </c>
      <c r="AH233" s="21">
        <v>456133.4</v>
      </c>
      <c r="AI233" s="21">
        <v>450759.4</v>
      </c>
      <c r="AJ233" s="21">
        <v>416366.2</v>
      </c>
      <c r="AK233" s="21">
        <v>497078</v>
      </c>
      <c r="AL233" s="21">
        <v>603077</v>
      </c>
      <c r="AM233" s="21">
        <v>749943.4</v>
      </c>
      <c r="AN233" s="21">
        <v>834858.1</v>
      </c>
      <c r="AO233" s="21">
        <v>892944</v>
      </c>
      <c r="AP233" s="21">
        <v>1048305.4</v>
      </c>
      <c r="AQ233" s="21">
        <v>716093.4</v>
      </c>
      <c r="AR233" s="21">
        <v>848364.8</v>
      </c>
      <c r="AS233" s="21">
        <v>1024458.5</v>
      </c>
      <c r="AT233" s="21">
        <v>994311.8</v>
      </c>
      <c r="AU233" s="21">
        <v>1004334.1</v>
      </c>
      <c r="AV233" s="21">
        <v>1005558.3</v>
      </c>
      <c r="AW233" s="21">
        <v>740103.2</v>
      </c>
      <c r="AX233" s="21">
        <v>655316.80000000005</v>
      </c>
      <c r="AY233" s="21">
        <v>749157.3</v>
      </c>
      <c r="AZ233" s="21">
        <v>868581.6</v>
      </c>
      <c r="BA233" s="21">
        <v>825210.3</v>
      </c>
      <c r="BB233" s="21">
        <v>616851.9</v>
      </c>
      <c r="BC233" s="21">
        <v>897794.4</v>
      </c>
    </row>
    <row r="234" spans="1:55" x14ac:dyDescent="0.2">
      <c r="A234" s="21" t="s">
        <v>1413</v>
      </c>
      <c r="B234" s="21" t="s">
        <v>1414</v>
      </c>
      <c r="C234" s="21" t="s">
        <v>1060</v>
      </c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>
        <v>25.8</v>
      </c>
      <c r="AS234" s="21">
        <v>29.52</v>
      </c>
      <c r="AT234" s="21">
        <v>22.57</v>
      </c>
      <c r="AU234" s="21">
        <v>23.03</v>
      </c>
      <c r="AV234" s="21">
        <v>24.56</v>
      </c>
      <c r="AW234" s="21">
        <v>14.9</v>
      </c>
      <c r="AX234" s="21">
        <v>14.53</v>
      </c>
      <c r="AY234" s="21">
        <v>19.11</v>
      </c>
      <c r="AZ234" s="21">
        <v>20.32</v>
      </c>
      <c r="BA234" s="21">
        <v>17.079999999999998</v>
      </c>
      <c r="BB234" s="21">
        <v>15.81</v>
      </c>
      <c r="BC234" s="21">
        <v>24.64</v>
      </c>
    </row>
    <row r="235" spans="1:55" x14ac:dyDescent="0.2">
      <c r="A235" s="21" t="s">
        <v>1413</v>
      </c>
      <c r="B235" s="21" t="s">
        <v>1414</v>
      </c>
      <c r="C235" s="21" t="s">
        <v>1063</v>
      </c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>
        <v>118</v>
      </c>
      <c r="AS235" s="21">
        <v>135.80000000000001</v>
      </c>
      <c r="AT235" s="21">
        <v>102</v>
      </c>
      <c r="AU235" s="21">
        <v>140.30000000000001</v>
      </c>
      <c r="AV235" s="21">
        <v>187.1</v>
      </c>
      <c r="AW235" s="21">
        <v>148.9</v>
      </c>
      <c r="AX235" s="21">
        <v>171.7</v>
      </c>
      <c r="AY235" s="21">
        <v>236.8</v>
      </c>
      <c r="AZ235" s="21">
        <v>256.39999999999998</v>
      </c>
      <c r="BA235" s="21">
        <v>213.3</v>
      </c>
      <c r="BB235" s="21">
        <v>136.69999999999999</v>
      </c>
      <c r="BC235" s="21">
        <v>240.6</v>
      </c>
    </row>
    <row r="236" spans="1:55" x14ac:dyDescent="0.2">
      <c r="A236" s="21" t="s">
        <v>1413</v>
      </c>
      <c r="B236" s="21" t="s">
        <v>1414</v>
      </c>
      <c r="C236" s="21" t="s">
        <v>1067</v>
      </c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>
        <v>21.62</v>
      </c>
      <c r="AS236" s="21">
        <v>25.3</v>
      </c>
      <c r="AT236" s="21">
        <v>19.5</v>
      </c>
      <c r="AU236" s="21">
        <v>19.7</v>
      </c>
      <c r="AV236" s="21">
        <v>21.3</v>
      </c>
      <c r="AW236" s="21">
        <v>12.66</v>
      </c>
      <c r="AX236" s="21">
        <v>12.04</v>
      </c>
      <c r="AY236" s="21">
        <v>15.76</v>
      </c>
      <c r="AZ236" s="21">
        <v>16.8</v>
      </c>
      <c r="BA236" s="21">
        <v>13.59</v>
      </c>
      <c r="BB236" s="21">
        <v>12.35</v>
      </c>
      <c r="BC236" s="21">
        <v>19.77</v>
      </c>
    </row>
    <row r="237" spans="1:55" x14ac:dyDescent="0.2">
      <c r="A237" s="21" t="s">
        <v>1413</v>
      </c>
      <c r="B237" s="21" t="s">
        <v>1414</v>
      </c>
      <c r="C237" s="21" t="s">
        <v>1070</v>
      </c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>
        <v>3027.1</v>
      </c>
      <c r="AS237" s="21">
        <v>3605.3</v>
      </c>
      <c r="AT237" s="21">
        <v>2643.1</v>
      </c>
      <c r="AU237" s="21">
        <v>2986.2</v>
      </c>
      <c r="AV237" s="21">
        <v>3417.7</v>
      </c>
      <c r="AW237" s="21">
        <v>1874.6</v>
      </c>
      <c r="AX237" s="21">
        <v>1806</v>
      </c>
      <c r="AY237" s="21">
        <v>2453.6999999999998</v>
      </c>
      <c r="AZ237" s="21">
        <v>2956.4</v>
      </c>
      <c r="BA237" s="21">
        <v>2474.3000000000002</v>
      </c>
      <c r="BB237" s="21">
        <v>2483.1</v>
      </c>
      <c r="BC237" s="21">
        <v>4289.6000000000004</v>
      </c>
    </row>
    <row r="238" spans="1:55" x14ac:dyDescent="0.2">
      <c r="A238" s="21" t="s">
        <v>1413</v>
      </c>
      <c r="B238" s="21" t="s">
        <v>1414</v>
      </c>
      <c r="C238" s="21" t="s">
        <v>1074</v>
      </c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>
        <v>17.440000000000001</v>
      </c>
      <c r="AS238" s="21">
        <v>21.09</v>
      </c>
      <c r="AT238" s="21">
        <v>14.78</v>
      </c>
      <c r="AU238" s="21">
        <v>14.61</v>
      </c>
      <c r="AV238" s="21">
        <v>16.39</v>
      </c>
      <c r="AW238" s="21">
        <v>8.01</v>
      </c>
      <c r="AX238" s="21">
        <v>7.76</v>
      </c>
      <c r="AY238" s="21">
        <v>11.5</v>
      </c>
      <c r="AZ238" s="21">
        <v>12.72</v>
      </c>
      <c r="BA238" s="21">
        <v>9.39</v>
      </c>
      <c r="BB238" s="21">
        <v>8.0500000000000007</v>
      </c>
      <c r="BC238" s="21">
        <v>15.77</v>
      </c>
    </row>
    <row r="239" spans="1:55" x14ac:dyDescent="0.2">
      <c r="A239" s="21" t="s">
        <v>1413</v>
      </c>
      <c r="B239" s="21" t="s">
        <v>1414</v>
      </c>
      <c r="C239" s="21" t="s">
        <v>1077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>
        <v>8899.5</v>
      </c>
      <c r="AS239" s="21">
        <v>11578.3</v>
      </c>
      <c r="AT239" s="21">
        <v>9912.4</v>
      </c>
      <c r="AU239" s="21">
        <v>10689.7</v>
      </c>
      <c r="AV239" s="21">
        <v>9058.2999999999993</v>
      </c>
      <c r="AW239" s="21">
        <v>4781.2</v>
      </c>
      <c r="AX239" s="21">
        <v>4419.1000000000004</v>
      </c>
      <c r="AY239" s="21">
        <v>5941.8</v>
      </c>
      <c r="AZ239" s="21">
        <v>6875.1</v>
      </c>
      <c r="BA239" s="21">
        <v>4230.8</v>
      </c>
      <c r="BB239" s="21">
        <v>3589.9</v>
      </c>
      <c r="BC239" s="21">
        <v>7024.1</v>
      </c>
    </row>
    <row r="240" spans="1:55" x14ac:dyDescent="0.2">
      <c r="A240" s="21" t="s">
        <v>1413</v>
      </c>
      <c r="B240" s="21" t="s">
        <v>1414</v>
      </c>
      <c r="C240" s="21" t="s">
        <v>1079</v>
      </c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>
        <v>510290</v>
      </c>
      <c r="AS240" s="21">
        <v>549018</v>
      </c>
      <c r="AT240" s="21">
        <v>670892</v>
      </c>
      <c r="AU240" s="21">
        <v>731718</v>
      </c>
      <c r="AV240" s="21">
        <v>552740</v>
      </c>
      <c r="AW240" s="21">
        <v>597088</v>
      </c>
      <c r="AX240" s="21">
        <v>569787</v>
      </c>
      <c r="AY240" s="21">
        <v>516473</v>
      </c>
      <c r="AZ240" s="21">
        <v>540573</v>
      </c>
      <c r="BA240" s="21">
        <v>450604</v>
      </c>
      <c r="BB240" s="21">
        <v>445824</v>
      </c>
      <c r="BC240" s="21">
        <v>445515</v>
      </c>
    </row>
    <row r="241" spans="1:55" x14ac:dyDescent="0.2">
      <c r="A241" s="21" t="s">
        <v>1413</v>
      </c>
      <c r="B241" s="21" t="s">
        <v>1414</v>
      </c>
      <c r="C241" s="21" t="s">
        <v>1083</v>
      </c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>
        <v>25.65</v>
      </c>
      <c r="AS241" s="21">
        <v>28.25</v>
      </c>
      <c r="AT241" s="21">
        <v>25.91</v>
      </c>
      <c r="AU241" s="21">
        <v>25.3</v>
      </c>
      <c r="AV241" s="21">
        <v>30.05</v>
      </c>
      <c r="AW241" s="21">
        <v>22.75</v>
      </c>
      <c r="AX241" s="21">
        <v>21.56</v>
      </c>
      <c r="AY241" s="21">
        <v>25.15</v>
      </c>
      <c r="AZ241" s="21">
        <v>25.93</v>
      </c>
      <c r="BA241" s="21">
        <v>22.72</v>
      </c>
      <c r="BB241" s="21">
        <v>20.59</v>
      </c>
      <c r="BC241" s="21">
        <v>26.81</v>
      </c>
    </row>
    <row r="242" spans="1:55" x14ac:dyDescent="0.2">
      <c r="A242" s="21" t="s">
        <v>1413</v>
      </c>
      <c r="B242" s="21" t="s">
        <v>1414</v>
      </c>
      <c r="C242" s="21" t="s">
        <v>1086</v>
      </c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>
        <v>13589.5</v>
      </c>
      <c r="AS242" s="21">
        <v>13914.7</v>
      </c>
      <c r="AT242" s="21">
        <v>10250.700000000001</v>
      </c>
      <c r="AU242" s="21">
        <v>11725.8</v>
      </c>
      <c r="AV242" s="21">
        <v>14707.7</v>
      </c>
      <c r="AW242" s="21">
        <v>10141.700000000001</v>
      </c>
      <c r="AX242" s="21">
        <v>9267.7999999999993</v>
      </c>
      <c r="AY242" s="21">
        <v>10830.2</v>
      </c>
      <c r="AZ242" s="21">
        <v>13134</v>
      </c>
      <c r="BA242" s="21">
        <v>12801.6</v>
      </c>
      <c r="BB242" s="21">
        <v>10189.1</v>
      </c>
      <c r="BC242" s="21">
        <v>12981.4</v>
      </c>
    </row>
    <row r="243" spans="1:55" x14ac:dyDescent="0.2">
      <c r="A243" s="21" t="s">
        <v>1413</v>
      </c>
      <c r="B243" s="21" t="s">
        <v>1414</v>
      </c>
      <c r="C243" s="21" t="s">
        <v>1088</v>
      </c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>
        <v>9234</v>
      </c>
      <c r="AS243" s="21">
        <v>4959</v>
      </c>
      <c r="AT243" s="21">
        <v>5842</v>
      </c>
      <c r="AU243" s="21">
        <v>5032</v>
      </c>
      <c r="AV243" s="21">
        <v>8857</v>
      </c>
      <c r="AW243" s="21">
        <v>11546</v>
      </c>
      <c r="AX243" s="21">
        <v>9591</v>
      </c>
      <c r="AY243" s="21">
        <v>10259</v>
      </c>
      <c r="AZ243" s="21">
        <v>9007</v>
      </c>
      <c r="BA243" s="21">
        <v>8362</v>
      </c>
      <c r="BB243" s="21">
        <v>7824</v>
      </c>
      <c r="BC243" s="21">
        <v>5477</v>
      </c>
    </row>
    <row r="244" spans="1:55" x14ac:dyDescent="0.2">
      <c r="A244" s="21" t="s">
        <v>1413</v>
      </c>
      <c r="B244" s="21" t="s">
        <v>1414</v>
      </c>
      <c r="C244" s="21" t="s">
        <v>1090</v>
      </c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>
        <v>1184710</v>
      </c>
      <c r="AS244" s="21">
        <v>1188740</v>
      </c>
      <c r="AT244" s="21">
        <v>1206493</v>
      </c>
      <c r="AU244" s="21">
        <v>1352900</v>
      </c>
      <c r="AV244" s="21">
        <v>1210357</v>
      </c>
      <c r="AW244" s="21">
        <v>1200820</v>
      </c>
      <c r="AX244" s="21">
        <v>1161507</v>
      </c>
      <c r="AY244" s="21">
        <v>1115242</v>
      </c>
      <c r="AZ244" s="21">
        <v>1235700</v>
      </c>
      <c r="BA244" s="21">
        <v>1208528</v>
      </c>
      <c r="BB244" s="21">
        <v>1150449</v>
      </c>
      <c r="BC244" s="21">
        <v>1156379</v>
      </c>
    </row>
    <row r="245" spans="1:55" x14ac:dyDescent="0.2">
      <c r="A245" s="21" t="s">
        <v>1413</v>
      </c>
      <c r="B245" s="21" t="s">
        <v>1414</v>
      </c>
      <c r="C245" s="21" t="s">
        <v>1094</v>
      </c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>
        <v>21.64</v>
      </c>
      <c r="AS245" s="21">
        <v>24.59</v>
      </c>
      <c r="AT245" s="21">
        <v>18.989999999999998</v>
      </c>
      <c r="AU245" s="21">
        <v>18.88</v>
      </c>
      <c r="AV245" s="21">
        <v>22.61</v>
      </c>
      <c r="AW245" s="21">
        <v>14.11</v>
      </c>
      <c r="AX245" s="21">
        <v>13.49</v>
      </c>
      <c r="AY245" s="21">
        <v>17.45</v>
      </c>
      <c r="AZ245" s="21">
        <v>18.79</v>
      </c>
      <c r="BA245" s="21">
        <v>16.32</v>
      </c>
      <c r="BB245" s="21">
        <v>14.25</v>
      </c>
      <c r="BC245" s="21">
        <v>21.22</v>
      </c>
    </row>
    <row r="246" spans="1:55" x14ac:dyDescent="0.2">
      <c r="A246" s="21" t="s">
        <v>1413</v>
      </c>
      <c r="B246" s="21" t="s">
        <v>1414</v>
      </c>
      <c r="C246" s="21" t="s">
        <v>1097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>
        <v>25634.1</v>
      </c>
      <c r="AS246" s="21">
        <v>29234.2</v>
      </c>
      <c r="AT246" s="21">
        <v>22908.2</v>
      </c>
      <c r="AU246" s="21">
        <v>25542</v>
      </c>
      <c r="AV246" s="21">
        <v>27370.9</v>
      </c>
      <c r="AW246" s="21">
        <v>16946.400000000001</v>
      </c>
      <c r="AX246" s="21">
        <v>15664.7</v>
      </c>
      <c r="AY246" s="21">
        <v>19462.400000000001</v>
      </c>
      <c r="AZ246" s="21">
        <v>23221.9</v>
      </c>
      <c r="BA246" s="21">
        <v>19720.099999999999</v>
      </c>
      <c r="BB246" s="21">
        <v>16398.900000000001</v>
      </c>
      <c r="BC246" s="21">
        <v>24535.7</v>
      </c>
    </row>
    <row r="247" spans="1:55" x14ac:dyDescent="0.2">
      <c r="A247" s="21" t="s">
        <v>1413</v>
      </c>
      <c r="B247" s="21" t="s">
        <v>1414</v>
      </c>
      <c r="C247" s="21" t="s">
        <v>1101</v>
      </c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>
        <v>21.64</v>
      </c>
      <c r="AS247" s="21">
        <v>24.59</v>
      </c>
      <c r="AT247" s="21">
        <v>18.989999999999998</v>
      </c>
      <c r="AU247" s="21">
        <v>18.88</v>
      </c>
      <c r="AV247" s="21">
        <v>22.61</v>
      </c>
      <c r="AW247" s="21">
        <v>14.11</v>
      </c>
      <c r="AX247" s="21">
        <v>13.49</v>
      </c>
      <c r="AY247" s="21">
        <v>17.45</v>
      </c>
      <c r="AZ247" s="21">
        <v>18.79</v>
      </c>
      <c r="BA247" s="21">
        <v>16.32</v>
      </c>
      <c r="BB247" s="21">
        <v>14.25</v>
      </c>
      <c r="BC247" s="21">
        <v>21.22</v>
      </c>
    </row>
    <row r="248" spans="1:55" x14ac:dyDescent="0.2">
      <c r="A248" s="21" t="s">
        <v>1413</v>
      </c>
      <c r="B248" s="21" t="s">
        <v>1414</v>
      </c>
      <c r="C248" s="21" t="s">
        <v>1104</v>
      </c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>
        <v>25634.1</v>
      </c>
      <c r="AS248" s="21">
        <v>29234.2</v>
      </c>
      <c r="AT248" s="21">
        <v>22908.2</v>
      </c>
      <c r="AU248" s="21">
        <v>25542</v>
      </c>
      <c r="AV248" s="21">
        <v>27370.9</v>
      </c>
      <c r="AW248" s="21">
        <v>16946.400000000001</v>
      </c>
      <c r="AX248" s="21">
        <v>15664.7</v>
      </c>
      <c r="AY248" s="21">
        <v>19462.400000000001</v>
      </c>
      <c r="AZ248" s="21">
        <v>23221.9</v>
      </c>
      <c r="BA248" s="21">
        <v>19720.099999999999</v>
      </c>
      <c r="BB248" s="21">
        <v>16398.900000000001</v>
      </c>
      <c r="BC248" s="21">
        <v>24535.7</v>
      </c>
    </row>
    <row r="249" spans="1:55" x14ac:dyDescent="0.2">
      <c r="A249" s="21" t="s">
        <v>1413</v>
      </c>
      <c r="B249" s="21" t="s">
        <v>1414</v>
      </c>
      <c r="C249" s="21" t="s">
        <v>1120</v>
      </c>
      <c r="D249" s="21">
        <v>0.38</v>
      </c>
      <c r="E249" s="21">
        <v>0.52</v>
      </c>
      <c r="F249" s="21">
        <v>0.57999999999999996</v>
      </c>
      <c r="G249" s="21">
        <v>0.66</v>
      </c>
      <c r="H249" s="21">
        <v>1.58</v>
      </c>
      <c r="I249" s="21">
        <v>1.72</v>
      </c>
      <c r="J249" s="21">
        <v>1.71</v>
      </c>
      <c r="K249" s="21">
        <v>1.87</v>
      </c>
      <c r="L249" s="21">
        <v>1.82</v>
      </c>
      <c r="M249" s="21">
        <v>2.4700000000000002</v>
      </c>
      <c r="N249" s="21">
        <v>3.31</v>
      </c>
      <c r="O249" s="21">
        <v>4.4400000000000004</v>
      </c>
      <c r="P249" s="21">
        <v>4.54</v>
      </c>
      <c r="Q249" s="21">
        <v>4.42</v>
      </c>
      <c r="R249" s="21">
        <v>4.5999999999999996</v>
      </c>
      <c r="S249" s="21">
        <v>4.3600000000000003</v>
      </c>
      <c r="T249" s="21">
        <v>2.11</v>
      </c>
      <c r="U249" s="21">
        <v>2.64</v>
      </c>
      <c r="V249" s="21">
        <v>2.2200000000000002</v>
      </c>
      <c r="W249" s="21">
        <v>2.4700000000000002</v>
      </c>
      <c r="X249" s="21">
        <v>2.98</v>
      </c>
      <c r="Y249" s="21">
        <v>2.83</v>
      </c>
      <c r="Z249" s="21">
        <v>1.98</v>
      </c>
      <c r="AA249" s="21">
        <v>1.98</v>
      </c>
      <c r="AB249" s="21">
        <v>2.06</v>
      </c>
      <c r="AC249" s="21">
        <v>2.1800000000000002</v>
      </c>
      <c r="AD249" s="21">
        <v>2.33</v>
      </c>
      <c r="AE249" s="21">
        <v>2.95</v>
      </c>
      <c r="AF249" s="21">
        <v>2.1800000000000002</v>
      </c>
      <c r="AG249" s="21">
        <v>2.61</v>
      </c>
      <c r="AH249" s="21">
        <v>4.54</v>
      </c>
      <c r="AI249" s="21">
        <v>4.38</v>
      </c>
      <c r="AJ249" s="21">
        <v>4.01</v>
      </c>
      <c r="AK249" s="21">
        <v>5.0599999999999996</v>
      </c>
      <c r="AL249" s="21">
        <v>5.26</v>
      </c>
      <c r="AM249" s="21">
        <v>6.22</v>
      </c>
      <c r="AN249" s="21">
        <v>7.73</v>
      </c>
      <c r="AO249" s="21">
        <v>8.19</v>
      </c>
      <c r="AP249" s="21">
        <v>12.28</v>
      </c>
      <c r="AQ249" s="21">
        <v>9.89</v>
      </c>
      <c r="AR249" s="21">
        <v>11.55</v>
      </c>
      <c r="AS249" s="21">
        <v>15.12</v>
      </c>
      <c r="AT249" s="21">
        <v>16.850000000000001</v>
      </c>
      <c r="AU249" s="21">
        <v>16.010000000000002</v>
      </c>
      <c r="AV249" s="21">
        <v>14.4</v>
      </c>
      <c r="AW249" s="21">
        <v>8.85</v>
      </c>
      <c r="AX249" s="21">
        <v>6.64</v>
      </c>
      <c r="AY249" s="21">
        <v>8.76</v>
      </c>
      <c r="AZ249" s="21">
        <v>11.78</v>
      </c>
      <c r="BA249" s="21">
        <v>11.26</v>
      </c>
      <c r="BB249" s="21">
        <v>7.77</v>
      </c>
      <c r="BC249" s="21">
        <v>11.88</v>
      </c>
    </row>
    <row r="250" spans="1:55" x14ac:dyDescent="0.2">
      <c r="A250" s="21" t="s">
        <v>1413</v>
      </c>
      <c r="B250" s="21" t="s">
        <v>1414</v>
      </c>
      <c r="C250" s="21" t="s">
        <v>1123</v>
      </c>
      <c r="D250" s="21">
        <v>291.2</v>
      </c>
      <c r="E250" s="21">
        <v>361.6</v>
      </c>
      <c r="F250" s="21">
        <v>375.3</v>
      </c>
      <c r="G250" s="21">
        <v>483.3</v>
      </c>
      <c r="H250" s="21">
        <v>1102.0999999999999</v>
      </c>
      <c r="I250" s="21">
        <v>1225.9000000000001</v>
      </c>
      <c r="J250" s="21">
        <v>1410.6</v>
      </c>
      <c r="K250" s="21">
        <v>1702.9</v>
      </c>
      <c r="L250" s="21">
        <v>1802</v>
      </c>
      <c r="M250" s="21">
        <v>3027.7</v>
      </c>
      <c r="N250" s="21">
        <v>4626.3</v>
      </c>
      <c r="O250" s="21">
        <v>5411.1</v>
      </c>
      <c r="P250" s="21">
        <v>4629.6000000000004</v>
      </c>
      <c r="Q250" s="21">
        <v>3632</v>
      </c>
      <c r="R250" s="21">
        <v>3714.4</v>
      </c>
      <c r="S250" s="21">
        <v>3422.1</v>
      </c>
      <c r="T250" s="21">
        <v>1838.1</v>
      </c>
      <c r="U250" s="21">
        <v>2373.1</v>
      </c>
      <c r="V250" s="21">
        <v>2042.1</v>
      </c>
      <c r="W250" s="21">
        <v>2398.9</v>
      </c>
      <c r="X250" s="21">
        <v>3025.2</v>
      </c>
      <c r="Y250" s="21">
        <v>2905.2</v>
      </c>
      <c r="Z250" s="21">
        <v>2121.5</v>
      </c>
      <c r="AA250" s="21">
        <v>1782.8</v>
      </c>
      <c r="AB250" s="21">
        <v>1821</v>
      </c>
      <c r="AC250" s="21">
        <v>1987.6</v>
      </c>
      <c r="AD250" s="21">
        <v>1986.6</v>
      </c>
      <c r="AE250" s="21">
        <v>2096.5</v>
      </c>
      <c r="AF250" s="21">
        <v>1468.6</v>
      </c>
      <c r="AG250" s="21">
        <v>1737.1</v>
      </c>
      <c r="AH250" s="21">
        <v>4029.5</v>
      </c>
      <c r="AI250" s="21">
        <v>2562.1</v>
      </c>
      <c r="AJ250" s="21">
        <v>2712.4</v>
      </c>
      <c r="AK250" s="21">
        <v>2887.2</v>
      </c>
      <c r="AL250" s="21">
        <v>3886.3</v>
      </c>
      <c r="AM250" s="21">
        <v>5208.3</v>
      </c>
      <c r="AN250" s="21">
        <v>7001.7</v>
      </c>
      <c r="AO250" s="21">
        <v>8134.9</v>
      </c>
      <c r="AP250" s="21">
        <v>11366.1</v>
      </c>
      <c r="AQ250" s="21">
        <v>7818.8</v>
      </c>
      <c r="AR250" s="21">
        <v>10300</v>
      </c>
      <c r="AS250" s="21">
        <v>11737.3</v>
      </c>
      <c r="AT250" s="21">
        <v>11299.3</v>
      </c>
      <c r="AU250" s="21">
        <v>9306.4</v>
      </c>
      <c r="AV250" s="21">
        <v>6428.8</v>
      </c>
      <c r="AW250" s="21">
        <v>4103.2</v>
      </c>
      <c r="AX250" s="21">
        <v>4138.5</v>
      </c>
      <c r="AY250" s="21">
        <v>5821.4</v>
      </c>
      <c r="AZ250" s="21">
        <v>7114.4</v>
      </c>
      <c r="BA250" s="21">
        <v>5955.6</v>
      </c>
      <c r="BB250" s="21">
        <v>3042.9</v>
      </c>
      <c r="BC250" s="21">
        <v>7306.8</v>
      </c>
    </row>
    <row r="251" spans="1:55" x14ac:dyDescent="0.2">
      <c r="A251" s="21" t="s">
        <v>1413</v>
      </c>
      <c r="B251" s="21" t="s">
        <v>1414</v>
      </c>
      <c r="C251" s="21" t="s">
        <v>1127</v>
      </c>
      <c r="D251" s="21">
        <v>0.45</v>
      </c>
      <c r="E251" s="21">
        <v>0.61</v>
      </c>
      <c r="F251" s="21">
        <v>0.65</v>
      </c>
      <c r="G251" s="21">
        <v>0.78</v>
      </c>
      <c r="H251" s="21">
        <v>1.89</v>
      </c>
      <c r="I251" s="21">
        <v>1.91</v>
      </c>
      <c r="J251" s="21">
        <v>1.87</v>
      </c>
      <c r="K251" s="21">
        <v>2.2000000000000002</v>
      </c>
      <c r="L251" s="21">
        <v>2.06</v>
      </c>
      <c r="M251" s="21">
        <v>3.01</v>
      </c>
      <c r="N251" s="21">
        <v>4.12</v>
      </c>
      <c r="O251" s="21">
        <v>5.12</v>
      </c>
      <c r="P251" s="21">
        <v>4.67</v>
      </c>
      <c r="Q251" s="21">
        <v>4.51</v>
      </c>
      <c r="R251" s="21">
        <v>4.9400000000000004</v>
      </c>
      <c r="S251" s="21">
        <v>4.5</v>
      </c>
      <c r="T251" s="21">
        <v>2.71</v>
      </c>
      <c r="U251" s="21">
        <v>3.1</v>
      </c>
      <c r="V251" s="21">
        <v>2.5299999999999998</v>
      </c>
      <c r="W251" s="21">
        <v>2.92</v>
      </c>
      <c r="X251" s="21">
        <v>3.41</v>
      </c>
      <c r="Y251" s="21">
        <v>2.61</v>
      </c>
      <c r="Z251" s="21">
        <v>2.68</v>
      </c>
      <c r="AA251" s="21">
        <v>2.75</v>
      </c>
      <c r="AB251" s="21">
        <v>2.9</v>
      </c>
      <c r="AC251" s="21">
        <v>3.14</v>
      </c>
      <c r="AD251" s="21">
        <v>3.75</v>
      </c>
      <c r="AE251" s="21">
        <v>3.27</v>
      </c>
      <c r="AF251" s="21">
        <v>2.38</v>
      </c>
      <c r="AG251" s="21">
        <v>2.69</v>
      </c>
      <c r="AH251" s="21">
        <v>4.49</v>
      </c>
      <c r="AI251" s="21">
        <v>4.0599999999999996</v>
      </c>
      <c r="AJ251" s="21">
        <v>4.08</v>
      </c>
      <c r="AK251" s="21">
        <v>5.3</v>
      </c>
      <c r="AL251" s="21">
        <v>5.26</v>
      </c>
      <c r="AM251" s="21">
        <v>7.48</v>
      </c>
      <c r="AN251" s="21">
        <v>8.69</v>
      </c>
      <c r="AO251" s="21">
        <v>9.7100000000000009</v>
      </c>
      <c r="AP251" s="21">
        <v>13.18</v>
      </c>
      <c r="AQ251" s="21">
        <v>9.9</v>
      </c>
      <c r="AR251" s="21">
        <v>12.9</v>
      </c>
      <c r="AS251" s="21">
        <v>17.34</v>
      </c>
      <c r="AT251" s="21">
        <v>18.399999999999999</v>
      </c>
      <c r="AU251" s="21">
        <v>17.41</v>
      </c>
      <c r="AV251" s="21">
        <v>15.79</v>
      </c>
      <c r="AW251" s="21">
        <v>8.86</v>
      </c>
      <c r="AX251" s="21">
        <v>6.8</v>
      </c>
      <c r="AY251" s="21">
        <v>8.94</v>
      </c>
      <c r="AZ251" s="21">
        <v>11.63</v>
      </c>
      <c r="BA251" s="21">
        <v>11.4</v>
      </c>
      <c r="BB251" s="21">
        <v>8.85</v>
      </c>
      <c r="BC251" s="21">
        <v>13.11</v>
      </c>
    </row>
    <row r="252" spans="1:55" x14ac:dyDescent="0.2">
      <c r="A252" s="21" t="s">
        <v>1413</v>
      </c>
      <c r="B252" s="21" t="s">
        <v>1414</v>
      </c>
      <c r="C252" s="21" t="s">
        <v>1130</v>
      </c>
      <c r="D252" s="21">
        <v>323.2</v>
      </c>
      <c r="E252" s="21">
        <v>409.1</v>
      </c>
      <c r="F252" s="21">
        <v>421.9</v>
      </c>
      <c r="G252" s="21">
        <v>519.20000000000005</v>
      </c>
      <c r="H252" s="21">
        <v>1119.5999999999999</v>
      </c>
      <c r="I252" s="21">
        <v>939.1</v>
      </c>
      <c r="J252" s="21">
        <v>1062.4000000000001</v>
      </c>
      <c r="K252" s="21">
        <v>1295.7</v>
      </c>
      <c r="L252" s="21">
        <v>1097.8</v>
      </c>
      <c r="M252" s="21">
        <v>1517.6</v>
      </c>
      <c r="N252" s="21">
        <v>2325.3000000000002</v>
      </c>
      <c r="O252" s="21">
        <v>2138.3000000000002</v>
      </c>
      <c r="P252" s="21">
        <v>1861.7</v>
      </c>
      <c r="Q252" s="21">
        <v>939.3</v>
      </c>
      <c r="R252" s="21">
        <v>1311.2</v>
      </c>
      <c r="S252" s="21">
        <v>1024.5999999999999</v>
      </c>
      <c r="T252" s="21">
        <v>785.7</v>
      </c>
      <c r="U252" s="21">
        <v>813.8</v>
      </c>
      <c r="V252" s="21">
        <v>666.5</v>
      </c>
      <c r="W252" s="21">
        <v>666.2</v>
      </c>
      <c r="X252" s="21">
        <v>784.6</v>
      </c>
      <c r="Y252" s="21">
        <v>553.79999999999995</v>
      </c>
      <c r="Z252" s="21">
        <v>506.3</v>
      </c>
      <c r="AA252" s="21">
        <v>474.8</v>
      </c>
      <c r="AB252" s="21">
        <v>497.9</v>
      </c>
      <c r="AC252" s="21">
        <v>444.9</v>
      </c>
      <c r="AD252" s="21">
        <v>515</v>
      </c>
      <c r="AE252" s="21">
        <v>363.2</v>
      </c>
      <c r="AF252" s="21">
        <v>202.6</v>
      </c>
      <c r="AG252" s="21">
        <v>197.4</v>
      </c>
      <c r="AH252" s="21">
        <v>411.2</v>
      </c>
      <c r="AI252" s="21">
        <v>283.8</v>
      </c>
      <c r="AJ252" s="21">
        <v>325.60000000000002</v>
      </c>
      <c r="AK252" s="21">
        <v>588.6</v>
      </c>
      <c r="AL252" s="21">
        <v>643.9</v>
      </c>
      <c r="AM252" s="21">
        <v>866.3</v>
      </c>
      <c r="AN252" s="21">
        <v>653.70000000000005</v>
      </c>
      <c r="AO252" s="21">
        <v>731.6</v>
      </c>
      <c r="AP252" s="21">
        <v>935.6</v>
      </c>
      <c r="AQ252" s="21">
        <v>705.3</v>
      </c>
      <c r="AR252" s="21">
        <v>795.5</v>
      </c>
      <c r="AS252" s="21">
        <v>931.9</v>
      </c>
      <c r="AT252" s="21">
        <v>577.5</v>
      </c>
      <c r="AU252" s="21">
        <v>425</v>
      </c>
      <c r="AV252" s="21">
        <v>125.3</v>
      </c>
      <c r="AW252" s="21">
        <v>35.200000000000003</v>
      </c>
      <c r="AX252" s="21">
        <v>30.2</v>
      </c>
      <c r="AY252" s="21">
        <v>34.200000000000003</v>
      </c>
      <c r="AZ252" s="21">
        <v>36.1</v>
      </c>
      <c r="BA252" s="21">
        <v>26.6</v>
      </c>
      <c r="BB252" s="21">
        <v>20.7</v>
      </c>
      <c r="BC252" s="21">
        <v>41.5</v>
      </c>
    </row>
    <row r="253" spans="1:55" x14ac:dyDescent="0.2">
      <c r="A253" s="21" t="s">
        <v>1413</v>
      </c>
      <c r="B253" s="21" t="s">
        <v>1414</v>
      </c>
      <c r="C253" s="21" t="s">
        <v>1134</v>
      </c>
      <c r="D253" s="21">
        <v>0.41</v>
      </c>
      <c r="E253" s="21">
        <v>0.56999999999999995</v>
      </c>
      <c r="F253" s="21">
        <v>0.64</v>
      </c>
      <c r="G253" s="21">
        <v>0.78</v>
      </c>
      <c r="H253" s="21">
        <v>1.87</v>
      </c>
      <c r="I253" s="21">
        <v>1.99</v>
      </c>
      <c r="J253" s="21">
        <v>1.95</v>
      </c>
      <c r="K253" s="21">
        <v>2.19</v>
      </c>
      <c r="L253" s="21">
        <v>2.13</v>
      </c>
      <c r="M253" s="21">
        <v>2.98</v>
      </c>
      <c r="N253" s="21">
        <v>4.25</v>
      </c>
      <c r="O253" s="21">
        <v>5.32</v>
      </c>
      <c r="P253" s="21">
        <v>4.83</v>
      </c>
      <c r="Q253" s="21">
        <v>4.5999999999999996</v>
      </c>
      <c r="R253" s="21">
        <v>4.82</v>
      </c>
      <c r="S253" s="21">
        <v>4.24</v>
      </c>
      <c r="T253" s="21">
        <v>2.42</v>
      </c>
      <c r="U253" s="21">
        <v>2.97</v>
      </c>
      <c r="V253" s="21">
        <v>2.41</v>
      </c>
      <c r="W253" s="21">
        <v>2.85</v>
      </c>
      <c r="X253" s="21">
        <v>3.3</v>
      </c>
      <c r="Y253" s="21">
        <v>2.46</v>
      </c>
      <c r="Z253" s="21">
        <v>2.48</v>
      </c>
      <c r="AA253" s="21">
        <v>2.37</v>
      </c>
      <c r="AB253" s="21">
        <v>2.4</v>
      </c>
      <c r="AC253" s="21">
        <v>2.59</v>
      </c>
      <c r="AD253" s="21">
        <v>3.02</v>
      </c>
      <c r="AE253" s="21">
        <v>2.82</v>
      </c>
      <c r="AF253" s="21">
        <v>2.09</v>
      </c>
      <c r="AG253" s="21">
        <v>2.4</v>
      </c>
      <c r="AH253" s="21">
        <v>4.09</v>
      </c>
      <c r="AI253" s="21">
        <v>3.78</v>
      </c>
      <c r="AJ253" s="21">
        <v>3.79</v>
      </c>
      <c r="AK253" s="21">
        <v>4.47</v>
      </c>
      <c r="AL253" s="21">
        <v>4.58</v>
      </c>
      <c r="AM253" s="21">
        <v>6.86</v>
      </c>
      <c r="AN253" s="21">
        <v>8.1199999999999992</v>
      </c>
      <c r="AO253" s="21">
        <v>8.98</v>
      </c>
      <c r="AP253" s="21">
        <v>13.48</v>
      </c>
      <c r="AQ253" s="21">
        <v>8.98</v>
      </c>
      <c r="AR253" s="21">
        <v>12.47</v>
      </c>
      <c r="AS253" s="21">
        <v>18.93</v>
      </c>
      <c r="AT253" s="21">
        <v>20.78</v>
      </c>
      <c r="AU253" s="21">
        <v>19.559999999999999</v>
      </c>
      <c r="AV253" s="21">
        <v>17.59</v>
      </c>
      <c r="AW253" s="21">
        <v>9.3699999999999992</v>
      </c>
      <c r="AX253" s="21">
        <v>8.0399999999999991</v>
      </c>
      <c r="AY253" s="21">
        <v>10.26</v>
      </c>
      <c r="AZ253" s="21">
        <v>12.64</v>
      </c>
      <c r="BA253" s="21">
        <v>12.18</v>
      </c>
      <c r="BB253" s="21">
        <v>8.9700000000000006</v>
      </c>
      <c r="BC253" s="21">
        <v>13.48</v>
      </c>
    </row>
    <row r="254" spans="1:55" x14ac:dyDescent="0.2">
      <c r="A254" s="21" t="s">
        <v>1413</v>
      </c>
      <c r="B254" s="21" t="s">
        <v>1414</v>
      </c>
      <c r="C254" s="21" t="s">
        <v>1137</v>
      </c>
      <c r="D254" s="21">
        <v>797</v>
      </c>
      <c r="E254" s="21">
        <v>1299.8</v>
      </c>
      <c r="F254" s="21">
        <v>1758.9</v>
      </c>
      <c r="G254" s="21">
        <v>2507.8000000000002</v>
      </c>
      <c r="H254" s="21">
        <v>5681.3</v>
      </c>
      <c r="I254" s="21">
        <v>5842.1</v>
      </c>
      <c r="J254" s="21">
        <v>6289</v>
      </c>
      <c r="K254" s="21">
        <v>7925.6</v>
      </c>
      <c r="L254" s="21">
        <v>7882.2</v>
      </c>
      <c r="M254" s="21">
        <v>9243.6</v>
      </c>
      <c r="N254" s="21">
        <v>10445.700000000001</v>
      </c>
      <c r="O254" s="21">
        <v>11032.3</v>
      </c>
      <c r="P254" s="21">
        <v>7115.9</v>
      </c>
      <c r="Q254" s="21">
        <v>6619.8</v>
      </c>
      <c r="R254" s="21">
        <v>5736.9</v>
      </c>
      <c r="S254" s="21">
        <v>4231.5</v>
      </c>
      <c r="T254" s="21">
        <v>3287.7</v>
      </c>
      <c r="U254" s="21">
        <v>3439.1</v>
      </c>
      <c r="V254" s="21">
        <v>3467.7</v>
      </c>
      <c r="W254" s="21">
        <v>4367.8999999999996</v>
      </c>
      <c r="X254" s="21">
        <v>3841.5</v>
      </c>
      <c r="Y254" s="21">
        <v>2672.1</v>
      </c>
      <c r="Z254" s="21">
        <v>2163.8000000000002</v>
      </c>
      <c r="AA254" s="21">
        <v>2275.3000000000002</v>
      </c>
      <c r="AB254" s="21">
        <v>2083.5</v>
      </c>
      <c r="AC254" s="21">
        <v>1465.4</v>
      </c>
      <c r="AD254" s="21">
        <v>1898.7</v>
      </c>
      <c r="AE254" s="21">
        <v>2014</v>
      </c>
      <c r="AF254" s="21">
        <v>2183.8000000000002</v>
      </c>
      <c r="AG254" s="21">
        <v>2303.9</v>
      </c>
      <c r="AH254" s="21">
        <v>3561.7</v>
      </c>
      <c r="AI254" s="21">
        <v>3791.8</v>
      </c>
      <c r="AJ254" s="21">
        <v>2499.1999999999998</v>
      </c>
      <c r="AK254" s="21">
        <v>3883.8</v>
      </c>
      <c r="AL254" s="21">
        <v>4023.2</v>
      </c>
      <c r="AM254" s="21">
        <v>6009.7</v>
      </c>
      <c r="AN254" s="21">
        <v>2927.4</v>
      </c>
      <c r="AO254" s="21">
        <v>3562.4</v>
      </c>
      <c r="AP254" s="21">
        <v>3239.7</v>
      </c>
      <c r="AQ254" s="21">
        <v>1625.7</v>
      </c>
      <c r="AR254" s="21">
        <v>1921.4</v>
      </c>
      <c r="AS254" s="21">
        <v>1761.3</v>
      </c>
      <c r="AT254" s="21">
        <v>1594.3</v>
      </c>
      <c r="AU254" s="21">
        <v>1510.2</v>
      </c>
      <c r="AV254" s="21">
        <v>1673.3</v>
      </c>
      <c r="AW254" s="21">
        <v>879.6</v>
      </c>
      <c r="AX254" s="21">
        <v>568.5</v>
      </c>
      <c r="AY254" s="21">
        <v>674.7</v>
      </c>
      <c r="AZ254" s="21">
        <v>989.4</v>
      </c>
      <c r="BA254" s="21">
        <v>716.1</v>
      </c>
      <c r="BB254" s="21">
        <v>472.7</v>
      </c>
      <c r="BC254" s="21">
        <v>772.4</v>
      </c>
    </row>
    <row r="255" spans="1:55" x14ac:dyDescent="0.2">
      <c r="A255" s="21" t="s">
        <v>1413</v>
      </c>
      <c r="B255" s="21" t="s">
        <v>1414</v>
      </c>
      <c r="C255" s="21" t="s">
        <v>1141</v>
      </c>
      <c r="D255" s="21">
        <v>0.46</v>
      </c>
      <c r="E255" s="21">
        <v>0.62</v>
      </c>
      <c r="F255" s="21">
        <v>0.6</v>
      </c>
      <c r="G255" s="21">
        <v>0.73</v>
      </c>
      <c r="H255" s="21">
        <v>1.82</v>
      </c>
      <c r="I255" s="21">
        <v>1.91</v>
      </c>
      <c r="J255" s="21">
        <v>1.9</v>
      </c>
      <c r="K255" s="21">
        <v>2.15</v>
      </c>
      <c r="L255" s="21">
        <v>2.12</v>
      </c>
      <c r="M255" s="21">
        <v>2.76</v>
      </c>
      <c r="N255" s="21">
        <v>3.69</v>
      </c>
      <c r="O255" s="21">
        <v>4.4800000000000004</v>
      </c>
      <c r="P255" s="21">
        <v>4.46</v>
      </c>
      <c r="Q255" s="21">
        <v>4.38</v>
      </c>
      <c r="R255" s="21">
        <v>4.7300000000000004</v>
      </c>
      <c r="S255" s="21">
        <v>4.24</v>
      </c>
      <c r="T255" s="21">
        <v>2.4700000000000002</v>
      </c>
      <c r="U255" s="21">
        <v>2.86</v>
      </c>
      <c r="V255" s="21">
        <v>2.34</v>
      </c>
      <c r="W255" s="21">
        <v>2.75</v>
      </c>
      <c r="X255" s="21">
        <v>3.1</v>
      </c>
      <c r="Y255" s="21">
        <v>2.44</v>
      </c>
      <c r="Z255" s="21">
        <v>2.46</v>
      </c>
      <c r="AA255" s="21">
        <v>2.41</v>
      </c>
      <c r="AB255" s="21">
        <v>2.5</v>
      </c>
      <c r="AC255" s="21">
        <v>2.75</v>
      </c>
      <c r="AD255" s="21">
        <v>3.25</v>
      </c>
      <c r="AE255" s="21">
        <v>3.03</v>
      </c>
      <c r="AF255" s="21">
        <v>2.25</v>
      </c>
      <c r="AG255" s="21">
        <v>2.62</v>
      </c>
      <c r="AH255" s="21">
        <v>4.22</v>
      </c>
      <c r="AI255" s="21">
        <v>3.85</v>
      </c>
      <c r="AJ255" s="21">
        <v>3.87</v>
      </c>
      <c r="AK255" s="21">
        <v>4.83</v>
      </c>
      <c r="AL255" s="21">
        <v>4.95</v>
      </c>
      <c r="AM255" s="21">
        <v>6.98</v>
      </c>
      <c r="AN255" s="21">
        <v>8.16</v>
      </c>
      <c r="AO255" s="21">
        <v>9.26</v>
      </c>
      <c r="AP255" s="21">
        <v>12.97</v>
      </c>
      <c r="AQ255" s="21">
        <v>9.25</v>
      </c>
      <c r="AR255" s="21">
        <v>11.94</v>
      </c>
      <c r="AS255" s="21">
        <v>16.02</v>
      </c>
      <c r="AT255" s="21">
        <v>17.48</v>
      </c>
      <c r="AU255" s="21">
        <v>17.399999999999999</v>
      </c>
      <c r="AV255" s="21">
        <v>16.41</v>
      </c>
      <c r="AW255" s="21">
        <v>9.8699999999999992</v>
      </c>
      <c r="AX255" s="21">
        <v>7.39</v>
      </c>
      <c r="AY255" s="21">
        <v>9.81</v>
      </c>
      <c r="AZ255" s="21">
        <v>11.17</v>
      </c>
      <c r="BA255" s="21">
        <v>11.12</v>
      </c>
      <c r="BB255" s="21">
        <v>8.23</v>
      </c>
      <c r="BC255" s="21">
        <v>12.41</v>
      </c>
    </row>
    <row r="256" spans="1:55" x14ac:dyDescent="0.2">
      <c r="A256" s="21" t="s">
        <v>1413</v>
      </c>
      <c r="B256" s="21" t="s">
        <v>1414</v>
      </c>
      <c r="C256" s="21" t="s">
        <v>1144</v>
      </c>
      <c r="D256" s="21">
        <v>634.79999999999995</v>
      </c>
      <c r="E256" s="21">
        <v>863</v>
      </c>
      <c r="F256" s="21">
        <v>901.5</v>
      </c>
      <c r="G256" s="21">
        <v>1156.5</v>
      </c>
      <c r="H256" s="21">
        <v>2644.5</v>
      </c>
      <c r="I256" s="21">
        <v>2367.4</v>
      </c>
      <c r="J256" s="21">
        <v>2885.9</v>
      </c>
      <c r="K256" s="21">
        <v>3456.5</v>
      </c>
      <c r="L256" s="21">
        <v>2965.4</v>
      </c>
      <c r="M256" s="21">
        <v>3866.6</v>
      </c>
      <c r="N256" s="21">
        <v>4175.5</v>
      </c>
      <c r="O256" s="21">
        <v>4086.2</v>
      </c>
      <c r="P256" s="21">
        <v>4024.7</v>
      </c>
      <c r="Q256" s="21">
        <v>2907.6</v>
      </c>
      <c r="R256" s="21">
        <v>3647.2</v>
      </c>
      <c r="S256" s="21">
        <v>2814.9</v>
      </c>
      <c r="T256" s="21">
        <v>1574.1</v>
      </c>
      <c r="U256" s="21">
        <v>1436.2</v>
      </c>
      <c r="V256" s="21">
        <v>1082.3</v>
      </c>
      <c r="W256" s="21">
        <v>923.9</v>
      </c>
      <c r="X256" s="21">
        <v>1069.5999999999999</v>
      </c>
      <c r="Y256" s="21">
        <v>652.9</v>
      </c>
      <c r="Z256" s="21">
        <v>793.1</v>
      </c>
      <c r="AA256" s="21">
        <v>916.1</v>
      </c>
      <c r="AB256" s="21">
        <v>893.5</v>
      </c>
      <c r="AC256" s="21">
        <v>778.2</v>
      </c>
      <c r="AD256" s="21">
        <v>912.6</v>
      </c>
      <c r="AE256" s="21">
        <v>732.4</v>
      </c>
      <c r="AF256" s="21">
        <v>425.3</v>
      </c>
      <c r="AG256" s="21">
        <v>447.1</v>
      </c>
      <c r="AH256" s="21">
        <v>867.2</v>
      </c>
      <c r="AI256" s="21">
        <v>628.70000000000005</v>
      </c>
      <c r="AJ256" s="21">
        <v>619</v>
      </c>
      <c r="AK256" s="21">
        <v>965.6</v>
      </c>
      <c r="AL256" s="21">
        <v>1163.0999999999999</v>
      </c>
      <c r="AM256" s="21">
        <v>1867.1</v>
      </c>
      <c r="AN256" s="21">
        <v>1849.1</v>
      </c>
      <c r="AO256" s="21">
        <v>1699.9</v>
      </c>
      <c r="AP256" s="21">
        <v>2407.6999999999998</v>
      </c>
      <c r="AQ256" s="21">
        <v>1134.3</v>
      </c>
      <c r="AR256" s="21">
        <v>1365</v>
      </c>
      <c r="AS256" s="21">
        <v>2086.1</v>
      </c>
      <c r="AT256" s="21">
        <v>1163.8</v>
      </c>
      <c r="AU256" s="21">
        <v>792.7</v>
      </c>
      <c r="AV256" s="21">
        <v>634</v>
      </c>
      <c r="AW256" s="21">
        <v>309.8</v>
      </c>
      <c r="AX256" s="21">
        <v>374.9</v>
      </c>
      <c r="AY256" s="21">
        <v>474.6</v>
      </c>
      <c r="AZ256" s="21">
        <v>465.9</v>
      </c>
      <c r="BA256" s="21">
        <v>453</v>
      </c>
      <c r="BB256" s="21">
        <v>261.5</v>
      </c>
      <c r="BC256" s="21">
        <v>566.20000000000005</v>
      </c>
    </row>
    <row r="257" spans="1:55" x14ac:dyDescent="0.2">
      <c r="A257" s="21" t="s">
        <v>1413</v>
      </c>
      <c r="B257" s="21" t="s">
        <v>1414</v>
      </c>
      <c r="C257" s="21" t="s">
        <v>1146</v>
      </c>
      <c r="D257" s="21">
        <v>1382428</v>
      </c>
      <c r="E257" s="21">
        <v>1402447</v>
      </c>
      <c r="F257" s="21">
        <v>1511266</v>
      </c>
      <c r="G257" s="21">
        <v>1580671</v>
      </c>
      <c r="H257" s="21">
        <v>1452170</v>
      </c>
      <c r="I257" s="21">
        <v>1240020</v>
      </c>
      <c r="J257" s="21">
        <v>1522173</v>
      </c>
      <c r="K257" s="21">
        <v>1609269</v>
      </c>
      <c r="L257" s="21">
        <v>1398663</v>
      </c>
      <c r="M257" s="21">
        <v>1400371</v>
      </c>
      <c r="N257" s="21">
        <v>1130731</v>
      </c>
      <c r="O257" s="21">
        <v>911521</v>
      </c>
      <c r="P257" s="21">
        <v>903270</v>
      </c>
      <c r="Q257" s="21">
        <v>663821</v>
      </c>
      <c r="R257" s="21">
        <v>770317</v>
      </c>
      <c r="S257" s="21">
        <v>663735</v>
      </c>
      <c r="T257" s="21">
        <v>637763</v>
      </c>
      <c r="U257" s="21">
        <v>501371</v>
      </c>
      <c r="V257" s="21">
        <v>462076</v>
      </c>
      <c r="W257" s="21">
        <v>335771</v>
      </c>
      <c r="X257" s="21">
        <v>344520</v>
      </c>
      <c r="Y257" s="21">
        <v>267276</v>
      </c>
      <c r="Z257" s="21">
        <v>322813</v>
      </c>
      <c r="AA257" s="21">
        <v>380147</v>
      </c>
      <c r="AB257" s="21">
        <v>358066</v>
      </c>
      <c r="AC257" s="21">
        <v>282630</v>
      </c>
      <c r="AD257" s="21">
        <v>280423</v>
      </c>
      <c r="AE257" s="21">
        <v>241500</v>
      </c>
      <c r="AF257" s="21">
        <v>188794</v>
      </c>
      <c r="AG257" s="21">
        <v>170619</v>
      </c>
      <c r="AH257" s="21">
        <v>205456</v>
      </c>
      <c r="AI257" s="21">
        <v>163449</v>
      </c>
      <c r="AJ257" s="21">
        <v>159841</v>
      </c>
      <c r="AK257" s="21">
        <v>200028</v>
      </c>
      <c r="AL257" s="21">
        <v>234888</v>
      </c>
      <c r="AM257" s="21">
        <v>267510</v>
      </c>
      <c r="AN257" s="21">
        <v>226580</v>
      </c>
      <c r="AO257" s="21">
        <v>183540</v>
      </c>
      <c r="AP257" s="21">
        <v>185609</v>
      </c>
      <c r="AQ257" s="21">
        <v>122681</v>
      </c>
      <c r="AR257" s="21">
        <v>114284</v>
      </c>
      <c r="AS257" s="21">
        <v>130237</v>
      </c>
      <c r="AT257" s="21">
        <v>66590</v>
      </c>
      <c r="AU257" s="21">
        <v>45568</v>
      </c>
      <c r="AV257" s="21">
        <v>38625</v>
      </c>
      <c r="AW257" s="21">
        <v>31386</v>
      </c>
      <c r="AX257" s="21">
        <v>50715</v>
      </c>
      <c r="AY257" s="21">
        <v>48377</v>
      </c>
      <c r="AZ257" s="21">
        <v>41722</v>
      </c>
      <c r="BA257" s="21">
        <v>40742</v>
      </c>
      <c r="BB257" s="21">
        <v>31764</v>
      </c>
      <c r="BC257" s="21">
        <v>45637</v>
      </c>
    </row>
    <row r="258" spans="1:55" x14ac:dyDescent="0.2">
      <c r="A258" s="21" t="s">
        <v>1413</v>
      </c>
      <c r="B258" s="21" t="s">
        <v>1414</v>
      </c>
      <c r="C258" s="21" t="s">
        <v>1148</v>
      </c>
      <c r="D258" s="21">
        <v>241515</v>
      </c>
      <c r="E258" s="21">
        <v>216040</v>
      </c>
      <c r="F258" s="21">
        <v>249921</v>
      </c>
      <c r="G258" s="21">
        <v>276905</v>
      </c>
      <c r="H258" s="21">
        <v>276119</v>
      </c>
      <c r="I258" s="21">
        <v>269128</v>
      </c>
      <c r="J258" s="21">
        <v>299783</v>
      </c>
      <c r="K258" s="21">
        <v>327339</v>
      </c>
      <c r="L258" s="21">
        <v>317185</v>
      </c>
      <c r="M258" s="21">
        <v>254850</v>
      </c>
      <c r="N258" s="21">
        <v>218454</v>
      </c>
      <c r="O258" s="21">
        <v>169680</v>
      </c>
      <c r="P258" s="21">
        <v>143293</v>
      </c>
      <c r="Q258" s="21">
        <v>127607</v>
      </c>
      <c r="R258" s="21">
        <v>118284</v>
      </c>
      <c r="S258" s="21">
        <v>83781</v>
      </c>
      <c r="T258" s="21">
        <v>98637</v>
      </c>
      <c r="U258" s="21">
        <v>80222</v>
      </c>
      <c r="V258" s="21">
        <v>83623</v>
      </c>
      <c r="W258" s="21">
        <v>73765</v>
      </c>
      <c r="X258" s="21">
        <v>66925</v>
      </c>
      <c r="Y258" s="21">
        <v>66623</v>
      </c>
      <c r="Z258" s="21">
        <v>64102</v>
      </c>
      <c r="AA258" s="21">
        <v>65762</v>
      </c>
      <c r="AB258" s="21">
        <v>60858</v>
      </c>
      <c r="AC258" s="21">
        <v>54100</v>
      </c>
      <c r="AD258" s="21">
        <v>54810</v>
      </c>
      <c r="AE258" s="21">
        <v>49139</v>
      </c>
      <c r="AF258" s="21">
        <v>41048</v>
      </c>
      <c r="AG258" s="21">
        <v>36854</v>
      </c>
      <c r="AH258" s="21">
        <v>35182</v>
      </c>
      <c r="AI258" s="21">
        <v>39803</v>
      </c>
      <c r="AJ258" s="21">
        <v>30266</v>
      </c>
      <c r="AK258" s="21">
        <v>20414</v>
      </c>
      <c r="AL258" s="21">
        <v>13819</v>
      </c>
      <c r="AM258" s="21">
        <v>13875</v>
      </c>
      <c r="AN258" s="21">
        <v>12687</v>
      </c>
      <c r="AO258" s="21">
        <v>11593</v>
      </c>
      <c r="AP258" s="21">
        <v>8739</v>
      </c>
      <c r="AQ258" s="21">
        <v>7852</v>
      </c>
      <c r="AR258" s="21">
        <v>6161</v>
      </c>
      <c r="AS258" s="21">
        <v>4772</v>
      </c>
      <c r="AT258" s="21">
        <v>3395</v>
      </c>
      <c r="AU258" s="21">
        <v>2659</v>
      </c>
      <c r="AV258" s="21">
        <v>1955</v>
      </c>
      <c r="AW258" s="21">
        <v>2471</v>
      </c>
      <c r="AX258" s="21">
        <v>1697</v>
      </c>
      <c r="AY258" s="21">
        <v>1559</v>
      </c>
      <c r="AZ258" s="21">
        <v>1616</v>
      </c>
      <c r="BA258" s="21">
        <v>157</v>
      </c>
      <c r="BB258" s="21">
        <v>207</v>
      </c>
      <c r="BC258" s="21">
        <v>201</v>
      </c>
    </row>
    <row r="259" spans="1:55" x14ac:dyDescent="0.2">
      <c r="A259" s="21" t="s">
        <v>1413</v>
      </c>
      <c r="B259" s="21" t="s">
        <v>1414</v>
      </c>
      <c r="C259" s="21" t="s">
        <v>1150</v>
      </c>
      <c r="D259" s="21">
        <v>4815044</v>
      </c>
      <c r="E259" s="21">
        <v>5052749</v>
      </c>
      <c r="F259" s="21">
        <v>5569622</v>
      </c>
      <c r="G259" s="21">
        <v>6199818</v>
      </c>
      <c r="H259" s="21">
        <v>5779620</v>
      </c>
      <c r="I259" s="21">
        <v>5380195</v>
      </c>
      <c r="J259" s="21">
        <v>6145322</v>
      </c>
      <c r="K259" s="21">
        <v>6719929</v>
      </c>
      <c r="L259" s="21">
        <v>6618840</v>
      </c>
      <c r="M259" s="21">
        <v>6230549</v>
      </c>
      <c r="N259" s="21">
        <v>5553175</v>
      </c>
      <c r="O259" s="21">
        <v>4621203</v>
      </c>
      <c r="P259" s="21">
        <v>3795575</v>
      </c>
      <c r="Q259" s="21">
        <v>3132856</v>
      </c>
      <c r="R259" s="21">
        <v>3032754</v>
      </c>
      <c r="S259" s="21">
        <v>2675207</v>
      </c>
      <c r="T259" s="21">
        <v>3156250</v>
      </c>
      <c r="U259" s="21">
        <v>2821254</v>
      </c>
      <c r="V259" s="21">
        <v>3086754</v>
      </c>
      <c r="W259" s="21">
        <v>3070156</v>
      </c>
      <c r="X259" s="21">
        <v>2752926</v>
      </c>
      <c r="Y259" s="21">
        <v>2590414</v>
      </c>
      <c r="Z259" s="21">
        <v>2454036</v>
      </c>
      <c r="AA259" s="21">
        <v>2412963</v>
      </c>
      <c r="AB259" s="21">
        <v>2281596</v>
      </c>
      <c r="AC259" s="21">
        <v>1900598</v>
      </c>
      <c r="AD259" s="21">
        <v>1897310</v>
      </c>
      <c r="AE259" s="21">
        <v>1779089</v>
      </c>
      <c r="AF259" s="21">
        <v>1994676</v>
      </c>
      <c r="AG259" s="21">
        <v>1868094</v>
      </c>
      <c r="AH259" s="21">
        <v>2055415</v>
      </c>
      <c r="AI259" s="21">
        <v>1821646</v>
      </c>
      <c r="AJ259" s="21">
        <v>1575164</v>
      </c>
      <c r="AK259" s="21">
        <v>1751439</v>
      </c>
      <c r="AL259" s="21">
        <v>1975910</v>
      </c>
      <c r="AM259" s="21">
        <v>2097243</v>
      </c>
      <c r="AN259" s="21">
        <v>1568047</v>
      </c>
      <c r="AO259" s="21">
        <v>1649194</v>
      </c>
      <c r="AP259" s="21">
        <v>1422968</v>
      </c>
      <c r="AQ259" s="21">
        <v>1165432</v>
      </c>
      <c r="AR259" s="21">
        <v>1222005</v>
      </c>
      <c r="AS259" s="21">
        <v>1053369</v>
      </c>
      <c r="AT259" s="21">
        <v>845227</v>
      </c>
      <c r="AU259" s="21">
        <v>728349</v>
      </c>
      <c r="AV259" s="21">
        <v>588238</v>
      </c>
      <c r="AW259" s="21">
        <v>592619</v>
      </c>
      <c r="AX259" s="21">
        <v>748958</v>
      </c>
      <c r="AY259" s="21">
        <v>782581</v>
      </c>
      <c r="AZ259" s="21">
        <v>727110</v>
      </c>
      <c r="BA259" s="21">
        <v>630976</v>
      </c>
      <c r="BB259" s="21">
        <v>478258</v>
      </c>
      <c r="BC259" s="21">
        <v>720962</v>
      </c>
    </row>
    <row r="260" spans="1:55" x14ac:dyDescent="0.2">
      <c r="A260" s="21" t="s">
        <v>1413</v>
      </c>
      <c r="B260" s="21" t="s">
        <v>1414</v>
      </c>
      <c r="C260" s="21" t="s">
        <v>1154</v>
      </c>
      <c r="D260" s="21">
        <v>0.42</v>
      </c>
      <c r="E260" s="21">
        <v>0.57999999999999996</v>
      </c>
      <c r="F260" s="21">
        <v>0.62</v>
      </c>
      <c r="G260" s="21">
        <v>0.75</v>
      </c>
      <c r="H260" s="21">
        <v>1.82</v>
      </c>
      <c r="I260" s="21">
        <v>1.93</v>
      </c>
      <c r="J260" s="21">
        <v>1.9</v>
      </c>
      <c r="K260" s="21">
        <v>2.14</v>
      </c>
      <c r="L260" s="21">
        <v>2.08</v>
      </c>
      <c r="M260" s="21">
        <v>2.83</v>
      </c>
      <c r="N260" s="21">
        <v>3.88</v>
      </c>
      <c r="O260" s="21">
        <v>4.91</v>
      </c>
      <c r="P260" s="21">
        <v>4.6500000000000004</v>
      </c>
      <c r="Q260" s="21">
        <v>4.5</v>
      </c>
      <c r="R260" s="21">
        <v>4.75</v>
      </c>
      <c r="S260" s="21">
        <v>4.3</v>
      </c>
      <c r="T260" s="21">
        <v>2.37</v>
      </c>
      <c r="U260" s="21">
        <v>2.86</v>
      </c>
      <c r="V260" s="21">
        <v>2.35</v>
      </c>
      <c r="W260" s="21">
        <v>2.72</v>
      </c>
      <c r="X260" s="21">
        <v>3.17</v>
      </c>
      <c r="Y260" s="21">
        <v>2.62</v>
      </c>
      <c r="Z260" s="21">
        <v>2.2799999999999998</v>
      </c>
      <c r="AA260" s="21">
        <v>2.2599999999999998</v>
      </c>
      <c r="AB260" s="21">
        <v>2.3199999999999998</v>
      </c>
      <c r="AC260" s="21">
        <v>2.46</v>
      </c>
      <c r="AD260" s="21">
        <v>2.8</v>
      </c>
      <c r="AE260" s="21">
        <v>2.93</v>
      </c>
      <c r="AF260" s="21">
        <v>2.15</v>
      </c>
      <c r="AG260" s="21">
        <v>2.5099999999999998</v>
      </c>
      <c r="AH260" s="21">
        <v>4.32</v>
      </c>
      <c r="AI260" s="21">
        <v>3.99</v>
      </c>
      <c r="AJ260" s="21">
        <v>3.91</v>
      </c>
      <c r="AK260" s="21">
        <v>4.75</v>
      </c>
      <c r="AL260" s="21">
        <v>4.92</v>
      </c>
      <c r="AM260" s="21">
        <v>6.65</v>
      </c>
      <c r="AN260" s="21">
        <v>7.93</v>
      </c>
      <c r="AO260" s="21">
        <v>8.57</v>
      </c>
      <c r="AP260" s="21">
        <v>12.61</v>
      </c>
      <c r="AQ260" s="21">
        <v>9.68</v>
      </c>
      <c r="AR260" s="21">
        <v>11.77</v>
      </c>
      <c r="AS260" s="21">
        <v>15.68</v>
      </c>
      <c r="AT260" s="21">
        <v>17.309999999999999</v>
      </c>
      <c r="AU260" s="21">
        <v>16.52</v>
      </c>
      <c r="AV260" s="21">
        <v>15.06</v>
      </c>
      <c r="AW260" s="21">
        <v>8.99</v>
      </c>
      <c r="AX260" s="21">
        <v>6.83</v>
      </c>
      <c r="AY260" s="21">
        <v>8.9499999999999993</v>
      </c>
      <c r="AZ260" s="21">
        <v>11.84</v>
      </c>
      <c r="BA260" s="21">
        <v>11.33</v>
      </c>
      <c r="BB260" s="21">
        <v>7.94</v>
      </c>
      <c r="BC260" s="21">
        <v>12.05</v>
      </c>
    </row>
    <row r="261" spans="1:55" x14ac:dyDescent="0.2">
      <c r="A261" s="21" t="s">
        <v>1413</v>
      </c>
      <c r="B261" s="21" t="s">
        <v>1414</v>
      </c>
      <c r="C261" s="21" t="s">
        <v>1157</v>
      </c>
      <c r="D261" s="21">
        <v>2046.2</v>
      </c>
      <c r="E261" s="21">
        <v>2933.5</v>
      </c>
      <c r="F261" s="21">
        <v>3457.5</v>
      </c>
      <c r="G261" s="21">
        <v>4666.8</v>
      </c>
      <c r="H261" s="21">
        <v>10547.5</v>
      </c>
      <c r="I261" s="21">
        <v>10374.5</v>
      </c>
      <c r="J261" s="21">
        <v>11647.9</v>
      </c>
      <c r="K261" s="21">
        <v>14380.7</v>
      </c>
      <c r="L261" s="21">
        <v>13747.4</v>
      </c>
      <c r="M261" s="21">
        <v>17655.599999999999</v>
      </c>
      <c r="N261" s="21">
        <v>21572.799999999999</v>
      </c>
      <c r="O261" s="21">
        <v>22667.8</v>
      </c>
      <c r="P261" s="21">
        <v>17631.900000000001</v>
      </c>
      <c r="Q261" s="21">
        <v>14098.7</v>
      </c>
      <c r="R261" s="21">
        <v>14409.7</v>
      </c>
      <c r="S261" s="21">
        <v>11493.2</v>
      </c>
      <c r="T261" s="21">
        <v>7485.7</v>
      </c>
      <c r="U261" s="21">
        <v>8062.1</v>
      </c>
      <c r="V261" s="21">
        <v>7258.7</v>
      </c>
      <c r="W261" s="21">
        <v>8356.7999999999993</v>
      </c>
      <c r="X261" s="21">
        <v>8720.9</v>
      </c>
      <c r="Y261" s="21">
        <v>6784</v>
      </c>
      <c r="Z261" s="21">
        <v>5584.7</v>
      </c>
      <c r="AA261" s="21">
        <v>5448.9</v>
      </c>
      <c r="AB261" s="21">
        <v>5295.8</v>
      </c>
      <c r="AC261" s="21">
        <v>4676.1000000000004</v>
      </c>
      <c r="AD261" s="21">
        <v>5312.8</v>
      </c>
      <c r="AE261" s="21">
        <v>5206.1000000000004</v>
      </c>
      <c r="AF261" s="21">
        <v>4280.3</v>
      </c>
      <c r="AG261" s="21">
        <v>4685.6000000000004</v>
      </c>
      <c r="AH261" s="21">
        <v>8869.5</v>
      </c>
      <c r="AI261" s="21">
        <v>7266.5</v>
      </c>
      <c r="AJ261" s="21">
        <v>6156.3</v>
      </c>
      <c r="AK261" s="21">
        <v>8325.2000000000007</v>
      </c>
      <c r="AL261" s="21">
        <v>9716.6</v>
      </c>
      <c r="AM261" s="21">
        <v>13951.4</v>
      </c>
      <c r="AN261" s="21">
        <v>12431.8</v>
      </c>
      <c r="AO261" s="21">
        <v>14128.9</v>
      </c>
      <c r="AP261" s="21">
        <v>17949.099999999999</v>
      </c>
      <c r="AQ261" s="21">
        <v>11284.1</v>
      </c>
      <c r="AR261" s="21">
        <v>14381.9</v>
      </c>
      <c r="AS261" s="21">
        <v>16516.7</v>
      </c>
      <c r="AT261" s="21">
        <v>14634.9</v>
      </c>
      <c r="AU261" s="21">
        <v>12034.1</v>
      </c>
      <c r="AV261" s="21">
        <v>8861.5</v>
      </c>
      <c r="AW261" s="21">
        <v>5327.7</v>
      </c>
      <c r="AX261" s="21">
        <v>5112</v>
      </c>
      <c r="AY261" s="21">
        <v>7004.9</v>
      </c>
      <c r="AZ261" s="21">
        <v>8605.7999999999993</v>
      </c>
      <c r="BA261" s="21">
        <v>7151.4</v>
      </c>
      <c r="BB261" s="21">
        <v>3797.8</v>
      </c>
      <c r="BC261" s="21">
        <v>8686.9</v>
      </c>
    </row>
    <row r="262" spans="1:55" x14ac:dyDescent="0.2">
      <c r="A262" s="21" t="s">
        <v>1413</v>
      </c>
      <c r="B262" s="21" t="s">
        <v>1414</v>
      </c>
      <c r="C262" s="21" t="s">
        <v>1161</v>
      </c>
      <c r="D262" s="21">
        <v>0.44</v>
      </c>
      <c r="E262" s="21">
        <v>0.59</v>
      </c>
      <c r="F262" s="21">
        <v>0.61</v>
      </c>
      <c r="G262" s="21">
        <v>0.73</v>
      </c>
      <c r="H262" s="21">
        <v>1.77</v>
      </c>
      <c r="I262" s="21">
        <v>1.86</v>
      </c>
      <c r="J262" s="21">
        <v>1.84</v>
      </c>
      <c r="K262" s="21">
        <v>2.08</v>
      </c>
      <c r="L262" s="21">
        <v>2.0099999999999998</v>
      </c>
      <c r="M262" s="21">
        <v>2.68</v>
      </c>
      <c r="N262" s="21">
        <v>3.6</v>
      </c>
      <c r="O262" s="21">
        <v>4.57</v>
      </c>
      <c r="P262" s="21">
        <v>4.53</v>
      </c>
      <c r="Q262" s="21">
        <v>4.42</v>
      </c>
      <c r="R262" s="21">
        <v>4.71</v>
      </c>
      <c r="S262" s="21">
        <v>4.33</v>
      </c>
      <c r="T262" s="21">
        <v>2.34</v>
      </c>
      <c r="U262" s="21">
        <v>2.78</v>
      </c>
      <c r="V262" s="21">
        <v>2.2999999999999998</v>
      </c>
      <c r="W262" s="21">
        <v>2.6</v>
      </c>
      <c r="X262" s="21">
        <v>3.07</v>
      </c>
      <c r="Y262" s="21">
        <v>2.73</v>
      </c>
      <c r="Z262" s="21">
        <v>2.16</v>
      </c>
      <c r="AA262" s="21">
        <v>2.1800000000000002</v>
      </c>
      <c r="AB262" s="21">
        <v>2.27</v>
      </c>
      <c r="AC262" s="21">
        <v>2.41</v>
      </c>
      <c r="AD262" s="21">
        <v>2.69</v>
      </c>
      <c r="AE262" s="21">
        <v>3</v>
      </c>
      <c r="AF262" s="21">
        <v>2.21</v>
      </c>
      <c r="AG262" s="21">
        <v>2.62</v>
      </c>
      <c r="AH262" s="21">
        <v>4.4800000000000004</v>
      </c>
      <c r="AI262" s="21">
        <v>4.24</v>
      </c>
      <c r="AJ262" s="21">
        <v>3.99</v>
      </c>
      <c r="AK262" s="21">
        <v>5.04</v>
      </c>
      <c r="AL262" s="21">
        <v>5.19</v>
      </c>
      <c r="AM262" s="21">
        <v>6.51</v>
      </c>
      <c r="AN262" s="21">
        <v>7.87</v>
      </c>
      <c r="AO262" s="21">
        <v>8.44</v>
      </c>
      <c r="AP262" s="21">
        <v>12.44</v>
      </c>
      <c r="AQ262" s="21">
        <v>9.81</v>
      </c>
      <c r="AR262" s="21">
        <v>11.67</v>
      </c>
      <c r="AS262" s="21">
        <v>15.37</v>
      </c>
      <c r="AT262" s="21">
        <v>16.97</v>
      </c>
      <c r="AU262" s="21">
        <v>16.16</v>
      </c>
      <c r="AV262" s="21">
        <v>14.58</v>
      </c>
      <c r="AW262" s="21">
        <v>8.92</v>
      </c>
      <c r="AX262" s="21">
        <v>6.7</v>
      </c>
      <c r="AY262" s="21">
        <v>8.83</v>
      </c>
      <c r="AZ262" s="21">
        <v>11.74</v>
      </c>
      <c r="BA262" s="21">
        <v>11.25</v>
      </c>
      <c r="BB262" s="21">
        <v>7.81</v>
      </c>
      <c r="BC262" s="21">
        <v>11.93</v>
      </c>
    </row>
    <row r="263" spans="1:55" x14ac:dyDescent="0.2">
      <c r="A263" s="21" t="s">
        <v>1413</v>
      </c>
      <c r="B263" s="21" t="s">
        <v>1414</v>
      </c>
      <c r="C263" s="21" t="s">
        <v>1164</v>
      </c>
      <c r="D263" s="21">
        <v>1249.2</v>
      </c>
      <c r="E263" s="21">
        <v>1633.7</v>
      </c>
      <c r="F263" s="21">
        <v>1698.6</v>
      </c>
      <c r="G263" s="21">
        <v>2159</v>
      </c>
      <c r="H263" s="21">
        <v>4866.2</v>
      </c>
      <c r="I263" s="21">
        <v>4532.3</v>
      </c>
      <c r="J263" s="21">
        <v>5358.9</v>
      </c>
      <c r="K263" s="21">
        <v>6455.1</v>
      </c>
      <c r="L263" s="21">
        <v>5865.1</v>
      </c>
      <c r="M263" s="21">
        <v>8411.9</v>
      </c>
      <c r="N263" s="21">
        <v>11127.1</v>
      </c>
      <c r="O263" s="21">
        <v>11635.5</v>
      </c>
      <c r="P263" s="21">
        <v>10515.9</v>
      </c>
      <c r="Q263" s="21">
        <v>7478.9</v>
      </c>
      <c r="R263" s="21">
        <v>8672.7999999999993</v>
      </c>
      <c r="S263" s="21">
        <v>7261.6</v>
      </c>
      <c r="T263" s="21">
        <v>4198</v>
      </c>
      <c r="U263" s="21">
        <v>4623.1000000000004</v>
      </c>
      <c r="V263" s="21">
        <v>3790.9</v>
      </c>
      <c r="W263" s="21">
        <v>3988.9</v>
      </c>
      <c r="X263" s="21">
        <v>4879.3999999999996</v>
      </c>
      <c r="Y263" s="21">
        <v>4111.8999999999996</v>
      </c>
      <c r="Z263" s="21">
        <v>3420.9</v>
      </c>
      <c r="AA263" s="21">
        <v>3173.6</v>
      </c>
      <c r="AB263" s="21">
        <v>3212.4</v>
      </c>
      <c r="AC263" s="21">
        <v>3210.7</v>
      </c>
      <c r="AD263" s="21">
        <v>3414.1</v>
      </c>
      <c r="AE263" s="21">
        <v>3192.1</v>
      </c>
      <c r="AF263" s="21">
        <v>2096.5</v>
      </c>
      <c r="AG263" s="21">
        <v>2381.6999999999998</v>
      </c>
      <c r="AH263" s="21">
        <v>5307.8</v>
      </c>
      <c r="AI263" s="21">
        <v>3474.6</v>
      </c>
      <c r="AJ263" s="21">
        <v>3657.1</v>
      </c>
      <c r="AK263" s="21">
        <v>4441.3999999999996</v>
      </c>
      <c r="AL263" s="21">
        <v>5693.4</v>
      </c>
      <c r="AM263" s="21">
        <v>7941.7</v>
      </c>
      <c r="AN263" s="21">
        <v>9504.4</v>
      </c>
      <c r="AO263" s="21">
        <v>10566.5</v>
      </c>
      <c r="AP263" s="21">
        <v>14709.4</v>
      </c>
      <c r="AQ263" s="21">
        <v>9658.4</v>
      </c>
      <c r="AR263" s="21">
        <v>12460.5</v>
      </c>
      <c r="AS263" s="21">
        <v>14755.4</v>
      </c>
      <c r="AT263" s="21">
        <v>13040.7</v>
      </c>
      <c r="AU263" s="21">
        <v>10524</v>
      </c>
      <c r="AV263" s="21">
        <v>7188.2</v>
      </c>
      <c r="AW263" s="21">
        <v>4448.2</v>
      </c>
      <c r="AX263" s="21">
        <v>4543.6000000000004</v>
      </c>
      <c r="AY263" s="21">
        <v>6330.2</v>
      </c>
      <c r="AZ263" s="21">
        <v>7616.4</v>
      </c>
      <c r="BA263" s="21">
        <v>6435.2</v>
      </c>
      <c r="BB263" s="21">
        <v>3325.1</v>
      </c>
      <c r="BC263" s="21">
        <v>7914.5</v>
      </c>
    </row>
    <row r="264" spans="1:55" x14ac:dyDescent="0.2">
      <c r="A264" s="21" t="s">
        <v>1413</v>
      </c>
      <c r="B264" s="21" t="s">
        <v>1414</v>
      </c>
      <c r="C264" s="21" t="s">
        <v>1181</v>
      </c>
      <c r="D264" s="21">
        <v>1.96</v>
      </c>
      <c r="E264" s="21">
        <v>2</v>
      </c>
      <c r="F264" s="21">
        <v>2</v>
      </c>
      <c r="G264" s="21">
        <v>2.08</v>
      </c>
      <c r="H264" s="21">
        <v>2.6</v>
      </c>
      <c r="I264" s="21">
        <v>3.12</v>
      </c>
      <c r="J264" s="21">
        <v>3.12</v>
      </c>
      <c r="K264" s="21">
        <v>3.12</v>
      </c>
      <c r="L264" s="21">
        <v>3.12</v>
      </c>
      <c r="M264" s="21">
        <v>5.04</v>
      </c>
      <c r="N264" s="21">
        <v>10.48</v>
      </c>
      <c r="O264" s="21">
        <v>10.72</v>
      </c>
      <c r="P264" s="21">
        <v>10.72</v>
      </c>
      <c r="Q264" s="21">
        <v>10.72</v>
      </c>
      <c r="R264" s="21">
        <v>11.13</v>
      </c>
      <c r="S264" s="21">
        <v>10.87</v>
      </c>
      <c r="T264" s="21">
        <v>10.73</v>
      </c>
      <c r="U264" s="21">
        <v>10.73</v>
      </c>
      <c r="V264" s="21">
        <v>10.84</v>
      </c>
      <c r="W264" s="21">
        <v>10</v>
      </c>
      <c r="X264" s="21">
        <v>9.7100000000000009</v>
      </c>
      <c r="Y264" s="21">
        <v>9.51</v>
      </c>
      <c r="Z264" s="21">
        <v>9.5500000000000007</v>
      </c>
      <c r="AA264" s="21">
        <v>9.4700000000000006</v>
      </c>
      <c r="AB264" s="21">
        <v>9.57</v>
      </c>
      <c r="AC264" s="21">
        <v>9.84</v>
      </c>
      <c r="AD264" s="21">
        <v>10.5</v>
      </c>
      <c r="AE264" s="21">
        <v>10.46</v>
      </c>
      <c r="AF264" s="21">
        <v>9.02</v>
      </c>
      <c r="AG264" s="21">
        <v>9.93</v>
      </c>
      <c r="AH264" s="21">
        <v>12.69</v>
      </c>
      <c r="AI264" s="21">
        <v>12.1</v>
      </c>
      <c r="AJ264" s="21">
        <v>11.4</v>
      </c>
      <c r="AK264" s="21">
        <v>13.16</v>
      </c>
      <c r="AL264" s="21">
        <v>15.67</v>
      </c>
      <c r="AM264" s="21">
        <v>19.14</v>
      </c>
      <c r="AN264" s="21">
        <v>21.73</v>
      </c>
      <c r="AO264" s="21">
        <v>23.79</v>
      </c>
      <c r="AP264" s="21">
        <v>27.78</v>
      </c>
      <c r="AQ264" s="21">
        <v>20.2</v>
      </c>
      <c r="AR264" s="21">
        <v>24.1</v>
      </c>
      <c r="AS264" s="21">
        <v>30.44</v>
      </c>
      <c r="AT264" s="21">
        <v>31.33</v>
      </c>
      <c r="AU264" s="21">
        <v>30.47</v>
      </c>
      <c r="AV264" s="21">
        <v>29.27</v>
      </c>
      <c r="AW264" s="21">
        <v>21.53</v>
      </c>
      <c r="AX264" s="21">
        <v>19.21</v>
      </c>
      <c r="AY264" s="21">
        <v>21.57</v>
      </c>
      <c r="AZ264" s="21">
        <v>23.98</v>
      </c>
      <c r="BA264" s="21">
        <v>23.01</v>
      </c>
      <c r="BB264" s="21">
        <v>19.18</v>
      </c>
      <c r="BC264" s="21">
        <v>26.41</v>
      </c>
    </row>
    <row r="265" spans="1:55" x14ac:dyDescent="0.2">
      <c r="A265" s="21" t="s">
        <v>1413</v>
      </c>
      <c r="B265" s="21" t="s">
        <v>1414</v>
      </c>
      <c r="C265" s="21" t="s">
        <v>1184</v>
      </c>
      <c r="D265" s="21">
        <v>323</v>
      </c>
      <c r="E265" s="21">
        <v>312.5</v>
      </c>
      <c r="F265" s="21">
        <v>334.6</v>
      </c>
      <c r="G265" s="21">
        <v>352</v>
      </c>
      <c r="H265" s="21">
        <v>436.5</v>
      </c>
      <c r="I265" s="21">
        <v>450.3</v>
      </c>
      <c r="J265" s="21">
        <v>493.2</v>
      </c>
      <c r="K265" s="21">
        <v>514.20000000000005</v>
      </c>
      <c r="L265" s="21">
        <v>618.29999999999995</v>
      </c>
      <c r="M265" s="21">
        <v>1011.6</v>
      </c>
      <c r="N265" s="21">
        <v>2022.4</v>
      </c>
      <c r="O265" s="21">
        <v>1520.6</v>
      </c>
      <c r="P265" s="21">
        <v>1415.8</v>
      </c>
      <c r="Q265" s="21">
        <v>1663.6</v>
      </c>
      <c r="R265" s="21">
        <v>2308.4</v>
      </c>
      <c r="S265" s="21">
        <v>1732.8</v>
      </c>
      <c r="T265" s="21">
        <v>1393.8</v>
      </c>
      <c r="U265" s="21">
        <v>1553.9</v>
      </c>
      <c r="V265" s="21">
        <v>1236.5</v>
      </c>
      <c r="W265" s="21">
        <v>1072.7</v>
      </c>
      <c r="X265" s="21">
        <v>1040.4000000000001</v>
      </c>
      <c r="Y265" s="21">
        <v>837</v>
      </c>
      <c r="Z265" s="21">
        <v>998.1</v>
      </c>
      <c r="AA265" s="21">
        <v>990</v>
      </c>
      <c r="AB265" s="21">
        <v>776</v>
      </c>
      <c r="AC265" s="21">
        <v>696.6</v>
      </c>
      <c r="AD265" s="21">
        <v>782.4</v>
      </c>
      <c r="AE265" s="21">
        <v>756.2</v>
      </c>
      <c r="AF265" s="21">
        <v>967.3</v>
      </c>
      <c r="AG265" s="21">
        <v>1443.6</v>
      </c>
      <c r="AH265" s="21">
        <v>1235.4000000000001</v>
      </c>
      <c r="AI265" s="21">
        <v>949.8</v>
      </c>
      <c r="AJ265" s="21">
        <v>1167.5999999999999</v>
      </c>
      <c r="AK265" s="21">
        <v>1059.3</v>
      </c>
      <c r="AL265" s="21">
        <v>799.9</v>
      </c>
      <c r="AM265" s="21">
        <v>1196.7</v>
      </c>
      <c r="AN265" s="21">
        <v>1522</v>
      </c>
      <c r="AO265" s="21">
        <v>1856.1</v>
      </c>
      <c r="AP265" s="21">
        <v>2358</v>
      </c>
      <c r="AQ265" s="21">
        <v>932.7</v>
      </c>
      <c r="AR265" s="21">
        <v>629.20000000000005</v>
      </c>
      <c r="AS265" s="21">
        <v>688.4</v>
      </c>
      <c r="AT265" s="21">
        <v>461</v>
      </c>
      <c r="AU265" s="21">
        <v>3047.4</v>
      </c>
      <c r="AV265" s="21">
        <v>3106.3</v>
      </c>
      <c r="AW265" s="21">
        <v>2137.4</v>
      </c>
      <c r="AX265" s="21">
        <v>1797.5</v>
      </c>
      <c r="AY265" s="21">
        <v>2164.3000000000002</v>
      </c>
      <c r="AZ265" s="21">
        <v>2207.5</v>
      </c>
      <c r="BA265" s="21">
        <v>2200.1</v>
      </c>
      <c r="BB265" s="21">
        <v>1660.1</v>
      </c>
      <c r="BC265" s="21">
        <v>2145.1999999999998</v>
      </c>
    </row>
    <row r="266" spans="1:55" x14ac:dyDescent="0.2">
      <c r="A266" s="21" t="s">
        <v>1413</v>
      </c>
      <c r="B266" s="21" t="s">
        <v>1414</v>
      </c>
      <c r="C266" s="21" t="s">
        <v>1212</v>
      </c>
      <c r="D266" s="21">
        <v>2.31</v>
      </c>
      <c r="E266" s="21">
        <v>2.37</v>
      </c>
      <c r="F266" s="21">
        <v>2.38</v>
      </c>
      <c r="G266" s="21">
        <v>2.57</v>
      </c>
      <c r="H266" s="21">
        <v>3.7</v>
      </c>
      <c r="I266" s="21">
        <v>4.0199999999999996</v>
      </c>
      <c r="J266" s="21">
        <v>4.21</v>
      </c>
      <c r="K266" s="21">
        <v>4.47</v>
      </c>
      <c r="L266" s="21">
        <v>4.59</v>
      </c>
      <c r="M266" s="21">
        <v>6.19</v>
      </c>
      <c r="N266" s="21">
        <v>8.61</v>
      </c>
      <c r="O266" s="21">
        <v>9.84</v>
      </c>
      <c r="P266" s="21">
        <v>9.43</v>
      </c>
      <c r="Q266" s="21">
        <v>8.4499999999999993</v>
      </c>
      <c r="R266" s="21">
        <v>8.27</v>
      </c>
      <c r="S266" s="21">
        <v>8.27</v>
      </c>
      <c r="T266" s="21">
        <v>6.24</v>
      </c>
      <c r="U266" s="21">
        <v>6.61</v>
      </c>
      <c r="V266" s="21">
        <v>6.6</v>
      </c>
      <c r="W266" s="21">
        <v>7.22</v>
      </c>
      <c r="X266" s="21">
        <v>8.33</v>
      </c>
      <c r="Y266" s="21">
        <v>8.0399999999999991</v>
      </c>
      <c r="Z266" s="21">
        <v>7.96</v>
      </c>
      <c r="AA266" s="21">
        <v>7.94</v>
      </c>
      <c r="AB266" s="21">
        <v>7.95</v>
      </c>
      <c r="AC266" s="21">
        <v>8.1199999999999992</v>
      </c>
      <c r="AD266" s="21">
        <v>8.7799999999999994</v>
      </c>
      <c r="AE266" s="21">
        <v>8.74</v>
      </c>
      <c r="AF266" s="21">
        <v>7.51</v>
      </c>
      <c r="AG266" s="21">
        <v>8.2899999999999991</v>
      </c>
      <c r="AH266" s="21">
        <v>10.77</v>
      </c>
      <c r="AI266" s="21">
        <v>10.26</v>
      </c>
      <c r="AJ266" s="21">
        <v>9.69</v>
      </c>
      <c r="AK266" s="21">
        <v>11.24</v>
      </c>
      <c r="AL266" s="21">
        <v>13.47</v>
      </c>
      <c r="AM266" s="21">
        <v>16.920000000000002</v>
      </c>
      <c r="AN266" s="21">
        <v>19.2</v>
      </c>
      <c r="AO266" s="21">
        <v>20.83</v>
      </c>
      <c r="AP266" s="21">
        <v>25.62</v>
      </c>
      <c r="AQ266" s="21">
        <v>17.899999999999999</v>
      </c>
      <c r="AR266" s="21">
        <v>21.54</v>
      </c>
      <c r="AS266" s="21">
        <v>27.54</v>
      </c>
      <c r="AT266" s="21">
        <v>28.39</v>
      </c>
      <c r="AU266" s="21">
        <v>27.73</v>
      </c>
      <c r="AV266" s="21">
        <v>26.72</v>
      </c>
      <c r="AW266" s="21">
        <v>19.16</v>
      </c>
      <c r="AX266" s="21">
        <v>16.71</v>
      </c>
      <c r="AY266" s="21">
        <v>18.91</v>
      </c>
      <c r="AZ266" s="21">
        <v>21.74</v>
      </c>
      <c r="BA266" s="21">
        <v>20.83</v>
      </c>
      <c r="BB266" s="21">
        <v>17.43</v>
      </c>
      <c r="BC266" s="21">
        <v>23.36</v>
      </c>
    </row>
    <row r="267" spans="1:55" x14ac:dyDescent="0.2">
      <c r="A267" s="21" t="s">
        <v>1413</v>
      </c>
      <c r="B267" s="21" t="s">
        <v>1414</v>
      </c>
      <c r="C267" s="21" t="s">
        <v>1214</v>
      </c>
      <c r="D267" s="21">
        <v>35379.4</v>
      </c>
      <c r="E267" s="21">
        <v>37824.300000000003</v>
      </c>
      <c r="F267" s="21">
        <v>40217.9</v>
      </c>
      <c r="G267" s="21">
        <v>45918</v>
      </c>
      <c r="H267" s="21">
        <v>64476.1</v>
      </c>
      <c r="I267" s="21">
        <v>70932.800000000003</v>
      </c>
      <c r="J267" s="21">
        <v>77879.8</v>
      </c>
      <c r="K267" s="21">
        <v>86160.2</v>
      </c>
      <c r="L267" s="21">
        <v>92127.9</v>
      </c>
      <c r="M267" s="21">
        <v>122826.2</v>
      </c>
      <c r="N267" s="21">
        <v>163679.9</v>
      </c>
      <c r="O267" s="21">
        <v>185202.5</v>
      </c>
      <c r="P267" s="21">
        <v>173967.6</v>
      </c>
      <c r="Q267" s="21">
        <v>157485.29999999999</v>
      </c>
      <c r="R267" s="21">
        <v>157721.5</v>
      </c>
      <c r="S267" s="21">
        <v>161564.29999999999</v>
      </c>
      <c r="T267" s="21">
        <v>126410.9</v>
      </c>
      <c r="U267" s="21">
        <v>138242.4</v>
      </c>
      <c r="V267" s="21">
        <v>142814.79999999999</v>
      </c>
      <c r="W267" s="21">
        <v>157266.1</v>
      </c>
      <c r="X267" s="21">
        <v>180790.1</v>
      </c>
      <c r="Y267" s="21">
        <v>172453.8</v>
      </c>
      <c r="Z267" s="21">
        <v>173214.1</v>
      </c>
      <c r="AA267" s="21">
        <v>174639.8</v>
      </c>
      <c r="AB267" s="21">
        <v>179567.6</v>
      </c>
      <c r="AC267" s="21">
        <v>187205.8</v>
      </c>
      <c r="AD267" s="21">
        <v>207734.6</v>
      </c>
      <c r="AE267" s="21">
        <v>209014.7</v>
      </c>
      <c r="AF267" s="21">
        <v>184202.1</v>
      </c>
      <c r="AG267" s="21">
        <v>208989.4</v>
      </c>
      <c r="AH267" s="21">
        <v>278028.2</v>
      </c>
      <c r="AI267" s="21">
        <v>262200</v>
      </c>
      <c r="AJ267" s="21">
        <v>252725.3</v>
      </c>
      <c r="AK267" s="21">
        <v>294656.3</v>
      </c>
      <c r="AL267" s="21">
        <v>366324.7</v>
      </c>
      <c r="AM267" s="21">
        <v>467163.3</v>
      </c>
      <c r="AN267" s="21">
        <v>538110.6</v>
      </c>
      <c r="AO267" s="21">
        <v>584922.69999999995</v>
      </c>
      <c r="AP267" s="21">
        <v>683533.6</v>
      </c>
      <c r="AQ267" s="21">
        <v>463046.3</v>
      </c>
      <c r="AR267" s="21">
        <v>565186.6</v>
      </c>
      <c r="AS267" s="21">
        <v>711500.9</v>
      </c>
      <c r="AT267" s="21">
        <v>719012.4</v>
      </c>
      <c r="AU267" s="21">
        <v>712856.7</v>
      </c>
      <c r="AV267" s="21">
        <v>697351.4</v>
      </c>
      <c r="AW267" s="21">
        <v>507607.3</v>
      </c>
      <c r="AX267" s="21">
        <v>451746.3</v>
      </c>
      <c r="AY267" s="21">
        <v>514956.7</v>
      </c>
      <c r="AZ267" s="21">
        <v>598290.9</v>
      </c>
      <c r="BA267" s="21">
        <v>572467.30000000005</v>
      </c>
      <c r="BB267" s="21">
        <v>405525.2</v>
      </c>
      <c r="BC267" s="21">
        <v>604083.30000000005</v>
      </c>
    </row>
    <row r="268" spans="1:55" x14ac:dyDescent="0.2">
      <c r="A268" s="21" t="s">
        <v>1413</v>
      </c>
      <c r="B268" s="21" t="s">
        <v>1414</v>
      </c>
      <c r="C268" s="21" t="s">
        <v>1220</v>
      </c>
      <c r="D268" s="21">
        <v>1.97</v>
      </c>
      <c r="E268" s="21">
        <v>2.15</v>
      </c>
      <c r="F268" s="21">
        <v>2.3199999999999998</v>
      </c>
      <c r="G268" s="21">
        <v>2.5499999999999998</v>
      </c>
      <c r="H268" s="21">
        <v>3.4</v>
      </c>
      <c r="I268" s="21">
        <v>4.0599999999999996</v>
      </c>
      <c r="J268" s="21">
        <v>4.38</v>
      </c>
      <c r="K268" s="21">
        <v>5.12</v>
      </c>
      <c r="L268" s="21">
        <v>5.49</v>
      </c>
      <c r="M268" s="21">
        <v>6.27</v>
      </c>
      <c r="N268" s="21">
        <v>7.83</v>
      </c>
      <c r="O268" s="21">
        <v>9.4700000000000006</v>
      </c>
      <c r="P268" s="21">
        <v>10.34</v>
      </c>
      <c r="Q268" s="21">
        <v>10.91</v>
      </c>
      <c r="R268" s="21">
        <v>11.12</v>
      </c>
      <c r="S268" s="21">
        <v>11.63</v>
      </c>
      <c r="T268" s="21">
        <v>11.2</v>
      </c>
      <c r="U268" s="21">
        <v>10.96</v>
      </c>
      <c r="V268" s="21">
        <v>10.81</v>
      </c>
      <c r="W268" s="21">
        <v>11.25</v>
      </c>
      <c r="X268" s="21">
        <v>11.87</v>
      </c>
      <c r="Y268" s="21">
        <v>12.05</v>
      </c>
      <c r="Z268" s="21">
        <v>12.15</v>
      </c>
      <c r="AA268" s="21">
        <v>12.55</v>
      </c>
      <c r="AB268" s="21">
        <v>12.72</v>
      </c>
      <c r="AC268" s="21">
        <v>12.62</v>
      </c>
      <c r="AD268" s="21">
        <v>12.76</v>
      </c>
      <c r="AE268" s="21">
        <v>13.03</v>
      </c>
      <c r="AF268" s="21">
        <v>13.05</v>
      </c>
      <c r="AG268" s="21">
        <v>12.84</v>
      </c>
      <c r="AH268" s="21">
        <v>13.9</v>
      </c>
      <c r="AI268" s="21">
        <v>15.54</v>
      </c>
      <c r="AJ268" s="21">
        <v>14.66</v>
      </c>
      <c r="AK268" s="21">
        <v>15.61</v>
      </c>
      <c r="AL268" s="21">
        <v>16.55</v>
      </c>
      <c r="AM268" s="21">
        <v>18.59</v>
      </c>
      <c r="AN268" s="21">
        <v>20.63</v>
      </c>
      <c r="AO268" s="21">
        <v>20.74</v>
      </c>
      <c r="AP268" s="21">
        <v>22.28</v>
      </c>
      <c r="AQ268" s="21">
        <v>20.67</v>
      </c>
      <c r="AR268" s="21">
        <v>20.92</v>
      </c>
      <c r="AS268" s="21">
        <v>21.18</v>
      </c>
      <c r="AT268" s="21">
        <v>21.01</v>
      </c>
      <c r="AU268" s="21">
        <v>20.64</v>
      </c>
      <c r="AV268" s="21">
        <v>21.43</v>
      </c>
      <c r="AW268" s="21">
        <v>20.72</v>
      </c>
      <c r="AX268" s="21">
        <v>20.170000000000002</v>
      </c>
      <c r="AY268" s="21">
        <v>20.86</v>
      </c>
      <c r="AZ268" s="21">
        <v>20.66</v>
      </c>
      <c r="BA268" s="21">
        <v>20.399999999999999</v>
      </c>
      <c r="BB268" s="21">
        <v>20.13</v>
      </c>
      <c r="BC268" s="21">
        <v>22.15</v>
      </c>
    </row>
    <row r="269" spans="1:55" x14ac:dyDescent="0.2">
      <c r="A269" s="21" t="s">
        <v>1413</v>
      </c>
      <c r="B269" s="21" t="s">
        <v>1414</v>
      </c>
      <c r="C269" s="21" t="s">
        <v>1222</v>
      </c>
      <c r="D269" s="21">
        <v>10677.7</v>
      </c>
      <c r="E269" s="21">
        <v>12021.3</v>
      </c>
      <c r="F269" s="21">
        <v>13463.6</v>
      </c>
      <c r="G269" s="21">
        <v>15149.4</v>
      </c>
      <c r="H269" s="21">
        <v>19578.7</v>
      </c>
      <c r="I269" s="21">
        <v>22955.5</v>
      </c>
      <c r="J269" s="21">
        <v>26446.6</v>
      </c>
      <c r="K269" s="21">
        <v>30725.4</v>
      </c>
      <c r="L269" s="21">
        <v>33562.800000000003</v>
      </c>
      <c r="M269" s="21">
        <v>38943.699999999997</v>
      </c>
      <c r="N269" s="21">
        <v>47074.3</v>
      </c>
      <c r="O269" s="21">
        <v>55629</v>
      </c>
      <c r="P269" s="21">
        <v>61502.7</v>
      </c>
      <c r="Q269" s="21">
        <v>65027.8</v>
      </c>
      <c r="R269" s="21">
        <v>69588</v>
      </c>
      <c r="S269" s="21">
        <v>70719.3</v>
      </c>
      <c r="T269" s="21">
        <v>68633.100000000006</v>
      </c>
      <c r="U269" s="21">
        <v>69095.600000000006</v>
      </c>
      <c r="V269" s="21">
        <v>71965.8</v>
      </c>
      <c r="W269" s="21">
        <v>75907</v>
      </c>
      <c r="X269" s="21">
        <v>79602.2</v>
      </c>
      <c r="Y269" s="21">
        <v>82095.7</v>
      </c>
      <c r="Z269" s="21">
        <v>83004.3</v>
      </c>
      <c r="AA269" s="21">
        <v>87093.4</v>
      </c>
      <c r="AB269" s="21">
        <v>90007.4</v>
      </c>
      <c r="AC269" s="21">
        <v>92103.6</v>
      </c>
      <c r="AD269" s="21">
        <v>96411.1</v>
      </c>
      <c r="AE269" s="21">
        <v>100756.1</v>
      </c>
      <c r="AF269" s="21">
        <v>99489.7</v>
      </c>
      <c r="AG269" s="21">
        <v>99678.8</v>
      </c>
      <c r="AH269" s="21">
        <v>113420.5</v>
      </c>
      <c r="AI269" s="21">
        <v>125787.8</v>
      </c>
      <c r="AJ269" s="21">
        <v>120161.7</v>
      </c>
      <c r="AK269" s="21">
        <v>130239.6</v>
      </c>
      <c r="AL269" s="21">
        <v>138688.1</v>
      </c>
      <c r="AM269" s="21">
        <v>155156.70000000001</v>
      </c>
      <c r="AN269" s="21">
        <v>167625.9</v>
      </c>
      <c r="AO269" s="21">
        <v>174792.6</v>
      </c>
      <c r="AP269" s="21">
        <v>191543.2</v>
      </c>
      <c r="AQ269" s="21">
        <v>174680.8</v>
      </c>
      <c r="AR269" s="21">
        <v>177662</v>
      </c>
      <c r="AS269" s="21">
        <v>180474.3</v>
      </c>
      <c r="AT269" s="21">
        <v>171694.7</v>
      </c>
      <c r="AU269" s="21">
        <v>178184.2</v>
      </c>
      <c r="AV269" s="21">
        <v>190719.7</v>
      </c>
      <c r="AW269" s="21">
        <v>185970.5</v>
      </c>
      <c r="AX269" s="21">
        <v>178884.5</v>
      </c>
      <c r="AY269" s="21">
        <v>184766.4</v>
      </c>
      <c r="AZ269" s="21">
        <v>193092</v>
      </c>
      <c r="BA269" s="21">
        <v>189355.4</v>
      </c>
      <c r="BB269" s="21">
        <v>173890.8</v>
      </c>
      <c r="BC269" s="21">
        <v>199002.2</v>
      </c>
    </row>
    <row r="270" spans="1:55" x14ac:dyDescent="0.2">
      <c r="A270" s="21" t="s">
        <v>1413</v>
      </c>
      <c r="B270" s="21" t="s">
        <v>1414</v>
      </c>
      <c r="C270" s="21" t="s">
        <v>1228</v>
      </c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>
        <v>6.62</v>
      </c>
      <c r="AF270" s="21">
        <v>5.81</v>
      </c>
      <c r="AG270" s="21">
        <v>5.8</v>
      </c>
      <c r="AH270" s="21">
        <v>6.71</v>
      </c>
      <c r="AI270" s="21">
        <v>6.58</v>
      </c>
      <c r="AJ270" s="21">
        <v>6.08</v>
      </c>
      <c r="AK270" s="21">
        <v>6.59</v>
      </c>
      <c r="AL270" s="21">
        <v>7.13</v>
      </c>
      <c r="AM270" s="21">
        <v>8.02</v>
      </c>
      <c r="AN270" s="21">
        <v>8.39</v>
      </c>
      <c r="AO270" s="21">
        <v>8.52</v>
      </c>
      <c r="AP270" s="21">
        <v>9.5399999999999991</v>
      </c>
      <c r="AQ270" s="21">
        <v>7.37</v>
      </c>
      <c r="AR270" s="21">
        <v>8.07</v>
      </c>
      <c r="AS270" s="21">
        <v>8.93</v>
      </c>
      <c r="AT270" s="21">
        <v>8.34</v>
      </c>
      <c r="AU270" s="21">
        <v>8.17</v>
      </c>
      <c r="AV270" s="21">
        <v>7.95</v>
      </c>
      <c r="AW270" s="21">
        <v>6.2</v>
      </c>
      <c r="AX270" s="21">
        <v>5.56</v>
      </c>
      <c r="AY270" s="21">
        <v>5.83</v>
      </c>
      <c r="AZ270" s="21">
        <v>6.19</v>
      </c>
      <c r="BA270" s="21">
        <v>5.72</v>
      </c>
      <c r="BB270" s="21">
        <v>4.79</v>
      </c>
      <c r="BC270" s="21">
        <v>5.65</v>
      </c>
    </row>
    <row r="271" spans="1:55" x14ac:dyDescent="0.2">
      <c r="A271" s="21" t="s">
        <v>1413</v>
      </c>
      <c r="B271" s="21" t="s">
        <v>1414</v>
      </c>
      <c r="C271" s="21" t="s">
        <v>1233</v>
      </c>
      <c r="D271" s="21">
        <v>0.84</v>
      </c>
      <c r="E271" s="21">
        <v>0.93</v>
      </c>
      <c r="F271" s="21">
        <v>0.99</v>
      </c>
      <c r="G271" s="21">
        <v>1.1000000000000001</v>
      </c>
      <c r="H271" s="21">
        <v>1.78</v>
      </c>
      <c r="I271" s="21">
        <v>2.21</v>
      </c>
      <c r="J271" s="21">
        <v>2.44</v>
      </c>
      <c r="K271" s="21">
        <v>2.79</v>
      </c>
      <c r="L271" s="21">
        <v>3.05</v>
      </c>
      <c r="M271" s="21">
        <v>3.64</v>
      </c>
      <c r="N271" s="21">
        <v>4.72</v>
      </c>
      <c r="O271" s="21">
        <v>5.53</v>
      </c>
      <c r="P271" s="21">
        <v>6.08</v>
      </c>
      <c r="Q271" s="21">
        <v>6.24</v>
      </c>
      <c r="R271" s="21">
        <v>6.15</v>
      </c>
      <c r="S271" s="21">
        <v>6.06</v>
      </c>
      <c r="T271" s="21">
        <v>5.39</v>
      </c>
      <c r="U271" s="21">
        <v>5.21</v>
      </c>
      <c r="V271" s="21">
        <v>5.05</v>
      </c>
      <c r="W271" s="21">
        <v>4.97</v>
      </c>
      <c r="X271" s="21">
        <v>5.3</v>
      </c>
      <c r="Y271" s="21">
        <v>5.25</v>
      </c>
      <c r="Z271" s="21">
        <v>5.18</v>
      </c>
      <c r="AA271" s="21">
        <v>5.21</v>
      </c>
      <c r="AB271" s="21">
        <v>5.19</v>
      </c>
      <c r="AC271" s="21">
        <v>5.01</v>
      </c>
      <c r="AD271" s="21">
        <v>5.44</v>
      </c>
      <c r="AE271" s="21">
        <v>5.39</v>
      </c>
      <c r="AF271" s="21">
        <v>4.9400000000000004</v>
      </c>
      <c r="AG271" s="21">
        <v>5.2</v>
      </c>
      <c r="AH271" s="21">
        <v>6.5</v>
      </c>
      <c r="AI271" s="21">
        <v>6.96</v>
      </c>
      <c r="AJ271" s="21">
        <v>6.37</v>
      </c>
      <c r="AK271" s="21">
        <v>7.53</v>
      </c>
      <c r="AL271" s="21">
        <v>8.51</v>
      </c>
      <c r="AM271" s="21">
        <v>10.42</v>
      </c>
      <c r="AN271" s="21">
        <v>11.42</v>
      </c>
      <c r="AO271" s="21">
        <v>11.98</v>
      </c>
      <c r="AP271" s="21">
        <v>14.51</v>
      </c>
      <c r="AQ271" s="21">
        <v>11.37</v>
      </c>
      <c r="AR271" s="21">
        <v>12.14</v>
      </c>
      <c r="AS271" s="21">
        <v>13.67</v>
      </c>
      <c r="AT271" s="21">
        <v>12.42</v>
      </c>
      <c r="AU271" s="21">
        <v>12.52</v>
      </c>
      <c r="AV271" s="21">
        <v>12.72</v>
      </c>
      <c r="AW271" s="21">
        <v>9.8800000000000008</v>
      </c>
      <c r="AX271" s="21">
        <v>9.01</v>
      </c>
      <c r="AY271" s="21">
        <v>9.9499999999999993</v>
      </c>
      <c r="AZ271" s="21">
        <v>10.66</v>
      </c>
      <c r="BA271" s="21">
        <v>9.91</v>
      </c>
      <c r="BB271" s="21">
        <v>8.73</v>
      </c>
      <c r="BC271" s="21">
        <v>11.61</v>
      </c>
    </row>
    <row r="272" spans="1:55" x14ac:dyDescent="0.2">
      <c r="A272" s="21" t="s">
        <v>1413</v>
      </c>
      <c r="B272" s="21" t="s">
        <v>1414</v>
      </c>
      <c r="C272" s="21" t="s">
        <v>1235</v>
      </c>
      <c r="D272" s="21">
        <v>16705.5</v>
      </c>
      <c r="E272" s="21">
        <v>18258.599999999999</v>
      </c>
      <c r="F272" s="21">
        <v>20294.099999999999</v>
      </c>
      <c r="G272" s="21">
        <v>23795.4</v>
      </c>
      <c r="H272" s="21">
        <v>36852.9</v>
      </c>
      <c r="I272" s="21">
        <v>41127.4</v>
      </c>
      <c r="J272" s="21">
        <v>47904.2</v>
      </c>
      <c r="K272" s="21">
        <v>56015.9</v>
      </c>
      <c r="L272" s="21">
        <v>61732.1</v>
      </c>
      <c r="M272" s="21">
        <v>77653.2</v>
      </c>
      <c r="N272" s="21">
        <v>94316</v>
      </c>
      <c r="O272" s="21">
        <v>108580.5</v>
      </c>
      <c r="P272" s="21">
        <v>103502.8</v>
      </c>
      <c r="Q272" s="21">
        <v>102292.6</v>
      </c>
      <c r="R272" s="21">
        <v>110343.1</v>
      </c>
      <c r="S272" s="21">
        <v>106436.3</v>
      </c>
      <c r="T272" s="21">
        <v>91870.7</v>
      </c>
      <c r="U272" s="21">
        <v>91650.3</v>
      </c>
      <c r="V272" s="21">
        <v>92876.6</v>
      </c>
      <c r="W272" s="21">
        <v>96319.9</v>
      </c>
      <c r="X272" s="21">
        <v>103350.5</v>
      </c>
      <c r="Y272" s="21">
        <v>101885.7</v>
      </c>
      <c r="Z272" s="21">
        <v>104228.1</v>
      </c>
      <c r="AA272" s="21">
        <v>105395.8</v>
      </c>
      <c r="AB272" s="21">
        <v>108319.4</v>
      </c>
      <c r="AC272" s="21">
        <v>107352.7</v>
      </c>
      <c r="AD272" s="21">
        <v>118807.2</v>
      </c>
      <c r="AE272" s="21">
        <v>119989.7</v>
      </c>
      <c r="AF272" s="21">
        <v>107989.1</v>
      </c>
      <c r="AG272" s="21">
        <v>112959.7</v>
      </c>
      <c r="AH272" s="21">
        <v>140963.29999999999</v>
      </c>
      <c r="AI272" s="21">
        <v>141013.20000000001</v>
      </c>
      <c r="AJ272" s="21">
        <v>130535.2</v>
      </c>
      <c r="AK272" s="21">
        <v>151516.79999999999</v>
      </c>
      <c r="AL272" s="21">
        <v>177117.2</v>
      </c>
      <c r="AM272" s="21">
        <v>208224.7</v>
      </c>
      <c r="AN272" s="21">
        <v>227840.3</v>
      </c>
      <c r="AO272" s="21">
        <v>236209</v>
      </c>
      <c r="AP272" s="21">
        <v>274021.7</v>
      </c>
      <c r="AQ272" s="21">
        <v>188034.1</v>
      </c>
      <c r="AR272" s="21">
        <v>221657.1</v>
      </c>
      <c r="AS272" s="21">
        <v>251301.4</v>
      </c>
      <c r="AT272" s="21">
        <v>230283.7</v>
      </c>
      <c r="AU272" s="21">
        <v>236901.2</v>
      </c>
      <c r="AV272" s="21">
        <v>242647.4</v>
      </c>
      <c r="AW272" s="21">
        <v>186824.9</v>
      </c>
      <c r="AX272" s="21">
        <v>169703</v>
      </c>
      <c r="AY272" s="21">
        <v>190546.6</v>
      </c>
      <c r="AZ272" s="21">
        <v>213534.9</v>
      </c>
      <c r="BA272" s="21">
        <v>197828.3</v>
      </c>
      <c r="BB272" s="21">
        <v>167111.20000000001</v>
      </c>
      <c r="BC272" s="21">
        <v>231772.1</v>
      </c>
    </row>
    <row r="273" spans="1:55" x14ac:dyDescent="0.2">
      <c r="A273" s="21" t="s">
        <v>1413</v>
      </c>
      <c r="B273" s="21" t="s">
        <v>1414</v>
      </c>
      <c r="C273" s="21" t="s">
        <v>1239</v>
      </c>
      <c r="D273" s="21">
        <v>17520251</v>
      </c>
      <c r="E273" s="21">
        <v>18134160</v>
      </c>
      <c r="F273" s="21">
        <v>19349367</v>
      </c>
      <c r="G273" s="21">
        <v>20372781</v>
      </c>
      <c r="H273" s="21">
        <v>20477976</v>
      </c>
      <c r="I273" s="21">
        <v>20392275</v>
      </c>
      <c r="J273" s="21">
        <v>21638416</v>
      </c>
      <c r="K273" s="21">
        <v>22586798</v>
      </c>
      <c r="L273" s="21">
        <v>23436080</v>
      </c>
      <c r="M273" s="21">
        <v>23775038</v>
      </c>
      <c r="N273" s="21">
        <v>23896049</v>
      </c>
      <c r="O273" s="21">
        <v>23042198</v>
      </c>
      <c r="P273" s="21">
        <v>22778717</v>
      </c>
      <c r="Q273" s="21">
        <v>23318451</v>
      </c>
      <c r="R273" s="21">
        <v>24164666</v>
      </c>
      <c r="S273" s="21">
        <v>24211142</v>
      </c>
      <c r="T273" s="21">
        <v>24246372</v>
      </c>
      <c r="U273" s="21">
        <v>25063377</v>
      </c>
      <c r="V273" s="21">
        <v>26345524</v>
      </c>
      <c r="W273" s="21">
        <v>26957255</v>
      </c>
      <c r="X273" s="21">
        <v>27317862</v>
      </c>
      <c r="Y273" s="21">
        <v>27189427</v>
      </c>
      <c r="Z273" s="21">
        <v>27398454</v>
      </c>
      <c r="AA273" s="21">
        <v>28033102</v>
      </c>
      <c r="AB273" s="21">
        <v>28510393</v>
      </c>
      <c r="AC273" s="21">
        <v>29140972</v>
      </c>
      <c r="AD273" s="21">
        <v>30225533</v>
      </c>
      <c r="AE273" s="21">
        <v>30425280</v>
      </c>
      <c r="AF273" s="21">
        <v>31007375</v>
      </c>
      <c r="AG273" s="21">
        <v>31499785</v>
      </c>
      <c r="AH273" s="21">
        <v>32173596</v>
      </c>
      <c r="AI273" s="21">
        <v>31507273</v>
      </c>
      <c r="AJ273" s="21">
        <v>31871233</v>
      </c>
      <c r="AK273" s="21">
        <v>31887051</v>
      </c>
      <c r="AL273" s="21">
        <v>32558324</v>
      </c>
      <c r="AM273" s="21">
        <v>32994280</v>
      </c>
      <c r="AN273" s="21">
        <v>32832057</v>
      </c>
      <c r="AO273" s="21">
        <v>33682162</v>
      </c>
      <c r="AP273" s="21">
        <v>33389276</v>
      </c>
      <c r="AQ273" s="21">
        <v>32265303</v>
      </c>
      <c r="AR273" s="21">
        <v>33437058</v>
      </c>
      <c r="AS273" s="21">
        <v>33279222</v>
      </c>
      <c r="AT273" s="21">
        <v>32392761</v>
      </c>
      <c r="AU273" s="21">
        <v>32904672</v>
      </c>
      <c r="AV273" s="21">
        <v>32923948</v>
      </c>
      <c r="AW273" s="21">
        <v>32237909</v>
      </c>
      <c r="AX273" s="21">
        <v>32264146</v>
      </c>
      <c r="AY273" s="21">
        <v>32093760</v>
      </c>
      <c r="AZ273" s="21">
        <v>32906010</v>
      </c>
      <c r="BA273" s="21">
        <v>32256771</v>
      </c>
      <c r="BB273" s="21">
        <v>30920333</v>
      </c>
      <c r="BC273" s="21">
        <v>31965785</v>
      </c>
    </row>
    <row r="274" spans="1:55" x14ac:dyDescent="0.2">
      <c r="A274" s="21" t="s">
        <v>1413</v>
      </c>
      <c r="B274" s="21" t="s">
        <v>1414</v>
      </c>
      <c r="C274" s="21" t="s">
        <v>1245</v>
      </c>
      <c r="D274" s="21">
        <v>2.1</v>
      </c>
      <c r="E274" s="21">
        <v>2.23</v>
      </c>
      <c r="F274" s="21">
        <v>2.37</v>
      </c>
      <c r="G274" s="21">
        <v>2.71</v>
      </c>
      <c r="H274" s="21">
        <v>3.38</v>
      </c>
      <c r="I274" s="21">
        <v>3.8</v>
      </c>
      <c r="J274" s="21">
        <v>4.13</v>
      </c>
      <c r="K274" s="21">
        <v>4.76</v>
      </c>
      <c r="L274" s="21">
        <v>5.13</v>
      </c>
      <c r="M274" s="21">
        <v>5.99</v>
      </c>
      <c r="N274" s="21">
        <v>7.46</v>
      </c>
      <c r="O274" s="21">
        <v>8.82</v>
      </c>
      <c r="P274" s="21">
        <v>9.77</v>
      </c>
      <c r="Q274" s="21">
        <v>10.66</v>
      </c>
      <c r="R274" s="21">
        <v>10.66</v>
      </c>
      <c r="S274" s="21">
        <v>10.91</v>
      </c>
      <c r="T274" s="21">
        <v>10.75</v>
      </c>
      <c r="U274" s="21">
        <v>10.71</v>
      </c>
      <c r="V274" s="21">
        <v>10.66</v>
      </c>
      <c r="W274" s="21">
        <v>11.02</v>
      </c>
      <c r="X274" s="21">
        <v>11.87</v>
      </c>
      <c r="Y274" s="21">
        <v>12.08</v>
      </c>
      <c r="Z274" s="21">
        <v>11.97</v>
      </c>
      <c r="AA274" s="21">
        <v>12.27</v>
      </c>
      <c r="AB274" s="21">
        <v>12.6</v>
      </c>
      <c r="AC274" s="21">
        <v>12.6</v>
      </c>
      <c r="AD274" s="21">
        <v>12.69</v>
      </c>
      <c r="AE274" s="21">
        <v>13.25</v>
      </c>
      <c r="AF274" s="21">
        <v>13.44</v>
      </c>
      <c r="AG274" s="21">
        <v>13.15</v>
      </c>
      <c r="AH274" s="21">
        <v>14.21</v>
      </c>
      <c r="AI274" s="21">
        <v>15.62</v>
      </c>
      <c r="AJ274" s="21">
        <v>14.65</v>
      </c>
      <c r="AK274" s="21">
        <v>15.79</v>
      </c>
      <c r="AL274" s="21">
        <v>17.02</v>
      </c>
      <c r="AM274" s="21">
        <v>19.16</v>
      </c>
      <c r="AN274" s="21">
        <v>21.49</v>
      </c>
      <c r="AO274" s="21">
        <v>21.57</v>
      </c>
      <c r="AP274" s="21">
        <v>23.08</v>
      </c>
      <c r="AQ274" s="21">
        <v>22.04</v>
      </c>
      <c r="AR274" s="21">
        <v>22.37</v>
      </c>
      <c r="AS274" s="21">
        <v>22.81</v>
      </c>
      <c r="AT274" s="21">
        <v>23.39</v>
      </c>
      <c r="AU274" s="21">
        <v>22.59</v>
      </c>
      <c r="AV274" s="21">
        <v>23.35</v>
      </c>
      <c r="AW274" s="21">
        <v>22.93</v>
      </c>
      <c r="AX274" s="21">
        <v>22.92</v>
      </c>
      <c r="AY274" s="21">
        <v>23.77</v>
      </c>
      <c r="AZ274" s="21">
        <v>23.29</v>
      </c>
      <c r="BA274" s="21">
        <v>23.13</v>
      </c>
      <c r="BB274" s="21">
        <v>23.8</v>
      </c>
      <c r="BC274" s="21">
        <v>25.45</v>
      </c>
    </row>
    <row r="275" spans="1:55" x14ac:dyDescent="0.2">
      <c r="A275" s="21" t="s">
        <v>1413</v>
      </c>
      <c r="B275" s="21" t="s">
        <v>1414</v>
      </c>
      <c r="C275" s="21" t="s">
        <v>1247</v>
      </c>
      <c r="D275" s="21">
        <v>20112.2</v>
      </c>
      <c r="E275" s="21">
        <v>21933.599999999999</v>
      </c>
      <c r="F275" s="21">
        <v>24094.7</v>
      </c>
      <c r="G275" s="21">
        <v>27031.4</v>
      </c>
      <c r="H275" s="21">
        <v>32461.3</v>
      </c>
      <c r="I275" s="21">
        <v>36838</v>
      </c>
      <c r="J275" s="21">
        <v>41685.199999999997</v>
      </c>
      <c r="K275" s="21">
        <v>47597.599999999999</v>
      </c>
      <c r="L275" s="21">
        <v>51857.3</v>
      </c>
      <c r="M275" s="21">
        <v>58151.5</v>
      </c>
      <c r="N275" s="21">
        <v>69279.7</v>
      </c>
      <c r="O275" s="21">
        <v>78489.100000000006</v>
      </c>
      <c r="P275" s="21">
        <v>87508.9</v>
      </c>
      <c r="Q275" s="21">
        <v>92815.8</v>
      </c>
      <c r="R275" s="21">
        <v>97660.3</v>
      </c>
      <c r="S275" s="21">
        <v>99623.2</v>
      </c>
      <c r="T275" s="21">
        <v>97176.2</v>
      </c>
      <c r="U275" s="21">
        <v>98638.399999999994</v>
      </c>
      <c r="V275" s="21">
        <v>103911.1</v>
      </c>
      <c r="W275" s="21">
        <v>109558.2</v>
      </c>
      <c r="X275" s="21">
        <v>110909.5</v>
      </c>
      <c r="Y275" s="21">
        <v>116004.4</v>
      </c>
      <c r="Z275" s="21">
        <v>116398.5</v>
      </c>
      <c r="AA275" s="21">
        <v>125145.60000000001</v>
      </c>
      <c r="AB275" s="21">
        <v>126961.9</v>
      </c>
      <c r="AC275" s="21">
        <v>127961.5</v>
      </c>
      <c r="AD275" s="21">
        <v>137340</v>
      </c>
      <c r="AE275" s="21">
        <v>138201.4</v>
      </c>
      <c r="AF275" s="21">
        <v>134601.70000000001</v>
      </c>
      <c r="AG275" s="21">
        <v>136998.79999999999</v>
      </c>
      <c r="AH275" s="21">
        <v>155299</v>
      </c>
      <c r="AI275" s="21">
        <v>167241.20000000001</v>
      </c>
      <c r="AJ275" s="21">
        <v>160542.29999999999</v>
      </c>
      <c r="AK275" s="21">
        <v>178657.6</v>
      </c>
      <c r="AL275" s="21">
        <v>189080.2</v>
      </c>
      <c r="AM275" s="21">
        <v>215185.6</v>
      </c>
      <c r="AN275" s="21">
        <v>225243.8</v>
      </c>
      <c r="AO275" s="21">
        <v>237944.5</v>
      </c>
      <c r="AP275" s="21">
        <v>259660.79999999999</v>
      </c>
      <c r="AQ275" s="21">
        <v>240767.2</v>
      </c>
      <c r="AR275" s="21">
        <v>249771.8</v>
      </c>
      <c r="AS275" s="21">
        <v>249191.2</v>
      </c>
      <c r="AT275" s="21">
        <v>234183.9</v>
      </c>
      <c r="AU275" s="21">
        <v>248460.1</v>
      </c>
      <c r="AV275" s="21">
        <v>264712</v>
      </c>
      <c r="AW275" s="21">
        <v>248044.7</v>
      </c>
      <c r="AX275" s="21">
        <v>238549.9</v>
      </c>
      <c r="AY275" s="21">
        <v>246109.7</v>
      </c>
      <c r="AZ275" s="21">
        <v>267012.8</v>
      </c>
      <c r="BA275" s="21">
        <v>264333.5</v>
      </c>
      <c r="BB275" s="21">
        <v>261258.4</v>
      </c>
      <c r="BC275" s="21">
        <v>282240.90000000002</v>
      </c>
    </row>
    <row r="276" spans="1:55" x14ac:dyDescent="0.2">
      <c r="A276" s="21" t="s">
        <v>1413</v>
      </c>
      <c r="B276" s="21" t="s">
        <v>1414</v>
      </c>
      <c r="C276" s="21" t="s">
        <v>1249</v>
      </c>
      <c r="D276" s="21">
        <v>2713964</v>
      </c>
      <c r="E276" s="21">
        <v>2692555</v>
      </c>
      <c r="F276" s="21">
        <v>2844741</v>
      </c>
      <c r="G276" s="21">
        <v>3008066</v>
      </c>
      <c r="H276" s="21">
        <v>2981001</v>
      </c>
      <c r="I276" s="21">
        <v>2881241</v>
      </c>
      <c r="J276" s="21">
        <v>2904796</v>
      </c>
      <c r="K276" s="21">
        <v>3005590</v>
      </c>
      <c r="L276" s="21">
        <v>2935416</v>
      </c>
      <c r="M276" s="21">
        <v>3076014</v>
      </c>
      <c r="N276" s="21">
        <v>3051098</v>
      </c>
      <c r="O276" s="21">
        <v>2203184</v>
      </c>
      <c r="P276" s="21">
        <v>2087040</v>
      </c>
      <c r="Q276" s="21">
        <v>2120226</v>
      </c>
      <c r="R276" s="21">
        <v>2253723</v>
      </c>
      <c r="S276" s="21">
        <v>2045220</v>
      </c>
      <c r="T276" s="21">
        <v>2284831</v>
      </c>
      <c r="U276" s="21">
        <v>2484861</v>
      </c>
      <c r="V276" s="21">
        <v>2695441</v>
      </c>
      <c r="W276" s="21">
        <v>2709564</v>
      </c>
      <c r="X276" s="21">
        <v>2802314</v>
      </c>
      <c r="Y276" s="21">
        <v>2667929</v>
      </c>
      <c r="Z276" s="21">
        <v>2953594</v>
      </c>
      <c r="AA276" s="21">
        <v>2877351</v>
      </c>
      <c r="AB276" s="21">
        <v>2991113</v>
      </c>
      <c r="AC276" s="21">
        <v>2915038</v>
      </c>
      <c r="AD276" s="21">
        <v>3203510</v>
      </c>
      <c r="AE276" s="21">
        <v>3196813</v>
      </c>
      <c r="AF276" s="21">
        <v>3042598</v>
      </c>
      <c r="AG276" s="21">
        <v>3051324</v>
      </c>
      <c r="AH276" s="21">
        <v>2950679</v>
      </c>
      <c r="AI276" s="21">
        <v>3152316</v>
      </c>
      <c r="AJ276" s="21">
        <v>3027656</v>
      </c>
      <c r="AK276" s="21">
        <v>3141474</v>
      </c>
      <c r="AL276" s="21">
        <v>3123427</v>
      </c>
      <c r="AM276" s="21">
        <v>3130067</v>
      </c>
      <c r="AN276" s="21">
        <v>3210548</v>
      </c>
      <c r="AO276" s="21">
        <v>3180363</v>
      </c>
      <c r="AP276" s="21">
        <v>2982797</v>
      </c>
      <c r="AQ276" s="21">
        <v>2922008</v>
      </c>
      <c r="AR276" s="21">
        <v>2972150</v>
      </c>
      <c r="AS276" s="21">
        <v>3052206</v>
      </c>
      <c r="AT276" s="21">
        <v>3104515</v>
      </c>
      <c r="AU276" s="21">
        <v>3175143</v>
      </c>
      <c r="AV276" s="21">
        <v>3070105</v>
      </c>
      <c r="AW276" s="21">
        <v>3056987</v>
      </c>
      <c r="AX276" s="21">
        <v>3242251</v>
      </c>
      <c r="AY276" s="21">
        <v>3289915</v>
      </c>
      <c r="AZ276" s="21">
        <v>3293488</v>
      </c>
      <c r="BA276" s="21">
        <v>3321477</v>
      </c>
      <c r="BB276" s="21">
        <v>3194886</v>
      </c>
      <c r="BC276" s="21">
        <v>3152787</v>
      </c>
    </row>
    <row r="277" spans="1:55" x14ac:dyDescent="0.2">
      <c r="A277" s="21" t="s">
        <v>1413</v>
      </c>
      <c r="B277" s="21" t="s">
        <v>1414</v>
      </c>
      <c r="C277" s="21" t="s">
        <v>1255</v>
      </c>
      <c r="D277" s="21">
        <v>1.65</v>
      </c>
      <c r="E277" s="21">
        <v>1.76</v>
      </c>
      <c r="F277" s="21">
        <v>1.84</v>
      </c>
      <c r="G277" s="21">
        <v>2.02</v>
      </c>
      <c r="H277" s="21">
        <v>2.87</v>
      </c>
      <c r="I277" s="21">
        <v>3.33</v>
      </c>
      <c r="J277" s="21">
        <v>3.57</v>
      </c>
      <c r="K277" s="21">
        <v>3.98</v>
      </c>
      <c r="L277" s="21">
        <v>4.2300000000000004</v>
      </c>
      <c r="M277" s="21">
        <v>5.22</v>
      </c>
      <c r="N277" s="21">
        <v>6.89</v>
      </c>
      <c r="O277" s="21">
        <v>8.0399999999999991</v>
      </c>
      <c r="P277" s="21">
        <v>8.4700000000000006</v>
      </c>
      <c r="Q277" s="21">
        <v>8.4</v>
      </c>
      <c r="R277" s="21">
        <v>8.3000000000000007</v>
      </c>
      <c r="S277" s="21">
        <v>8.3800000000000008</v>
      </c>
      <c r="T277" s="21">
        <v>7.32</v>
      </c>
      <c r="U277" s="21">
        <v>7.36</v>
      </c>
      <c r="V277" s="21">
        <v>7.29</v>
      </c>
      <c r="W277" s="21">
        <v>7.59</v>
      </c>
      <c r="X277" s="21">
        <v>8.2899999999999991</v>
      </c>
      <c r="Y277" s="21">
        <v>8.25</v>
      </c>
      <c r="Z277" s="21">
        <v>8.16</v>
      </c>
      <c r="AA277" s="21">
        <v>8.2899999999999991</v>
      </c>
      <c r="AB277" s="21">
        <v>8.33</v>
      </c>
      <c r="AC277" s="21">
        <v>8.31</v>
      </c>
      <c r="AD277" s="21">
        <v>8.77</v>
      </c>
      <c r="AE277" s="21">
        <v>8.83</v>
      </c>
      <c r="AF277" s="21">
        <v>8.2200000000000006</v>
      </c>
      <c r="AG277" s="21">
        <v>8.58</v>
      </c>
      <c r="AH277" s="21">
        <v>10.33</v>
      </c>
      <c r="AI277" s="21">
        <v>10.78</v>
      </c>
      <c r="AJ277" s="21">
        <v>10.1</v>
      </c>
      <c r="AK277" s="21">
        <v>11.44</v>
      </c>
      <c r="AL277" s="21">
        <v>12.9</v>
      </c>
      <c r="AM277" s="21">
        <v>15.57</v>
      </c>
      <c r="AN277" s="21">
        <v>17.399999999999999</v>
      </c>
      <c r="AO277" s="21">
        <v>18.34</v>
      </c>
      <c r="AP277" s="21">
        <v>21.53</v>
      </c>
      <c r="AQ277" s="21">
        <v>17.260000000000002</v>
      </c>
      <c r="AR277" s="21">
        <v>18.920000000000002</v>
      </c>
      <c r="AS277" s="21">
        <v>21.87</v>
      </c>
      <c r="AT277" s="21">
        <v>21.84</v>
      </c>
      <c r="AU277" s="21">
        <v>21.42</v>
      </c>
      <c r="AV277" s="21">
        <v>21.33</v>
      </c>
      <c r="AW277" s="21">
        <v>17.309999999999999</v>
      </c>
      <c r="AX277" s="21">
        <v>15.95</v>
      </c>
      <c r="AY277" s="21">
        <v>17.32</v>
      </c>
      <c r="AZ277" s="21">
        <v>18.61</v>
      </c>
      <c r="BA277" s="21">
        <v>17.96</v>
      </c>
      <c r="BB277" s="21">
        <v>16.25</v>
      </c>
      <c r="BC277" s="21">
        <v>19.989999999999998</v>
      </c>
    </row>
    <row r="278" spans="1:55" x14ac:dyDescent="0.2">
      <c r="A278" s="21" t="s">
        <v>1413</v>
      </c>
      <c r="B278" s="21" t="s">
        <v>1414</v>
      </c>
      <c r="C278" s="21" t="s">
        <v>1257</v>
      </c>
      <c r="D278" s="21">
        <v>82874.8</v>
      </c>
      <c r="E278" s="21">
        <v>90037.8</v>
      </c>
      <c r="F278" s="21">
        <v>98070.2</v>
      </c>
      <c r="G278" s="21">
        <v>111894.2</v>
      </c>
      <c r="H278" s="21">
        <v>153369</v>
      </c>
      <c r="I278" s="21">
        <v>171853.7</v>
      </c>
      <c r="J278" s="21">
        <v>193915.8</v>
      </c>
      <c r="K278" s="21">
        <v>220499.1</v>
      </c>
      <c r="L278" s="21">
        <v>239280.2</v>
      </c>
      <c r="M278" s="21">
        <v>297574.59999999998</v>
      </c>
      <c r="N278" s="21">
        <v>374350</v>
      </c>
      <c r="O278" s="21">
        <v>427901.2</v>
      </c>
      <c r="P278" s="21">
        <v>426482</v>
      </c>
      <c r="Q278" s="21">
        <v>417621.5</v>
      </c>
      <c r="R278" s="21">
        <v>435312.9</v>
      </c>
      <c r="S278" s="21">
        <v>438343.1</v>
      </c>
      <c r="T278" s="21">
        <v>384090.9</v>
      </c>
      <c r="U278" s="21">
        <v>397626.6</v>
      </c>
      <c r="V278" s="21">
        <v>411568.4</v>
      </c>
      <c r="W278" s="21">
        <v>439051.3</v>
      </c>
      <c r="X278" s="21">
        <v>474652.2</v>
      </c>
      <c r="Y278" s="21">
        <v>472439.6</v>
      </c>
      <c r="Z278" s="21">
        <v>476845</v>
      </c>
      <c r="AA278" s="21">
        <v>492274.6</v>
      </c>
      <c r="AB278" s="21">
        <v>504856.4</v>
      </c>
      <c r="AC278" s="21">
        <v>514623.5</v>
      </c>
      <c r="AD278" s="21">
        <v>560292.9</v>
      </c>
      <c r="AE278" s="21">
        <v>567961.80000000005</v>
      </c>
      <c r="AF278" s="21">
        <v>526282.6</v>
      </c>
      <c r="AG278" s="21">
        <v>558626.69999999995</v>
      </c>
      <c r="AH278" s="21">
        <v>687710.9</v>
      </c>
      <c r="AI278" s="21">
        <v>696242.1</v>
      </c>
      <c r="AJ278" s="21">
        <v>663964.4</v>
      </c>
      <c r="AK278" s="21">
        <v>755070.3</v>
      </c>
      <c r="AL278" s="21">
        <v>871210.2</v>
      </c>
      <c r="AM278" s="21">
        <v>1045730.4</v>
      </c>
      <c r="AN278" s="21">
        <v>1158820.6000000001</v>
      </c>
      <c r="AO278" s="21">
        <v>1233868.7</v>
      </c>
      <c r="AP278" s="21">
        <v>1408759.3</v>
      </c>
      <c r="AQ278" s="21">
        <v>1066528.3999999999</v>
      </c>
      <c r="AR278" s="21">
        <v>1214277.5</v>
      </c>
      <c r="AS278" s="21">
        <v>1392467.9</v>
      </c>
      <c r="AT278" s="21">
        <v>1355174.7</v>
      </c>
      <c r="AU278" s="21">
        <v>1376402.2</v>
      </c>
      <c r="AV278" s="21">
        <v>1395430.3999999999</v>
      </c>
      <c r="AW278" s="21">
        <v>1128447.3999999999</v>
      </c>
      <c r="AX278" s="21">
        <v>1038883.6</v>
      </c>
      <c r="AY278" s="21">
        <v>1136379.3999999999</v>
      </c>
      <c r="AZ278" s="21">
        <v>1271930.6000000001</v>
      </c>
      <c r="BA278" s="21">
        <v>1223984.5</v>
      </c>
      <c r="BB278" s="21">
        <v>1007785.4</v>
      </c>
      <c r="BC278" s="21">
        <v>1317098.3999999999</v>
      </c>
    </row>
    <row r="279" spans="1:55" x14ac:dyDescent="0.2">
      <c r="A279" s="21" t="s">
        <v>1413</v>
      </c>
      <c r="B279" s="21" t="s">
        <v>1414</v>
      </c>
      <c r="C279" s="21" t="s">
        <v>1264</v>
      </c>
      <c r="D279" s="21">
        <v>404.2</v>
      </c>
      <c r="E279" s="21">
        <v>433.6</v>
      </c>
      <c r="F279" s="21">
        <v>467.2</v>
      </c>
      <c r="G279" s="21">
        <v>528</v>
      </c>
      <c r="H279" s="21">
        <v>717.2</v>
      </c>
      <c r="I279" s="21">
        <v>795.7</v>
      </c>
      <c r="J279" s="21">
        <v>889.4</v>
      </c>
      <c r="K279" s="21">
        <v>1001.2</v>
      </c>
      <c r="L279" s="21">
        <v>1075</v>
      </c>
      <c r="M279" s="21">
        <v>1322.2</v>
      </c>
      <c r="N279" s="21">
        <v>1647.5</v>
      </c>
      <c r="O279" s="21">
        <v>1864.8</v>
      </c>
      <c r="P279" s="21">
        <v>1840.9</v>
      </c>
      <c r="Q279" s="21">
        <v>1786.3</v>
      </c>
      <c r="R279" s="21">
        <v>1845.9</v>
      </c>
      <c r="S279" s="21">
        <v>1842.4</v>
      </c>
      <c r="T279" s="21">
        <v>1599.5</v>
      </c>
      <c r="U279" s="21">
        <v>1641.1</v>
      </c>
      <c r="V279" s="21">
        <v>1683.3</v>
      </c>
      <c r="W279" s="21">
        <v>1778.8</v>
      </c>
      <c r="X279" s="21">
        <v>1901.5</v>
      </c>
      <c r="Y279" s="21">
        <v>1867.5</v>
      </c>
      <c r="Z279" s="21">
        <v>1858.9</v>
      </c>
      <c r="AA279" s="21">
        <v>1894</v>
      </c>
      <c r="AB279" s="21">
        <v>1918.7</v>
      </c>
      <c r="AC279" s="21">
        <v>1932.7</v>
      </c>
      <c r="AD279" s="21">
        <v>2079.8000000000002</v>
      </c>
      <c r="AE279" s="21">
        <v>2083.1</v>
      </c>
      <c r="AF279" s="21">
        <v>1907.8</v>
      </c>
      <c r="AG279" s="21">
        <v>2002</v>
      </c>
      <c r="AH279" s="21">
        <v>2437.3000000000002</v>
      </c>
      <c r="AI279" s="21">
        <v>2443.1999999999998</v>
      </c>
      <c r="AJ279" s="21">
        <v>2308.4</v>
      </c>
      <c r="AK279" s="21">
        <v>2602.6999999999998</v>
      </c>
      <c r="AL279" s="21">
        <v>2975.4</v>
      </c>
      <c r="AM279" s="21">
        <v>3538.7</v>
      </c>
      <c r="AN279" s="21">
        <v>3883.7</v>
      </c>
      <c r="AO279" s="21">
        <v>4096.1000000000004</v>
      </c>
      <c r="AP279" s="21">
        <v>4632.6000000000004</v>
      </c>
      <c r="AQ279" s="21">
        <v>3476.6</v>
      </c>
      <c r="AR279" s="21">
        <v>3925.5</v>
      </c>
      <c r="AS279" s="21">
        <v>4469</v>
      </c>
      <c r="AT279" s="21">
        <v>4317.5</v>
      </c>
      <c r="AU279" s="21">
        <v>4354.8999999999996</v>
      </c>
      <c r="AV279" s="21">
        <v>4382.8</v>
      </c>
      <c r="AW279" s="21">
        <v>3518.3</v>
      </c>
      <c r="AX279" s="21">
        <v>3215.6</v>
      </c>
      <c r="AY279" s="21">
        <v>3495.2</v>
      </c>
      <c r="AZ279" s="21">
        <v>3891.6</v>
      </c>
      <c r="BA279" s="21">
        <v>3727.9</v>
      </c>
      <c r="BB279" s="21">
        <v>3040</v>
      </c>
      <c r="BC279" s="21">
        <v>3966.8</v>
      </c>
    </row>
    <row r="280" spans="1:55" x14ac:dyDescent="0.2">
      <c r="A280" s="21" t="s">
        <v>1413</v>
      </c>
      <c r="B280" s="21" t="s">
        <v>1414</v>
      </c>
      <c r="C280" s="21" t="s">
        <v>1268</v>
      </c>
      <c r="D280" s="21">
        <v>1.65</v>
      </c>
      <c r="E280" s="21">
        <v>1.76</v>
      </c>
      <c r="F280" s="21">
        <v>1.84</v>
      </c>
      <c r="G280" s="21">
        <v>2.02</v>
      </c>
      <c r="H280" s="21">
        <v>2.87</v>
      </c>
      <c r="I280" s="21">
        <v>3.33</v>
      </c>
      <c r="J280" s="21">
        <v>3.57</v>
      </c>
      <c r="K280" s="21">
        <v>3.98</v>
      </c>
      <c r="L280" s="21">
        <v>4.2300000000000004</v>
      </c>
      <c r="M280" s="21">
        <v>5.22</v>
      </c>
      <c r="N280" s="21">
        <v>6.89</v>
      </c>
      <c r="O280" s="21">
        <v>8.0399999999999991</v>
      </c>
      <c r="P280" s="21">
        <v>8.4700000000000006</v>
      </c>
      <c r="Q280" s="21">
        <v>8.4</v>
      </c>
      <c r="R280" s="21">
        <v>8.3000000000000007</v>
      </c>
      <c r="S280" s="21">
        <v>8.3800000000000008</v>
      </c>
      <c r="T280" s="21">
        <v>7.32</v>
      </c>
      <c r="U280" s="21">
        <v>7.36</v>
      </c>
      <c r="V280" s="21">
        <v>7.29</v>
      </c>
      <c r="W280" s="21">
        <v>7.59</v>
      </c>
      <c r="X280" s="21">
        <v>8.2899999999999991</v>
      </c>
      <c r="Y280" s="21">
        <v>8.25</v>
      </c>
      <c r="Z280" s="21">
        <v>8.16</v>
      </c>
      <c r="AA280" s="21">
        <v>8.2899999999999991</v>
      </c>
      <c r="AB280" s="21">
        <v>8.33</v>
      </c>
      <c r="AC280" s="21">
        <v>8.31</v>
      </c>
      <c r="AD280" s="21">
        <v>8.77</v>
      </c>
      <c r="AE280" s="21">
        <v>8.83</v>
      </c>
      <c r="AF280" s="21">
        <v>8.2200000000000006</v>
      </c>
      <c r="AG280" s="21">
        <v>8.58</v>
      </c>
      <c r="AH280" s="21">
        <v>10.33</v>
      </c>
      <c r="AI280" s="21">
        <v>10.78</v>
      </c>
      <c r="AJ280" s="21">
        <v>10.1</v>
      </c>
      <c r="AK280" s="21">
        <v>11.44</v>
      </c>
      <c r="AL280" s="21">
        <v>12.9</v>
      </c>
      <c r="AM280" s="21">
        <v>15.57</v>
      </c>
      <c r="AN280" s="21">
        <v>17.399999999999999</v>
      </c>
      <c r="AO280" s="21">
        <v>18.34</v>
      </c>
      <c r="AP280" s="21">
        <v>21.53</v>
      </c>
      <c r="AQ280" s="21">
        <v>17.260000000000002</v>
      </c>
      <c r="AR280" s="21">
        <v>18.920000000000002</v>
      </c>
      <c r="AS280" s="21">
        <v>21.87</v>
      </c>
      <c r="AT280" s="21">
        <v>21.84</v>
      </c>
      <c r="AU280" s="21">
        <v>21.42</v>
      </c>
      <c r="AV280" s="21">
        <v>21.33</v>
      </c>
      <c r="AW280" s="21">
        <v>17.309999999999999</v>
      </c>
      <c r="AX280" s="21">
        <v>15.95</v>
      </c>
      <c r="AY280" s="21">
        <v>17.32</v>
      </c>
      <c r="AZ280" s="21">
        <v>18.61</v>
      </c>
      <c r="BA280" s="21">
        <v>17.96</v>
      </c>
      <c r="BB280" s="21">
        <v>16.25</v>
      </c>
      <c r="BC280" s="21">
        <v>19.989999999999998</v>
      </c>
    </row>
    <row r="281" spans="1:55" x14ac:dyDescent="0.2">
      <c r="A281" s="21" t="s">
        <v>1413</v>
      </c>
      <c r="B281" s="21" t="s">
        <v>1414</v>
      </c>
      <c r="C281" s="21" t="s">
        <v>1270</v>
      </c>
      <c r="D281" s="21">
        <v>82874.8</v>
      </c>
      <c r="E281" s="21">
        <v>90037.8</v>
      </c>
      <c r="F281" s="21">
        <v>98070.2</v>
      </c>
      <c r="G281" s="21">
        <v>111894.2</v>
      </c>
      <c r="H281" s="21">
        <v>153369</v>
      </c>
      <c r="I281" s="21">
        <v>171853.7</v>
      </c>
      <c r="J281" s="21">
        <v>193915.8</v>
      </c>
      <c r="K281" s="21">
        <v>220499.1</v>
      </c>
      <c r="L281" s="21">
        <v>239280.2</v>
      </c>
      <c r="M281" s="21">
        <v>297574.59999999998</v>
      </c>
      <c r="N281" s="21">
        <v>374350</v>
      </c>
      <c r="O281" s="21">
        <v>427901.2</v>
      </c>
      <c r="P281" s="21">
        <v>426482</v>
      </c>
      <c r="Q281" s="21">
        <v>417621.5</v>
      </c>
      <c r="R281" s="21">
        <v>435312.9</v>
      </c>
      <c r="S281" s="21">
        <v>438343.1</v>
      </c>
      <c r="T281" s="21">
        <v>384090.9</v>
      </c>
      <c r="U281" s="21">
        <v>397626.6</v>
      </c>
      <c r="V281" s="21">
        <v>411568.4</v>
      </c>
      <c r="W281" s="21">
        <v>439051.3</v>
      </c>
      <c r="X281" s="21">
        <v>474652.2</v>
      </c>
      <c r="Y281" s="21">
        <v>472439.6</v>
      </c>
      <c r="Z281" s="21">
        <v>476845</v>
      </c>
      <c r="AA281" s="21">
        <v>492274.6</v>
      </c>
      <c r="AB281" s="21">
        <v>504856.4</v>
      </c>
      <c r="AC281" s="21">
        <v>514623.5</v>
      </c>
      <c r="AD281" s="21">
        <v>560292.9</v>
      </c>
      <c r="AE281" s="21">
        <v>567961.80000000005</v>
      </c>
      <c r="AF281" s="21">
        <v>526282.6</v>
      </c>
      <c r="AG281" s="21">
        <v>558626.69999999995</v>
      </c>
      <c r="AH281" s="21">
        <v>687710.9</v>
      </c>
      <c r="AI281" s="21">
        <v>696242.1</v>
      </c>
      <c r="AJ281" s="21">
        <v>663964.4</v>
      </c>
      <c r="AK281" s="21">
        <v>755070.3</v>
      </c>
      <c r="AL281" s="21">
        <v>871210.2</v>
      </c>
      <c r="AM281" s="21">
        <v>1045730.4</v>
      </c>
      <c r="AN281" s="21">
        <v>1158820.6000000001</v>
      </c>
      <c r="AO281" s="21">
        <v>1233868.7</v>
      </c>
      <c r="AP281" s="21">
        <v>1408759.3</v>
      </c>
      <c r="AQ281" s="21">
        <v>1066528.3999999999</v>
      </c>
      <c r="AR281" s="21">
        <v>1214277.5</v>
      </c>
      <c r="AS281" s="21">
        <v>1392467.9</v>
      </c>
      <c r="AT281" s="21">
        <v>1355174.7</v>
      </c>
      <c r="AU281" s="21">
        <v>1376402.2</v>
      </c>
      <c r="AV281" s="21">
        <v>1395430.3999999999</v>
      </c>
      <c r="AW281" s="21">
        <v>1128447.3999999999</v>
      </c>
      <c r="AX281" s="21">
        <v>1038883.6</v>
      </c>
      <c r="AY281" s="21">
        <v>1136379.3999999999</v>
      </c>
      <c r="AZ281" s="21">
        <v>1271930.6000000001</v>
      </c>
      <c r="BA281" s="21">
        <v>1223984.5</v>
      </c>
      <c r="BB281" s="21">
        <v>1007785.4</v>
      </c>
      <c r="BC281" s="21">
        <v>1317098.3999999999</v>
      </c>
    </row>
    <row r="282" spans="1:55" x14ac:dyDescent="0.2">
      <c r="A282" s="21" t="s">
        <v>1413</v>
      </c>
      <c r="B282" s="21" t="s">
        <v>1414</v>
      </c>
      <c r="C282" s="21" t="s">
        <v>1274</v>
      </c>
      <c r="D282" s="21">
        <v>15328091</v>
      </c>
      <c r="E282" s="21">
        <v>15939288</v>
      </c>
      <c r="F282" s="21">
        <v>16905762</v>
      </c>
      <c r="G282" s="21">
        <v>17845094</v>
      </c>
      <c r="H282" s="21">
        <v>17412119</v>
      </c>
      <c r="I282" s="21">
        <v>17626080</v>
      </c>
      <c r="J282" s="21">
        <v>18518058</v>
      </c>
      <c r="K282" s="21">
        <v>19253922</v>
      </c>
      <c r="L282" s="21">
        <v>20053920</v>
      </c>
      <c r="M282" s="21">
        <v>19835617</v>
      </c>
      <c r="N282" s="21">
        <v>19020336</v>
      </c>
      <c r="O282" s="21">
        <v>18830141</v>
      </c>
      <c r="P282" s="21">
        <v>18451007</v>
      </c>
      <c r="Q282" s="21">
        <v>18641437</v>
      </c>
      <c r="R282" s="21">
        <v>19078008</v>
      </c>
      <c r="S282" s="21">
        <v>19536040</v>
      </c>
      <c r="T282" s="21">
        <v>20255656</v>
      </c>
      <c r="U282" s="21">
        <v>20898829</v>
      </c>
      <c r="V282" s="21">
        <v>21650554</v>
      </c>
      <c r="W282" s="21">
        <v>21791321</v>
      </c>
      <c r="X282" s="21">
        <v>21702674</v>
      </c>
      <c r="Y282" s="21">
        <v>21460821</v>
      </c>
      <c r="Z282" s="21">
        <v>21772453</v>
      </c>
      <c r="AA282" s="21">
        <v>21995395</v>
      </c>
      <c r="AB282" s="21">
        <v>22578251</v>
      </c>
      <c r="AC282" s="21">
        <v>23057481</v>
      </c>
      <c r="AD282" s="21">
        <v>23652957</v>
      </c>
      <c r="AE282" s="21">
        <v>23915943</v>
      </c>
      <c r="AF282" s="21">
        <v>24533077</v>
      </c>
      <c r="AG282" s="21">
        <v>25216131</v>
      </c>
      <c r="AH282" s="21">
        <v>25818685</v>
      </c>
      <c r="AI282" s="21">
        <v>25557506</v>
      </c>
      <c r="AJ282" s="21">
        <v>26085085</v>
      </c>
      <c r="AK282" s="21">
        <v>26226305</v>
      </c>
      <c r="AL282" s="21">
        <v>27195887</v>
      </c>
      <c r="AM282" s="21">
        <v>27602105</v>
      </c>
      <c r="AN282" s="21">
        <v>28021124</v>
      </c>
      <c r="AO282" s="21">
        <v>28087446</v>
      </c>
      <c r="AP282" s="21">
        <v>26683115</v>
      </c>
      <c r="AQ282" s="21">
        <v>25872486</v>
      </c>
      <c r="AR282" s="21">
        <v>26243076</v>
      </c>
      <c r="AS282" s="21">
        <v>25839366</v>
      </c>
      <c r="AT282" s="21">
        <v>25325503</v>
      </c>
      <c r="AU282" s="21">
        <v>25706435</v>
      </c>
      <c r="AV282" s="21">
        <v>26097623</v>
      </c>
      <c r="AW282" s="21">
        <v>26491125</v>
      </c>
      <c r="AX282" s="21">
        <v>27032177</v>
      </c>
      <c r="AY282" s="21">
        <v>27226047</v>
      </c>
      <c r="AZ282" s="21">
        <v>27515316</v>
      </c>
      <c r="BA282" s="21">
        <v>27488325</v>
      </c>
      <c r="BB282" s="21">
        <v>23268705</v>
      </c>
      <c r="BC282" s="21">
        <v>25862052</v>
      </c>
    </row>
    <row r="283" spans="1:55" x14ac:dyDescent="0.2">
      <c r="A283" s="21" t="s">
        <v>1413</v>
      </c>
      <c r="B283" s="21" t="s">
        <v>1414</v>
      </c>
      <c r="C283" s="21" t="s">
        <v>1278</v>
      </c>
      <c r="D283" s="21">
        <v>5412665</v>
      </c>
      <c r="E283" s="21">
        <v>5587346</v>
      </c>
      <c r="F283" s="21">
        <v>5809176</v>
      </c>
      <c r="G283" s="21">
        <v>5945350</v>
      </c>
      <c r="H283" s="21">
        <v>5751807</v>
      </c>
      <c r="I283" s="21">
        <v>5647979</v>
      </c>
      <c r="J283" s="21">
        <v>6041038</v>
      </c>
      <c r="K283" s="21">
        <v>6003127</v>
      </c>
      <c r="L283" s="21">
        <v>6113075</v>
      </c>
      <c r="M283" s="21">
        <v>6209276</v>
      </c>
      <c r="N283" s="21">
        <v>6012271</v>
      </c>
      <c r="O283" s="21">
        <v>5875182</v>
      </c>
      <c r="P283" s="21">
        <v>5946327</v>
      </c>
      <c r="Q283" s="21">
        <v>5958956</v>
      </c>
      <c r="R283" s="21">
        <v>6260632</v>
      </c>
      <c r="S283" s="21">
        <v>6081407</v>
      </c>
      <c r="T283" s="21">
        <v>6126749</v>
      </c>
      <c r="U283" s="21">
        <v>6304017</v>
      </c>
      <c r="V283" s="21">
        <v>6658369</v>
      </c>
      <c r="W283" s="21">
        <v>6748780</v>
      </c>
      <c r="X283" s="21">
        <v>6707850</v>
      </c>
      <c r="Y283" s="21">
        <v>6810468</v>
      </c>
      <c r="Z283" s="21">
        <v>6831858</v>
      </c>
      <c r="AA283" s="21">
        <v>6938791</v>
      </c>
      <c r="AB283" s="21">
        <v>7075152</v>
      </c>
      <c r="AC283" s="21">
        <v>7300835</v>
      </c>
      <c r="AD283" s="21">
        <v>7556263</v>
      </c>
      <c r="AE283" s="21">
        <v>7731828</v>
      </c>
      <c r="AF283" s="21">
        <v>7625421</v>
      </c>
      <c r="AG283" s="21">
        <v>7761670</v>
      </c>
      <c r="AH283" s="21">
        <v>8161745</v>
      </c>
      <c r="AI283" s="21">
        <v>8094315</v>
      </c>
      <c r="AJ283" s="21">
        <v>8197712</v>
      </c>
      <c r="AK283" s="21">
        <v>8340815</v>
      </c>
      <c r="AL283" s="21">
        <v>8380788</v>
      </c>
      <c r="AM283" s="21">
        <v>8346694</v>
      </c>
      <c r="AN283" s="21">
        <v>8125376</v>
      </c>
      <c r="AO283" s="21">
        <v>8428331</v>
      </c>
      <c r="AP283" s="21">
        <v>8596631</v>
      </c>
      <c r="AQ283" s="21">
        <v>8452730</v>
      </c>
      <c r="AR283" s="21">
        <v>8492668</v>
      </c>
      <c r="AS283" s="21">
        <v>8520344</v>
      </c>
      <c r="AT283" s="21">
        <v>8173505</v>
      </c>
      <c r="AU283" s="21">
        <v>8632003</v>
      </c>
      <c r="AV283" s="21">
        <v>8900174</v>
      </c>
      <c r="AW283" s="21">
        <v>8973950</v>
      </c>
      <c r="AX283" s="21">
        <v>8867719</v>
      </c>
      <c r="AY283" s="21">
        <v>8858528</v>
      </c>
      <c r="AZ283" s="21">
        <v>9344111</v>
      </c>
      <c r="BA283" s="21">
        <v>9281677</v>
      </c>
      <c r="BB283" s="21">
        <v>8638787</v>
      </c>
      <c r="BC283" s="21">
        <v>8983472</v>
      </c>
    </row>
    <row r="284" spans="1:55" x14ac:dyDescent="0.2">
      <c r="A284" s="21" t="s">
        <v>1413</v>
      </c>
      <c r="B284" s="21" t="s">
        <v>1414</v>
      </c>
      <c r="C284" s="21" t="s">
        <v>1282</v>
      </c>
      <c r="D284" s="21">
        <v>19879868</v>
      </c>
      <c r="E284" s="21">
        <v>19689096</v>
      </c>
      <c r="F284" s="21">
        <v>20437165</v>
      </c>
      <c r="G284" s="21">
        <v>21597567</v>
      </c>
      <c r="H284" s="21">
        <v>20669935</v>
      </c>
      <c r="I284" s="21">
        <v>18604233</v>
      </c>
      <c r="J284" s="21">
        <v>19664118</v>
      </c>
      <c r="K284" s="21">
        <v>20107908</v>
      </c>
      <c r="L284" s="21">
        <v>20269962</v>
      </c>
      <c r="M284" s="21">
        <v>21311563</v>
      </c>
      <c r="N284" s="21">
        <v>19982418</v>
      </c>
      <c r="O284" s="21">
        <v>19618381</v>
      </c>
      <c r="P284" s="21">
        <v>17020824</v>
      </c>
      <c r="Q284" s="21">
        <v>16382320</v>
      </c>
      <c r="R284" s="21">
        <v>17952268</v>
      </c>
      <c r="S284" s="21">
        <v>17569168</v>
      </c>
      <c r="T284" s="21">
        <v>17035444</v>
      </c>
      <c r="U284" s="21">
        <v>17581409</v>
      </c>
      <c r="V284" s="21">
        <v>18405856</v>
      </c>
      <c r="W284" s="21">
        <v>19395290</v>
      </c>
      <c r="X284" s="21">
        <v>19502209</v>
      </c>
      <c r="Y284" s="21">
        <v>19418108</v>
      </c>
      <c r="Z284" s="21">
        <v>20119542</v>
      </c>
      <c r="AA284" s="21">
        <v>20244219</v>
      </c>
      <c r="AB284" s="21">
        <v>20874504</v>
      </c>
      <c r="AC284" s="21">
        <v>21441310</v>
      </c>
      <c r="AD284" s="21">
        <v>21854918</v>
      </c>
      <c r="AE284" s="21">
        <v>22253873</v>
      </c>
      <c r="AF284" s="21">
        <v>21847812</v>
      </c>
      <c r="AG284" s="21">
        <v>21722438</v>
      </c>
      <c r="AH284" s="21">
        <v>21697703</v>
      </c>
      <c r="AI284" s="21">
        <v>20253322</v>
      </c>
      <c r="AJ284" s="21">
        <v>20492234</v>
      </c>
      <c r="AK284" s="21">
        <v>20133396</v>
      </c>
      <c r="AL284" s="21">
        <v>20820554</v>
      </c>
      <c r="AM284" s="21">
        <v>19980216</v>
      </c>
      <c r="AN284" s="21">
        <v>19956427</v>
      </c>
      <c r="AO284" s="21">
        <v>19714035</v>
      </c>
      <c r="AP284" s="21">
        <v>18890475</v>
      </c>
      <c r="AQ284" s="21">
        <v>16541294</v>
      </c>
      <c r="AR284" s="21">
        <v>18261347</v>
      </c>
      <c r="AS284" s="21">
        <v>18387267</v>
      </c>
      <c r="AT284" s="21">
        <v>18544140</v>
      </c>
      <c r="AU284" s="21">
        <v>18917442</v>
      </c>
      <c r="AV284" s="21">
        <v>19077181</v>
      </c>
      <c r="AW284" s="21">
        <v>18912462</v>
      </c>
      <c r="AX284" s="21">
        <v>18828427</v>
      </c>
      <c r="AY284" s="21">
        <v>19153727</v>
      </c>
      <c r="AZ284" s="21">
        <v>20032935</v>
      </c>
      <c r="BA284" s="21">
        <v>19965720</v>
      </c>
      <c r="BB284" s="21">
        <v>19150177</v>
      </c>
      <c r="BC284" s="21">
        <v>19957427</v>
      </c>
    </row>
    <row r="285" spans="1:55" x14ac:dyDescent="0.2">
      <c r="A285" s="21" t="s">
        <v>1413</v>
      </c>
      <c r="B285" s="21" t="s">
        <v>1414</v>
      </c>
      <c r="C285" s="21" t="s">
        <v>1286</v>
      </c>
      <c r="D285" s="21">
        <v>9579239</v>
      </c>
      <c r="E285" s="21">
        <v>9814103</v>
      </c>
      <c r="F285" s="21">
        <v>10175716</v>
      </c>
      <c r="G285" s="21">
        <v>9963059</v>
      </c>
      <c r="H285" s="21">
        <v>9602675</v>
      </c>
      <c r="I285" s="21">
        <v>9682470</v>
      </c>
      <c r="J285" s="21">
        <v>10105045</v>
      </c>
      <c r="K285" s="21">
        <v>9995203</v>
      </c>
      <c r="L285" s="21">
        <v>10105033</v>
      </c>
      <c r="M285" s="21">
        <v>9704417</v>
      </c>
      <c r="N285" s="21">
        <v>9287731</v>
      </c>
      <c r="O285" s="21">
        <v>8900879</v>
      </c>
      <c r="P285" s="21">
        <v>8952939</v>
      </c>
      <c r="Q285" s="21">
        <v>8708992</v>
      </c>
      <c r="R285" s="21">
        <v>9164638</v>
      </c>
      <c r="S285" s="21">
        <v>9134054</v>
      </c>
      <c r="T285" s="21">
        <v>9040536</v>
      </c>
      <c r="U285" s="21">
        <v>9211246</v>
      </c>
      <c r="V285" s="21">
        <v>9749708</v>
      </c>
      <c r="W285" s="21">
        <v>9943707</v>
      </c>
      <c r="X285" s="21">
        <v>9342141</v>
      </c>
      <c r="Y285" s="21">
        <v>9606849</v>
      </c>
      <c r="Z285" s="21">
        <v>9722487</v>
      </c>
      <c r="AA285" s="21">
        <v>10196994</v>
      </c>
      <c r="AB285" s="21">
        <v>10078466</v>
      </c>
      <c r="AC285" s="21">
        <v>10159287</v>
      </c>
      <c r="AD285" s="21">
        <v>10820309</v>
      </c>
      <c r="AE285" s="21">
        <v>10428057</v>
      </c>
      <c r="AF285" s="21">
        <v>10015950</v>
      </c>
      <c r="AG285" s="21">
        <v>10419120</v>
      </c>
      <c r="AH285" s="21">
        <v>10928194</v>
      </c>
      <c r="AI285" s="21">
        <v>10705802</v>
      </c>
      <c r="AJ285" s="21">
        <v>10958351</v>
      </c>
      <c r="AK285" s="21">
        <v>11311318</v>
      </c>
      <c r="AL285" s="21">
        <v>11112342</v>
      </c>
      <c r="AM285" s="21">
        <v>11233303</v>
      </c>
      <c r="AN285" s="21">
        <v>10481148</v>
      </c>
      <c r="AO285" s="21">
        <v>11031646</v>
      </c>
      <c r="AP285" s="21">
        <v>11249428</v>
      </c>
      <c r="AQ285" s="21">
        <v>10924891</v>
      </c>
      <c r="AR285" s="21">
        <v>11167339</v>
      </c>
      <c r="AS285" s="21">
        <v>10925480</v>
      </c>
      <c r="AT285" s="21">
        <v>10011707</v>
      </c>
      <c r="AU285" s="21">
        <v>10998555</v>
      </c>
      <c r="AV285" s="21">
        <v>11337659</v>
      </c>
      <c r="AW285" s="21">
        <v>10815835</v>
      </c>
      <c r="AX285" s="21">
        <v>10409141</v>
      </c>
      <c r="AY285" s="21">
        <v>10354186</v>
      </c>
      <c r="AZ285" s="21">
        <v>11462701</v>
      </c>
      <c r="BA285" s="21">
        <v>11426721</v>
      </c>
      <c r="BB285" s="21">
        <v>10976441</v>
      </c>
      <c r="BC285" s="21">
        <v>11089405</v>
      </c>
    </row>
    <row r="286" spans="1:55" x14ac:dyDescent="0.2">
      <c r="A286" s="21" t="s">
        <v>1413</v>
      </c>
      <c r="B286" s="21" t="s">
        <v>1414</v>
      </c>
      <c r="C286" s="21" t="s">
        <v>1288</v>
      </c>
      <c r="D286" s="21">
        <v>50199863</v>
      </c>
      <c r="E286" s="21">
        <v>51029833</v>
      </c>
      <c r="F286" s="21">
        <v>53327819</v>
      </c>
      <c r="G286" s="21">
        <v>55351069</v>
      </c>
      <c r="H286" s="21">
        <v>53436536</v>
      </c>
      <c r="I286" s="21">
        <v>51560762</v>
      </c>
      <c r="J286" s="21">
        <v>54328260</v>
      </c>
      <c r="K286" s="21">
        <v>55360160</v>
      </c>
      <c r="L286" s="21">
        <v>56541989</v>
      </c>
      <c r="M286" s="21">
        <v>57060872</v>
      </c>
      <c r="N286" s="21">
        <v>54302757</v>
      </c>
      <c r="O286" s="21">
        <v>53224583</v>
      </c>
      <c r="P286" s="21">
        <v>50371098</v>
      </c>
      <c r="Q286" s="21">
        <v>49691706</v>
      </c>
      <c r="R286" s="21">
        <v>52455547</v>
      </c>
      <c r="S286" s="21">
        <v>52320669</v>
      </c>
      <c r="T286" s="21">
        <v>52458385</v>
      </c>
      <c r="U286" s="21">
        <v>53995502</v>
      </c>
      <c r="V286" s="21">
        <v>56464487</v>
      </c>
      <c r="W286" s="21">
        <v>57879098</v>
      </c>
      <c r="X286" s="21">
        <v>57254874</v>
      </c>
      <c r="Y286" s="21">
        <v>57296246</v>
      </c>
      <c r="Z286" s="21">
        <v>58446341</v>
      </c>
      <c r="AA286" s="21">
        <v>59375400</v>
      </c>
      <c r="AB286" s="21">
        <v>60606373</v>
      </c>
      <c r="AC286" s="21">
        <v>61958913</v>
      </c>
      <c r="AD286" s="21">
        <v>63884448</v>
      </c>
      <c r="AE286" s="21">
        <v>64329701</v>
      </c>
      <c r="AF286" s="21">
        <v>64022260</v>
      </c>
      <c r="AG286" s="21">
        <v>65119360</v>
      </c>
      <c r="AH286" s="21">
        <v>66606327</v>
      </c>
      <c r="AI286" s="21">
        <v>64610945</v>
      </c>
      <c r="AJ286" s="21">
        <v>65733381</v>
      </c>
      <c r="AK286" s="21">
        <v>66011835</v>
      </c>
      <c r="AL286" s="21">
        <v>67509570</v>
      </c>
      <c r="AM286" s="21">
        <v>67162318</v>
      </c>
      <c r="AN286" s="21">
        <v>66584075</v>
      </c>
      <c r="AO286" s="21">
        <v>67261459</v>
      </c>
      <c r="AP286" s="21">
        <v>65419649</v>
      </c>
      <c r="AQ286" s="21">
        <v>61791400</v>
      </c>
      <c r="AR286" s="21">
        <v>64164431</v>
      </c>
      <c r="AS286" s="21">
        <v>63672457</v>
      </c>
      <c r="AT286" s="21">
        <v>62054854</v>
      </c>
      <c r="AU286" s="21">
        <v>64254435</v>
      </c>
      <c r="AV286" s="21">
        <v>65412636</v>
      </c>
      <c r="AW286" s="21">
        <v>65193373</v>
      </c>
      <c r="AX286" s="21">
        <v>65137464</v>
      </c>
      <c r="AY286" s="21">
        <v>65592488</v>
      </c>
      <c r="AZ286" s="21">
        <v>68355063</v>
      </c>
      <c r="BA286" s="21">
        <v>68162443</v>
      </c>
      <c r="BB286" s="21">
        <v>62034110</v>
      </c>
      <c r="BC286" s="21">
        <v>65892357</v>
      </c>
    </row>
    <row r="287" spans="1:55" x14ac:dyDescent="0.2">
      <c r="A287" s="21" t="s">
        <v>1413</v>
      </c>
      <c r="B287" s="21" t="s">
        <v>1414</v>
      </c>
      <c r="C287" s="21" t="s">
        <v>1292</v>
      </c>
      <c r="D287" s="21">
        <v>205052</v>
      </c>
      <c r="E287" s="21">
        <v>207661</v>
      </c>
      <c r="F287" s="21">
        <v>209896</v>
      </c>
      <c r="G287" s="21">
        <v>211909</v>
      </c>
      <c r="H287" s="21">
        <v>213854</v>
      </c>
      <c r="I287" s="21">
        <v>215973</v>
      </c>
      <c r="J287" s="21">
        <v>218035</v>
      </c>
      <c r="K287" s="21">
        <v>220239</v>
      </c>
      <c r="L287" s="21">
        <v>222585</v>
      </c>
      <c r="M287" s="21">
        <v>225055</v>
      </c>
      <c r="N287" s="21">
        <v>227225</v>
      </c>
      <c r="O287" s="21">
        <v>229466</v>
      </c>
      <c r="P287" s="21">
        <v>231664</v>
      </c>
      <c r="Q287" s="21">
        <v>233792</v>
      </c>
      <c r="R287" s="21">
        <v>235825</v>
      </c>
      <c r="S287" s="21">
        <v>237924</v>
      </c>
      <c r="T287" s="21">
        <v>240133</v>
      </c>
      <c r="U287" s="21">
        <v>242289</v>
      </c>
      <c r="V287" s="21">
        <v>244499</v>
      </c>
      <c r="W287" s="21">
        <v>246819</v>
      </c>
      <c r="X287" s="21">
        <v>249623</v>
      </c>
      <c r="Y287" s="21">
        <v>252981</v>
      </c>
      <c r="Z287" s="21">
        <v>256514</v>
      </c>
      <c r="AA287" s="21">
        <v>259919</v>
      </c>
      <c r="AB287" s="21">
        <v>263126</v>
      </c>
      <c r="AC287" s="21">
        <v>266278</v>
      </c>
      <c r="AD287" s="21">
        <v>269394</v>
      </c>
      <c r="AE287" s="21">
        <v>272647</v>
      </c>
      <c r="AF287" s="21">
        <v>275854</v>
      </c>
      <c r="AG287" s="21">
        <v>279040</v>
      </c>
      <c r="AH287" s="21">
        <v>282162</v>
      </c>
      <c r="AI287" s="21">
        <v>284969</v>
      </c>
      <c r="AJ287" s="21">
        <v>287625</v>
      </c>
      <c r="AK287" s="21">
        <v>290108</v>
      </c>
      <c r="AL287" s="21">
        <v>292805</v>
      </c>
      <c r="AM287" s="21">
        <v>295517</v>
      </c>
      <c r="AN287" s="21">
        <v>298380</v>
      </c>
      <c r="AO287" s="21">
        <v>301231</v>
      </c>
      <c r="AP287" s="21">
        <v>304094</v>
      </c>
      <c r="AQ287" s="21">
        <v>306772</v>
      </c>
      <c r="AR287" s="21">
        <v>309327</v>
      </c>
      <c r="AS287" s="21">
        <v>311583</v>
      </c>
      <c r="AT287" s="21">
        <v>313878</v>
      </c>
      <c r="AU287" s="21">
        <v>316060</v>
      </c>
      <c r="AV287" s="21">
        <v>318386</v>
      </c>
      <c r="AW287" s="21">
        <v>320739</v>
      </c>
      <c r="AX287" s="21">
        <v>323072</v>
      </c>
      <c r="AY287" s="21">
        <v>325122</v>
      </c>
      <c r="AZ287" s="21">
        <v>326838</v>
      </c>
      <c r="BA287" s="21">
        <v>328330</v>
      </c>
      <c r="BB287" s="21">
        <v>331512</v>
      </c>
      <c r="BC287" s="21">
        <v>332032</v>
      </c>
    </row>
    <row r="288" spans="1:55" x14ac:dyDescent="0.2">
      <c r="A288" s="21" t="s">
        <v>1413</v>
      </c>
      <c r="B288" s="21" t="s">
        <v>1414</v>
      </c>
      <c r="C288" s="21" t="s">
        <v>1315</v>
      </c>
      <c r="D288" s="21">
        <v>0.66</v>
      </c>
      <c r="E288" s="21">
        <v>0.69</v>
      </c>
      <c r="F288" s="21">
        <v>0.69</v>
      </c>
      <c r="G288" s="21">
        <v>0.8</v>
      </c>
      <c r="H288" s="21">
        <v>1.24</v>
      </c>
      <c r="I288" s="21">
        <v>1.31</v>
      </c>
      <c r="J288" s="21">
        <v>1.39</v>
      </c>
      <c r="K288" s="21">
        <v>1.57</v>
      </c>
      <c r="L288" s="21">
        <v>1.64</v>
      </c>
      <c r="M288" s="21">
        <v>2.35</v>
      </c>
      <c r="N288" s="21">
        <v>3.1</v>
      </c>
      <c r="O288" s="21">
        <v>3.79</v>
      </c>
      <c r="P288" s="21">
        <v>3.82</v>
      </c>
      <c r="Q288" s="21">
        <v>3.57</v>
      </c>
      <c r="R288" s="21">
        <v>3.85</v>
      </c>
      <c r="S288" s="21">
        <v>3.71</v>
      </c>
      <c r="T288" s="21">
        <v>2.97</v>
      </c>
      <c r="U288" s="21">
        <v>2.87</v>
      </c>
      <c r="V288" s="21">
        <v>2.9</v>
      </c>
      <c r="W288" s="21">
        <v>3.2</v>
      </c>
      <c r="X288" s="21">
        <v>3.59</v>
      </c>
      <c r="Y288" s="21">
        <v>3.44</v>
      </c>
      <c r="Z288" s="21">
        <v>3.14</v>
      </c>
      <c r="AA288" s="21">
        <v>3.03</v>
      </c>
      <c r="AB288" s="21">
        <v>2.94</v>
      </c>
      <c r="AC288" s="21">
        <v>2.88</v>
      </c>
      <c r="AD288" s="21">
        <v>3.3</v>
      </c>
      <c r="AE288" s="21">
        <v>3.24</v>
      </c>
      <c r="AF288" s="21">
        <v>2.8</v>
      </c>
      <c r="AG288" s="21">
        <v>2.87</v>
      </c>
      <c r="AH288" s="21">
        <v>4.32</v>
      </c>
      <c r="AI288" s="21">
        <v>4.22</v>
      </c>
      <c r="AJ288" s="21">
        <v>3.83</v>
      </c>
      <c r="AK288" s="21">
        <v>4.5999999999999996</v>
      </c>
      <c r="AL288" s="21">
        <v>5.22</v>
      </c>
      <c r="AM288" s="21">
        <v>6.96</v>
      </c>
      <c r="AN288" s="21">
        <v>8.02</v>
      </c>
      <c r="AO288" s="21">
        <v>8.86</v>
      </c>
      <c r="AP288" s="21">
        <v>10.92</v>
      </c>
      <c r="AQ288" s="21">
        <v>8.17</v>
      </c>
      <c r="AR288" s="21">
        <v>9.64</v>
      </c>
      <c r="AS288" s="21">
        <v>11.59</v>
      </c>
      <c r="AT288" s="21">
        <v>12.9</v>
      </c>
      <c r="AU288" s="21">
        <v>12.63</v>
      </c>
      <c r="AV288" s="21">
        <v>12.32</v>
      </c>
      <c r="AW288" s="21">
        <v>8.42</v>
      </c>
      <c r="AX288" s="21">
        <v>7.34</v>
      </c>
      <c r="AY288" s="21">
        <v>8.2200000000000006</v>
      </c>
      <c r="AZ288" s="21">
        <v>9.0500000000000007</v>
      </c>
      <c r="BA288" s="21">
        <v>8.7899999999999991</v>
      </c>
      <c r="BB288" s="21">
        <v>7.26</v>
      </c>
      <c r="BC288" s="21">
        <v>8.7200000000000006</v>
      </c>
    </row>
    <row r="289" spans="1:55" x14ac:dyDescent="0.2">
      <c r="A289" s="21" t="s">
        <v>1413</v>
      </c>
      <c r="B289" s="21" t="s">
        <v>1414</v>
      </c>
      <c r="C289" s="21" t="s">
        <v>1317</v>
      </c>
      <c r="D289" s="21">
        <v>67.5</v>
      </c>
      <c r="E289" s="21">
        <v>68.099999999999994</v>
      </c>
      <c r="F289" s="21">
        <v>67.7</v>
      </c>
      <c r="G289" s="21">
        <v>72.900000000000006</v>
      </c>
      <c r="H289" s="21">
        <v>118.2</v>
      </c>
      <c r="I289" s="21">
        <v>143.19999999999999</v>
      </c>
      <c r="J289" s="21">
        <v>173.1</v>
      </c>
      <c r="K289" s="21">
        <v>220.2</v>
      </c>
      <c r="L289" s="21">
        <v>261.8</v>
      </c>
      <c r="M289" s="21">
        <v>435.8</v>
      </c>
      <c r="N289" s="21">
        <v>678.4</v>
      </c>
      <c r="O289" s="21">
        <v>845.9</v>
      </c>
      <c r="P289" s="21">
        <v>944.3</v>
      </c>
      <c r="Q289" s="21">
        <v>882.9</v>
      </c>
      <c r="R289" s="21">
        <v>952.8</v>
      </c>
      <c r="S289" s="21">
        <v>943.7</v>
      </c>
      <c r="T289" s="21">
        <v>689.2</v>
      </c>
      <c r="U289" s="21">
        <v>627.9</v>
      </c>
      <c r="V289" s="21">
        <v>677.1</v>
      </c>
      <c r="W289" s="21">
        <v>755.7</v>
      </c>
      <c r="X289" s="21">
        <v>878.2</v>
      </c>
      <c r="Y289" s="21">
        <v>881.9</v>
      </c>
      <c r="Z289" s="21">
        <v>846</v>
      </c>
      <c r="AA289" s="21">
        <v>726.3</v>
      </c>
      <c r="AB289" s="21">
        <v>669.9</v>
      </c>
      <c r="AC289" s="21">
        <v>656.6</v>
      </c>
      <c r="AD289" s="21">
        <v>780.9</v>
      </c>
      <c r="AE289" s="21">
        <v>629.70000000000005</v>
      </c>
      <c r="AF289" s="21">
        <v>484</v>
      </c>
      <c r="AG289" s="21">
        <v>509.4</v>
      </c>
      <c r="AH289" s="21">
        <v>823.7</v>
      </c>
      <c r="AI289" s="21">
        <v>693.6</v>
      </c>
      <c r="AJ289" s="21">
        <v>638.6</v>
      </c>
      <c r="AK289" s="21">
        <v>806.8</v>
      </c>
      <c r="AL289" s="21">
        <v>939.5</v>
      </c>
      <c r="AM289" s="21">
        <v>1247.5999999999999</v>
      </c>
      <c r="AN289" s="21">
        <v>1275</v>
      </c>
      <c r="AO289" s="21">
        <v>1556.7</v>
      </c>
      <c r="AP289" s="21">
        <v>2145.6999999999998</v>
      </c>
      <c r="AQ289" s="21">
        <v>1729.5</v>
      </c>
      <c r="AR289" s="21">
        <v>2188.3000000000002</v>
      </c>
      <c r="AS289" s="21">
        <v>2551.5</v>
      </c>
      <c r="AT289" s="21">
        <v>2374.1999999999998</v>
      </c>
      <c r="AU289" s="21">
        <v>3034</v>
      </c>
      <c r="AV289" s="21">
        <v>2994.1</v>
      </c>
      <c r="AW289" s="21">
        <v>1889.1</v>
      </c>
      <c r="AX289" s="21">
        <v>1411.4</v>
      </c>
      <c r="AY289" s="21">
        <v>1537.7</v>
      </c>
      <c r="AZ289" s="21">
        <v>2056.9</v>
      </c>
      <c r="BA289" s="21">
        <v>2075.4</v>
      </c>
      <c r="BB289" s="21">
        <v>1382.1</v>
      </c>
      <c r="BC289" s="21">
        <v>1664.4</v>
      </c>
    </row>
    <row r="290" spans="1:55" x14ac:dyDescent="0.2">
      <c r="A290" s="21" t="s">
        <v>1413</v>
      </c>
      <c r="B290" s="21" t="s">
        <v>1414</v>
      </c>
      <c r="C290" s="21" t="s">
        <v>1319</v>
      </c>
      <c r="D290" s="21">
        <v>102670</v>
      </c>
      <c r="E290" s="21">
        <v>98226</v>
      </c>
      <c r="F290" s="21">
        <v>97774</v>
      </c>
      <c r="G290" s="21">
        <v>91424</v>
      </c>
      <c r="H290" s="21">
        <v>95583</v>
      </c>
      <c r="I290" s="21">
        <v>109713</v>
      </c>
      <c r="J290" s="21">
        <v>124345</v>
      </c>
      <c r="K290" s="21">
        <v>139852</v>
      </c>
      <c r="L290" s="21">
        <v>159499</v>
      </c>
      <c r="M290" s="21">
        <v>185290</v>
      </c>
      <c r="N290" s="21">
        <v>218824</v>
      </c>
      <c r="O290" s="21">
        <v>222903</v>
      </c>
      <c r="P290" s="21">
        <v>247325</v>
      </c>
      <c r="Q290" s="21">
        <v>247538</v>
      </c>
      <c r="R290" s="21">
        <v>247241</v>
      </c>
      <c r="S290" s="21">
        <v>254684</v>
      </c>
      <c r="T290" s="21">
        <v>231989</v>
      </c>
      <c r="U290" s="21">
        <v>218919</v>
      </c>
      <c r="V290" s="21">
        <v>233633</v>
      </c>
      <c r="W290" s="21">
        <v>236200</v>
      </c>
      <c r="X290" s="21">
        <v>244740</v>
      </c>
      <c r="Y290" s="21">
        <v>256571</v>
      </c>
      <c r="Z290" s="21">
        <v>269189</v>
      </c>
      <c r="AA290" s="21">
        <v>239961</v>
      </c>
      <c r="AB290" s="21">
        <v>227772</v>
      </c>
      <c r="AC290" s="21">
        <v>227772</v>
      </c>
      <c r="AD290" s="21">
        <v>236533</v>
      </c>
      <c r="AE290" s="21">
        <v>194322</v>
      </c>
      <c r="AF290" s="21">
        <v>172682</v>
      </c>
      <c r="AG290" s="21">
        <v>177227</v>
      </c>
      <c r="AH290" s="21">
        <v>190859</v>
      </c>
      <c r="AI290" s="21">
        <v>164237</v>
      </c>
      <c r="AJ290" s="21">
        <v>166711</v>
      </c>
      <c r="AK290" s="21">
        <v>175485</v>
      </c>
      <c r="AL290" s="21">
        <v>179872</v>
      </c>
      <c r="AM290" s="21">
        <v>179158</v>
      </c>
      <c r="AN290" s="21">
        <v>158896</v>
      </c>
      <c r="AO290" s="21">
        <v>175622</v>
      </c>
      <c r="AP290" s="21">
        <v>196529</v>
      </c>
      <c r="AQ290" s="21">
        <v>211705</v>
      </c>
      <c r="AR290" s="21">
        <v>227057</v>
      </c>
      <c r="AS290" s="21">
        <v>220226</v>
      </c>
      <c r="AT290" s="21">
        <v>184029</v>
      </c>
      <c r="AU290" s="21">
        <v>240133</v>
      </c>
      <c r="AV290" s="21">
        <v>243023</v>
      </c>
      <c r="AW290" s="21">
        <v>224460</v>
      </c>
      <c r="AX290" s="21">
        <v>192377</v>
      </c>
      <c r="AY290" s="21">
        <v>186971</v>
      </c>
      <c r="AZ290" s="21">
        <v>227209</v>
      </c>
      <c r="BA290" s="21">
        <v>236229</v>
      </c>
      <c r="BB290" s="21">
        <v>190374</v>
      </c>
      <c r="BC290" s="21">
        <v>190944</v>
      </c>
    </row>
    <row r="291" spans="1:55" x14ac:dyDescent="0.2">
      <c r="A291" s="21" t="s">
        <v>1413</v>
      </c>
      <c r="B291" s="21" t="s">
        <v>1414</v>
      </c>
      <c r="C291" s="21" t="s">
        <v>1321</v>
      </c>
      <c r="D291" s="21">
        <v>298107</v>
      </c>
      <c r="E291" s="21">
        <v>283648</v>
      </c>
      <c r="F291" s="21">
        <v>282002</v>
      </c>
      <c r="G291" s="21">
        <v>262673</v>
      </c>
      <c r="H291" s="21">
        <v>275369</v>
      </c>
      <c r="I291" s="21">
        <v>315694</v>
      </c>
      <c r="J291" s="21">
        <v>357289</v>
      </c>
      <c r="K291" s="21">
        <v>401930</v>
      </c>
      <c r="L291" s="21">
        <v>462350</v>
      </c>
      <c r="M291" s="21">
        <v>542786</v>
      </c>
      <c r="N291" s="21">
        <v>627367</v>
      </c>
      <c r="O291" s="21">
        <v>650561</v>
      </c>
      <c r="P291" s="21">
        <v>723966</v>
      </c>
      <c r="Q291" s="21">
        <v>722462</v>
      </c>
      <c r="R291" s="21">
        <v>733243</v>
      </c>
      <c r="S291" s="21">
        <v>755316</v>
      </c>
      <c r="T291" s="21">
        <v>688011</v>
      </c>
      <c r="U291" s="21">
        <v>633772</v>
      </c>
      <c r="V291" s="21">
        <v>676367</v>
      </c>
      <c r="W291" s="21">
        <v>683800</v>
      </c>
      <c r="X291" s="21">
        <v>337132</v>
      </c>
      <c r="Y291" s="21">
        <v>353429</v>
      </c>
      <c r="Z291" s="21">
        <v>370811</v>
      </c>
      <c r="AA291" s="21">
        <v>307866</v>
      </c>
      <c r="AB291" s="21">
        <v>292228</v>
      </c>
      <c r="AC291" s="21">
        <v>292228</v>
      </c>
      <c r="AD291" s="21">
        <v>303467</v>
      </c>
      <c r="AE291" s="21">
        <v>233298</v>
      </c>
      <c r="AF291" s="21">
        <v>207318</v>
      </c>
      <c r="AG291" s="21">
        <v>212773</v>
      </c>
      <c r="AH291" s="21">
        <v>229141</v>
      </c>
      <c r="AI291" s="21">
        <v>210124</v>
      </c>
      <c r="AJ291" s="21">
        <v>213289</v>
      </c>
      <c r="AK291" s="21">
        <v>224515</v>
      </c>
      <c r="AL291" s="21">
        <v>230128</v>
      </c>
      <c r="AM291" s="21">
        <v>249299</v>
      </c>
      <c r="AN291" s="21">
        <v>221104</v>
      </c>
      <c r="AO291" s="21">
        <v>244378</v>
      </c>
      <c r="AP291" s="21">
        <v>273471</v>
      </c>
      <c r="AQ291" s="21">
        <v>292275</v>
      </c>
      <c r="AR291" s="21">
        <v>313469</v>
      </c>
      <c r="AS291" s="21">
        <v>304038</v>
      </c>
      <c r="AT291" s="21">
        <v>254066</v>
      </c>
      <c r="AU291" s="21">
        <v>331522</v>
      </c>
      <c r="AV291" s="21">
        <v>335512</v>
      </c>
      <c r="AW291" s="21">
        <v>288276</v>
      </c>
      <c r="AX291" s="21">
        <v>252264</v>
      </c>
      <c r="AY291" s="21">
        <v>242608</v>
      </c>
      <c r="AZ291" s="21">
        <v>297650</v>
      </c>
      <c r="BA291" s="21">
        <v>309280</v>
      </c>
      <c r="BB291" s="21">
        <v>249833</v>
      </c>
      <c r="BC291" s="21">
        <v>248024</v>
      </c>
    </row>
    <row r="292" spans="1:55" x14ac:dyDescent="0.2">
      <c r="A292" s="21" t="s">
        <v>1413</v>
      </c>
      <c r="B292" s="21" t="s">
        <v>1414</v>
      </c>
      <c r="C292" s="21" t="s">
        <v>1337</v>
      </c>
      <c r="D292" s="21">
        <v>0.66</v>
      </c>
      <c r="E292" s="21">
        <v>0.69</v>
      </c>
      <c r="F292" s="21">
        <v>0.69</v>
      </c>
      <c r="G292" s="21">
        <v>0.8</v>
      </c>
      <c r="H292" s="21">
        <v>1.24</v>
      </c>
      <c r="I292" s="21">
        <v>1.31</v>
      </c>
      <c r="J292" s="21">
        <v>1.39</v>
      </c>
      <c r="K292" s="21">
        <v>1.57</v>
      </c>
      <c r="L292" s="21">
        <v>1.64</v>
      </c>
      <c r="M292" s="21">
        <v>2.35</v>
      </c>
      <c r="N292" s="21">
        <v>3.1</v>
      </c>
      <c r="O292" s="21">
        <v>3.79</v>
      </c>
      <c r="P292" s="21">
        <v>3.82</v>
      </c>
      <c r="Q292" s="21">
        <v>3.57</v>
      </c>
      <c r="R292" s="21">
        <v>3.85</v>
      </c>
      <c r="S292" s="21">
        <v>3.71</v>
      </c>
      <c r="T292" s="21">
        <v>2.97</v>
      </c>
      <c r="U292" s="21">
        <v>2.87</v>
      </c>
      <c r="V292" s="21">
        <v>2.9</v>
      </c>
      <c r="W292" s="21">
        <v>2.66</v>
      </c>
      <c r="X292" s="21">
        <v>3.02</v>
      </c>
      <c r="Y292" s="21">
        <v>2.98</v>
      </c>
      <c r="Z292" s="21">
        <v>2.68</v>
      </c>
      <c r="AA292" s="21">
        <v>2.63</v>
      </c>
      <c r="AB292" s="21">
        <v>2.5</v>
      </c>
      <c r="AC292" s="21">
        <v>2.25</v>
      </c>
      <c r="AD292" s="21">
        <v>2.4700000000000002</v>
      </c>
      <c r="AE292" s="21">
        <v>2.4300000000000002</v>
      </c>
      <c r="AF292" s="21">
        <v>2.09</v>
      </c>
      <c r="AG292" s="21">
        <v>1.89</v>
      </c>
      <c r="AH292" s="21">
        <v>2.99</v>
      </c>
      <c r="AI292" s="21">
        <v>3.22</v>
      </c>
      <c r="AJ292" s="21">
        <v>2.81</v>
      </c>
      <c r="AK292" s="21">
        <v>3.48</v>
      </c>
      <c r="AL292" s="21">
        <v>3.54</v>
      </c>
      <c r="AM292" s="21">
        <v>4.67</v>
      </c>
      <c r="AN292" s="21">
        <v>4.7300000000000004</v>
      </c>
      <c r="AO292" s="21">
        <v>5.59</v>
      </c>
      <c r="AP292" s="21">
        <v>6.58</v>
      </c>
      <c r="AQ292" s="21">
        <v>4.76</v>
      </c>
      <c r="AR292" s="21">
        <v>5.43</v>
      </c>
      <c r="AS292" s="21">
        <v>5.94</v>
      </c>
      <c r="AT292" s="21">
        <v>5.47</v>
      </c>
      <c r="AU292" s="21">
        <v>5.56</v>
      </c>
      <c r="AV292" s="21">
        <v>5.64</v>
      </c>
      <c r="AW292" s="21">
        <v>4.25</v>
      </c>
      <c r="AX292" s="21">
        <v>3.47</v>
      </c>
      <c r="AY292" s="21">
        <v>3.74</v>
      </c>
      <c r="AZ292" s="21">
        <v>4.1100000000000003</v>
      </c>
      <c r="BA292" s="21">
        <v>4.5599999999999996</v>
      </c>
      <c r="BB292" s="21">
        <v>3.8</v>
      </c>
      <c r="BC292" s="21">
        <v>4.3499999999999996</v>
      </c>
    </row>
    <row r="293" spans="1:55" x14ac:dyDescent="0.2">
      <c r="A293" s="21" t="s">
        <v>1413</v>
      </c>
      <c r="B293" s="21" t="s">
        <v>1414</v>
      </c>
      <c r="C293" s="21" t="s">
        <v>1339</v>
      </c>
      <c r="D293" s="21">
        <v>1.3</v>
      </c>
      <c r="E293" s="21">
        <v>1.3</v>
      </c>
      <c r="F293" s="21">
        <v>1.3</v>
      </c>
      <c r="G293" s="21">
        <v>1.4</v>
      </c>
      <c r="H293" s="21">
        <v>2.2000000000000002</v>
      </c>
      <c r="I293" s="21">
        <v>2.7</v>
      </c>
      <c r="J293" s="21">
        <v>3.3</v>
      </c>
      <c r="K293" s="21">
        <v>4.2</v>
      </c>
      <c r="L293" s="21">
        <v>5</v>
      </c>
      <c r="M293" s="21">
        <v>8.3000000000000007</v>
      </c>
      <c r="N293" s="21">
        <v>16.8</v>
      </c>
      <c r="O293" s="21">
        <v>20.3</v>
      </c>
      <c r="P293" s="21">
        <v>21.4</v>
      </c>
      <c r="Q293" s="21">
        <v>20</v>
      </c>
      <c r="R293" s="21">
        <v>21.4</v>
      </c>
      <c r="S293" s="21">
        <v>22.4</v>
      </c>
      <c r="T293" s="21">
        <v>20.2</v>
      </c>
      <c r="U293" s="21">
        <v>21.4</v>
      </c>
      <c r="V293" s="21">
        <v>23.8</v>
      </c>
      <c r="W293" s="21">
        <v>68.099999999999994</v>
      </c>
      <c r="X293" s="21">
        <v>104.1</v>
      </c>
      <c r="Y293" s="21">
        <v>104.3</v>
      </c>
      <c r="Z293" s="21">
        <v>101.7</v>
      </c>
      <c r="AA293" s="21">
        <v>106.3</v>
      </c>
      <c r="AB293" s="21">
        <v>99.5</v>
      </c>
      <c r="AC293" s="21">
        <v>105.5</v>
      </c>
      <c r="AD293" s="21">
        <v>126.9</v>
      </c>
      <c r="AE293" s="21">
        <v>124.7</v>
      </c>
      <c r="AF293" s="21">
        <v>98.5</v>
      </c>
      <c r="AG293" s="21">
        <v>103.8</v>
      </c>
      <c r="AH293" s="21">
        <v>155.4</v>
      </c>
      <c r="AI293" s="21">
        <v>145.1</v>
      </c>
      <c r="AJ293" s="21">
        <v>145.6</v>
      </c>
      <c r="AK293" s="21">
        <v>187.9</v>
      </c>
      <c r="AL293" s="21">
        <v>208.8</v>
      </c>
      <c r="AM293" s="21">
        <v>259.39999999999998</v>
      </c>
      <c r="AN293" s="21">
        <v>263.60000000000002</v>
      </c>
      <c r="AO293" s="21">
        <v>308</v>
      </c>
      <c r="AP293" s="21">
        <v>393.1</v>
      </c>
      <c r="AQ293" s="21">
        <v>287.8</v>
      </c>
      <c r="AR293" s="21">
        <v>337.4</v>
      </c>
      <c r="AS293" s="21">
        <v>394</v>
      </c>
      <c r="AT293" s="21">
        <v>391.5</v>
      </c>
      <c r="AU293" s="21">
        <v>430.7</v>
      </c>
      <c r="AV293" s="21">
        <v>461.3</v>
      </c>
      <c r="AW293" s="21">
        <v>357.5</v>
      </c>
      <c r="AX293" s="21">
        <v>302.7</v>
      </c>
      <c r="AY293" s="21">
        <v>324.10000000000002</v>
      </c>
      <c r="AZ293" s="21">
        <v>354.9</v>
      </c>
      <c r="BA293" s="21">
        <v>358.7</v>
      </c>
      <c r="BB293" s="21">
        <v>289.39999999999998</v>
      </c>
      <c r="BC293" s="21">
        <v>337</v>
      </c>
    </row>
    <row r="294" spans="1:55" x14ac:dyDescent="0.2">
      <c r="A294" s="21" t="s">
        <v>1413</v>
      </c>
      <c r="B294" s="21" t="s">
        <v>1414</v>
      </c>
      <c r="C294" s="21" t="s">
        <v>1341</v>
      </c>
      <c r="D294" s="21">
        <v>1930</v>
      </c>
      <c r="E294" s="21">
        <v>1849</v>
      </c>
      <c r="F294" s="21">
        <v>1851</v>
      </c>
      <c r="G294" s="21">
        <v>1732</v>
      </c>
      <c r="H294" s="21">
        <v>1808</v>
      </c>
      <c r="I294" s="21">
        <v>2080</v>
      </c>
      <c r="J294" s="21">
        <v>2349</v>
      </c>
      <c r="K294" s="21">
        <v>2655</v>
      </c>
      <c r="L294" s="21">
        <v>3035</v>
      </c>
      <c r="M294" s="21">
        <v>3515</v>
      </c>
      <c r="N294" s="21">
        <v>5431</v>
      </c>
      <c r="O294" s="21">
        <v>5359</v>
      </c>
      <c r="P294" s="21">
        <v>5602</v>
      </c>
      <c r="Q294" s="21">
        <v>5614</v>
      </c>
      <c r="R294" s="21">
        <v>5548</v>
      </c>
      <c r="S294" s="21">
        <v>6052</v>
      </c>
      <c r="T294" s="21">
        <v>6808</v>
      </c>
      <c r="U294" s="21">
        <v>7445</v>
      </c>
      <c r="V294" s="21">
        <v>8216</v>
      </c>
      <c r="W294" s="21">
        <v>25635</v>
      </c>
      <c r="X294" s="21">
        <v>34418</v>
      </c>
      <c r="Y294" s="21">
        <v>34995</v>
      </c>
      <c r="Z294" s="21">
        <v>37999</v>
      </c>
      <c r="AA294" s="21">
        <v>40494</v>
      </c>
      <c r="AB294" s="21">
        <v>39794</v>
      </c>
      <c r="AC294" s="21">
        <v>46832</v>
      </c>
      <c r="AD294" s="21">
        <v>51383</v>
      </c>
      <c r="AE294" s="21">
        <v>51333</v>
      </c>
      <c r="AF294" s="21">
        <v>47199</v>
      </c>
      <c r="AG294" s="21">
        <v>54805</v>
      </c>
      <c r="AH294" s="21">
        <v>51919</v>
      </c>
      <c r="AI294" s="21">
        <v>45033</v>
      </c>
      <c r="AJ294" s="21">
        <v>51774</v>
      </c>
      <c r="AK294" s="21">
        <v>54010</v>
      </c>
      <c r="AL294" s="21">
        <v>58985</v>
      </c>
      <c r="AM294" s="21">
        <v>55542</v>
      </c>
      <c r="AN294" s="21">
        <v>55784</v>
      </c>
      <c r="AO294" s="21">
        <v>55147</v>
      </c>
      <c r="AP294" s="21">
        <v>59755</v>
      </c>
      <c r="AQ294" s="21">
        <v>60495</v>
      </c>
      <c r="AR294" s="21">
        <v>62174</v>
      </c>
      <c r="AS294" s="21">
        <v>66357</v>
      </c>
      <c r="AT294" s="21">
        <v>71566</v>
      </c>
      <c r="AU294" s="21">
        <v>77412</v>
      </c>
      <c r="AV294" s="21">
        <v>81750</v>
      </c>
      <c r="AW294" s="21">
        <v>84111</v>
      </c>
      <c r="AX294" s="21">
        <v>87194</v>
      </c>
      <c r="AY294" s="21">
        <v>86763</v>
      </c>
      <c r="AZ294" s="21">
        <v>86339</v>
      </c>
      <c r="BA294" s="21">
        <v>78693</v>
      </c>
      <c r="BB294" s="21">
        <v>76112</v>
      </c>
      <c r="BC294" s="21">
        <v>77517</v>
      </c>
    </row>
    <row r="295" spans="1:55" x14ac:dyDescent="0.2">
      <c r="A295" s="21" t="s">
        <v>1413</v>
      </c>
      <c r="B295" s="21" t="s">
        <v>1414</v>
      </c>
      <c r="C295" s="21" t="s">
        <v>1343</v>
      </c>
      <c r="D295" s="21">
        <v>5604</v>
      </c>
      <c r="E295" s="21">
        <v>5340</v>
      </c>
      <c r="F295" s="21">
        <v>5339</v>
      </c>
      <c r="G295" s="21">
        <v>4976</v>
      </c>
      <c r="H295" s="21">
        <v>5209</v>
      </c>
      <c r="I295" s="21">
        <v>5986</v>
      </c>
      <c r="J295" s="21">
        <v>6750</v>
      </c>
      <c r="K295" s="21">
        <v>7631</v>
      </c>
      <c r="L295" s="21">
        <v>8798</v>
      </c>
      <c r="M295" s="21">
        <v>10297</v>
      </c>
      <c r="N295" s="21">
        <v>15569</v>
      </c>
      <c r="O295" s="21">
        <v>15641</v>
      </c>
      <c r="P295" s="21">
        <v>16398</v>
      </c>
      <c r="Q295" s="21">
        <v>16386</v>
      </c>
      <c r="R295" s="21">
        <v>16452</v>
      </c>
      <c r="S295" s="21">
        <v>17948</v>
      </c>
      <c r="T295" s="21">
        <v>20192</v>
      </c>
      <c r="U295" s="21">
        <v>21555</v>
      </c>
      <c r="V295" s="21">
        <v>23784</v>
      </c>
      <c r="W295" s="21">
        <v>72846</v>
      </c>
      <c r="X295" s="21">
        <v>59085</v>
      </c>
      <c r="Y295" s="21">
        <v>59929</v>
      </c>
      <c r="Z295" s="21">
        <v>66479</v>
      </c>
      <c r="AA295" s="21">
        <v>68493</v>
      </c>
      <c r="AB295" s="21">
        <v>66443</v>
      </c>
      <c r="AC295" s="21">
        <v>65746</v>
      </c>
      <c r="AD295" s="21">
        <v>77313</v>
      </c>
      <c r="AE295" s="21">
        <v>79663</v>
      </c>
      <c r="AF295" s="21">
        <v>70975</v>
      </c>
      <c r="AG295" s="21">
        <v>65733</v>
      </c>
      <c r="AH295" s="21">
        <v>66805</v>
      </c>
      <c r="AI295" s="21">
        <v>46300</v>
      </c>
      <c r="AJ295" s="21">
        <v>42763</v>
      </c>
      <c r="AK295" s="21">
        <v>46452</v>
      </c>
      <c r="AL295" s="21">
        <v>45580</v>
      </c>
      <c r="AM295" s="21">
        <v>48701</v>
      </c>
      <c r="AN295" s="21">
        <v>45631</v>
      </c>
      <c r="AO295" s="21">
        <v>45609</v>
      </c>
      <c r="AP295" s="21">
        <v>47362</v>
      </c>
      <c r="AQ295" s="21">
        <v>48456</v>
      </c>
      <c r="AR295" s="21">
        <v>45401</v>
      </c>
      <c r="AS295" s="21">
        <v>45345</v>
      </c>
      <c r="AT295" s="21">
        <v>34364</v>
      </c>
      <c r="AU295" s="21">
        <v>39829</v>
      </c>
      <c r="AV295" s="21">
        <v>41501</v>
      </c>
      <c r="AW295" s="21">
        <v>42206</v>
      </c>
      <c r="AX295" s="21">
        <v>44677</v>
      </c>
      <c r="AY295" s="21">
        <v>44474</v>
      </c>
      <c r="AZ295" s="21">
        <v>44658</v>
      </c>
      <c r="BA295" s="21">
        <v>44646</v>
      </c>
      <c r="BB295" s="21">
        <v>44692</v>
      </c>
      <c r="BC295" s="21">
        <v>44494</v>
      </c>
    </row>
    <row r="296" spans="1:55" x14ac:dyDescent="0.2">
      <c r="A296" s="21" t="s">
        <v>1413</v>
      </c>
      <c r="B296" s="21" t="s">
        <v>1414</v>
      </c>
      <c r="C296" s="21" t="s">
        <v>1347</v>
      </c>
      <c r="D296" s="21">
        <v>0.65</v>
      </c>
      <c r="E296" s="21">
        <v>0.69</v>
      </c>
      <c r="F296" s="21">
        <v>0.72</v>
      </c>
      <c r="G296" s="21">
        <v>0.77</v>
      </c>
      <c r="H296" s="21">
        <v>0.84</v>
      </c>
      <c r="I296" s="21">
        <v>0.92</v>
      </c>
      <c r="J296" s="21">
        <v>0.98</v>
      </c>
      <c r="K296" s="21">
        <v>1.04</v>
      </c>
      <c r="L296" s="21">
        <v>1.1200000000000001</v>
      </c>
      <c r="M296" s="21">
        <v>1.56</v>
      </c>
      <c r="N296" s="21">
        <v>1.74</v>
      </c>
      <c r="O296" s="21">
        <v>1.24</v>
      </c>
      <c r="P296" s="21">
        <v>1.28</v>
      </c>
      <c r="Q296" s="21">
        <v>1.1200000000000001</v>
      </c>
      <c r="R296" s="21">
        <v>1.28</v>
      </c>
      <c r="S296" s="21">
        <v>0.79</v>
      </c>
      <c r="T296" s="21">
        <v>0.32</v>
      </c>
      <c r="U296" s="21">
        <v>0.95</v>
      </c>
      <c r="V296" s="21">
        <v>0.87</v>
      </c>
      <c r="W296" s="21">
        <v>0.53</v>
      </c>
      <c r="X296" s="21">
        <v>0.34</v>
      </c>
      <c r="Y296" s="21">
        <v>0.41</v>
      </c>
      <c r="Z296" s="21">
        <v>0.42</v>
      </c>
      <c r="AA296" s="21">
        <v>0.52</v>
      </c>
      <c r="AB296" s="21">
        <v>1.0900000000000001</v>
      </c>
      <c r="AC296" s="21">
        <v>1.1299999999999999</v>
      </c>
      <c r="AD296" s="21">
        <v>0.75</v>
      </c>
      <c r="AE296" s="21">
        <v>0.53</v>
      </c>
      <c r="AF296" s="21">
        <v>0.66</v>
      </c>
      <c r="AG296" s="21">
        <v>0.54</v>
      </c>
      <c r="AH296" s="21">
        <v>0.68</v>
      </c>
      <c r="AI296" s="21">
        <v>1.3</v>
      </c>
      <c r="AJ296" s="21">
        <v>1.66</v>
      </c>
      <c r="AK296" s="21">
        <v>1.69</v>
      </c>
      <c r="AL296" s="21">
        <v>1.61</v>
      </c>
      <c r="AM296" s="21">
        <v>2.31</v>
      </c>
      <c r="AN296" s="21">
        <v>2.56</v>
      </c>
      <c r="AO296" s="21">
        <v>3.22</v>
      </c>
      <c r="AP296" s="21">
        <v>2.5299999999999998</v>
      </c>
      <c r="AQ296" s="21">
        <v>2.4</v>
      </c>
      <c r="AR296" s="21">
        <v>2.63</v>
      </c>
      <c r="AS296" s="21">
        <v>2.66</v>
      </c>
      <c r="AT296" s="21">
        <v>2.31</v>
      </c>
      <c r="AU296" s="21">
        <v>2.2599999999999998</v>
      </c>
      <c r="AV296" s="21">
        <v>2.72</v>
      </c>
      <c r="AW296" s="21">
        <v>2.59</v>
      </c>
      <c r="AX296" s="21">
        <v>2.52</v>
      </c>
      <c r="AY296" s="21">
        <v>2.37</v>
      </c>
      <c r="AZ296" s="21">
        <v>2.15</v>
      </c>
      <c r="BA296" s="21">
        <v>2.2799999999999998</v>
      </c>
      <c r="BB296" s="21">
        <v>1.76</v>
      </c>
      <c r="BC296" s="21">
        <v>2.3199999999999998</v>
      </c>
    </row>
    <row r="297" spans="1:55" x14ac:dyDescent="0.2">
      <c r="A297" s="21" t="s">
        <v>1413</v>
      </c>
      <c r="B297" s="21" t="s">
        <v>1414</v>
      </c>
      <c r="C297" s="21" t="s">
        <v>1349</v>
      </c>
      <c r="D297" s="21">
        <v>2.4</v>
      </c>
      <c r="E297" s="21">
        <v>2.2999999999999998</v>
      </c>
      <c r="F297" s="21">
        <v>2.5</v>
      </c>
      <c r="G297" s="21">
        <v>2.6</v>
      </c>
      <c r="H297" s="21">
        <v>2.2000000000000002</v>
      </c>
      <c r="I297" s="21">
        <v>1.8</v>
      </c>
      <c r="J297" s="21">
        <v>2.7</v>
      </c>
      <c r="K297" s="21">
        <v>5.2</v>
      </c>
      <c r="L297" s="21">
        <v>3.9</v>
      </c>
      <c r="M297" s="21">
        <v>8</v>
      </c>
      <c r="N297" s="21">
        <v>7.8</v>
      </c>
      <c r="O297" s="21">
        <v>4.8</v>
      </c>
      <c r="P297" s="21">
        <v>4.3</v>
      </c>
      <c r="Q297" s="21">
        <v>4.4000000000000004</v>
      </c>
      <c r="R297" s="21">
        <v>11.8</v>
      </c>
      <c r="S297" s="21">
        <v>11.4</v>
      </c>
      <c r="T297" s="21">
        <v>3.9</v>
      </c>
      <c r="U297" s="21">
        <v>14.6</v>
      </c>
      <c r="V297" s="21">
        <v>15</v>
      </c>
      <c r="W297" s="21">
        <v>123.8</v>
      </c>
      <c r="X297" s="21">
        <v>108.3</v>
      </c>
      <c r="Y297" s="21">
        <v>145.1</v>
      </c>
      <c r="Z297" s="21">
        <v>167.2</v>
      </c>
      <c r="AA297" s="21">
        <v>214.5</v>
      </c>
      <c r="AB297" s="21">
        <v>472.1</v>
      </c>
      <c r="AC297" s="21">
        <v>476.4</v>
      </c>
      <c r="AD297" s="21">
        <v>328.3</v>
      </c>
      <c r="AE297" s="21">
        <v>235.1</v>
      </c>
      <c r="AF297" s="21">
        <v>294.3</v>
      </c>
      <c r="AG297" s="21">
        <v>246.9</v>
      </c>
      <c r="AH297" s="21">
        <v>306.5</v>
      </c>
      <c r="AI297" s="21">
        <v>439</v>
      </c>
      <c r="AJ297" s="21">
        <v>629.29999999999995</v>
      </c>
      <c r="AK297" s="21">
        <v>660.9</v>
      </c>
      <c r="AL297" s="21">
        <v>617.9</v>
      </c>
      <c r="AM297" s="21">
        <v>928.7</v>
      </c>
      <c r="AN297" s="21">
        <v>1043.4000000000001</v>
      </c>
      <c r="AO297" s="21">
        <v>1352.1</v>
      </c>
      <c r="AP297" s="21">
        <v>1090.9000000000001</v>
      </c>
      <c r="AQ297" s="21">
        <v>1050.3</v>
      </c>
      <c r="AR297" s="21">
        <v>1207.2</v>
      </c>
      <c r="AS297" s="21">
        <v>1161</v>
      </c>
      <c r="AT297" s="21">
        <v>1046.5999999999999</v>
      </c>
      <c r="AU297" s="21">
        <v>1060.9000000000001</v>
      </c>
      <c r="AV297" s="21">
        <v>1442.3</v>
      </c>
      <c r="AW297" s="21">
        <v>1361.2</v>
      </c>
      <c r="AX297" s="21">
        <v>1272.9000000000001</v>
      </c>
      <c r="AY297" s="21">
        <v>1210</v>
      </c>
      <c r="AZ297" s="21">
        <v>1066.4000000000001</v>
      </c>
      <c r="BA297" s="21">
        <v>1021.3</v>
      </c>
      <c r="BB297" s="21">
        <v>752.7</v>
      </c>
      <c r="BC297" s="21">
        <v>988.2</v>
      </c>
    </row>
    <row r="298" spans="1:55" x14ac:dyDescent="0.2">
      <c r="A298" s="21" t="s">
        <v>1413</v>
      </c>
      <c r="B298" s="21" t="s">
        <v>1414</v>
      </c>
      <c r="C298" s="21" t="s">
        <v>1353</v>
      </c>
      <c r="D298" s="21">
        <v>1.66</v>
      </c>
      <c r="E298" s="21">
        <v>1.66</v>
      </c>
      <c r="F298" s="21">
        <v>1.67</v>
      </c>
      <c r="G298" s="21">
        <v>1.67</v>
      </c>
      <c r="H298" s="21">
        <v>1.67</v>
      </c>
      <c r="I298" s="21">
        <v>1.67</v>
      </c>
      <c r="J298" s="21">
        <v>1.67</v>
      </c>
      <c r="K298" s="21">
        <v>1.67</v>
      </c>
      <c r="L298" s="21">
        <v>1.68</v>
      </c>
      <c r="M298" s="21">
        <v>1.68</v>
      </c>
      <c r="N298" s="21">
        <v>1.67</v>
      </c>
      <c r="O298" s="21">
        <v>1.67</v>
      </c>
      <c r="P298" s="21">
        <v>1.67</v>
      </c>
      <c r="Q298" s="21">
        <v>1.67</v>
      </c>
      <c r="R298" s="21">
        <v>1.67</v>
      </c>
      <c r="S298" s="21">
        <v>1.67</v>
      </c>
      <c r="T298" s="21">
        <v>1.65</v>
      </c>
      <c r="U298" s="21">
        <v>1.65</v>
      </c>
      <c r="V298" s="21">
        <v>1.65</v>
      </c>
      <c r="W298" s="21">
        <v>1.2</v>
      </c>
      <c r="X298" s="21">
        <v>0.99</v>
      </c>
      <c r="Y298" s="21">
        <v>1.1399999999999999</v>
      </c>
      <c r="Z298" s="21">
        <v>1.1299999999999999</v>
      </c>
      <c r="AA298" s="21">
        <v>1.1200000000000001</v>
      </c>
      <c r="AB298" s="21">
        <v>1.1499999999999999</v>
      </c>
      <c r="AC298" s="21">
        <v>1.21</v>
      </c>
      <c r="AD298" s="21">
        <v>1.01</v>
      </c>
      <c r="AE298" s="21">
        <v>1.01</v>
      </c>
      <c r="AF298" s="21">
        <v>1.24</v>
      </c>
      <c r="AG298" s="21">
        <v>1.38</v>
      </c>
      <c r="AH298" s="21">
        <v>1.43</v>
      </c>
      <c r="AI298" s="21">
        <v>1.95</v>
      </c>
      <c r="AJ298" s="21">
        <v>2.11</v>
      </c>
      <c r="AK298" s="21">
        <v>1.63</v>
      </c>
      <c r="AL298" s="21">
        <v>1.79</v>
      </c>
      <c r="AM298" s="21">
        <v>2.73</v>
      </c>
      <c r="AN298" s="21">
        <v>2.65</v>
      </c>
      <c r="AO298" s="21">
        <v>2.5099999999999998</v>
      </c>
      <c r="AP298" s="21">
        <v>2.83</v>
      </c>
      <c r="AQ298" s="21">
        <v>2.62</v>
      </c>
      <c r="AR298" s="21">
        <v>2.67</v>
      </c>
      <c r="AS298" s="21">
        <v>2.77</v>
      </c>
      <c r="AT298" s="21">
        <v>2.63</v>
      </c>
      <c r="AU298" s="21">
        <v>2.59</v>
      </c>
      <c r="AV298" s="21">
        <v>3.14</v>
      </c>
      <c r="AW298" s="21">
        <v>3.04</v>
      </c>
      <c r="AX298" s="21">
        <v>2.94</v>
      </c>
      <c r="AY298" s="21">
        <v>2.87</v>
      </c>
      <c r="AZ298" s="21">
        <v>2.64</v>
      </c>
      <c r="BA298" s="21">
        <v>2.64</v>
      </c>
      <c r="BB298" s="21">
        <v>2.15</v>
      </c>
      <c r="BC298" s="21">
        <v>2.71</v>
      </c>
    </row>
    <row r="299" spans="1:55" x14ac:dyDescent="0.2">
      <c r="A299" s="21" t="s">
        <v>1413</v>
      </c>
      <c r="B299" s="21" t="s">
        <v>1414</v>
      </c>
      <c r="C299" s="21" t="s">
        <v>1355</v>
      </c>
      <c r="D299" s="21">
        <v>380.7</v>
      </c>
      <c r="E299" s="21">
        <v>389.4</v>
      </c>
      <c r="F299" s="21">
        <v>420.4</v>
      </c>
      <c r="G299" s="21">
        <v>441</v>
      </c>
      <c r="H299" s="21">
        <v>437.1</v>
      </c>
      <c r="I299" s="21">
        <v>400.3</v>
      </c>
      <c r="J299" s="21">
        <v>460.3</v>
      </c>
      <c r="K299" s="21">
        <v>484.4</v>
      </c>
      <c r="L299" s="21">
        <v>533.4</v>
      </c>
      <c r="M299" s="21">
        <v>534.5</v>
      </c>
      <c r="N299" s="21">
        <v>528.5</v>
      </c>
      <c r="O299" s="21">
        <v>557.79999999999995</v>
      </c>
      <c r="P299" s="21">
        <v>539.70000000000005</v>
      </c>
      <c r="Q299" s="21">
        <v>609.5</v>
      </c>
      <c r="R299" s="21">
        <v>621.9</v>
      </c>
      <c r="S299" s="21">
        <v>619.20000000000005</v>
      </c>
      <c r="T299" s="21">
        <v>639.1</v>
      </c>
      <c r="U299" s="21">
        <v>636.4</v>
      </c>
      <c r="V299" s="21">
        <v>662.1</v>
      </c>
      <c r="W299" s="21">
        <v>1322.6</v>
      </c>
      <c r="X299" s="21">
        <v>906.4</v>
      </c>
      <c r="Y299" s="21">
        <v>1033.5</v>
      </c>
      <c r="Z299" s="21">
        <v>1079.4000000000001</v>
      </c>
      <c r="AA299" s="21">
        <v>1145.8</v>
      </c>
      <c r="AB299" s="21">
        <v>1279.3</v>
      </c>
      <c r="AC299" s="21">
        <v>1699.1</v>
      </c>
      <c r="AD299" s="21">
        <v>1431.9</v>
      </c>
      <c r="AE299" s="21">
        <v>1435.4</v>
      </c>
      <c r="AF299" s="21">
        <v>1600.1</v>
      </c>
      <c r="AG299" s="21">
        <v>1785.7</v>
      </c>
      <c r="AH299" s="21">
        <v>1888.3</v>
      </c>
      <c r="AI299" s="21">
        <v>2216.1999999999998</v>
      </c>
      <c r="AJ299" s="21">
        <v>2591.8000000000002</v>
      </c>
      <c r="AK299" s="21">
        <v>1943</v>
      </c>
      <c r="AL299" s="21">
        <v>1926</v>
      </c>
      <c r="AM299" s="21">
        <v>3458.2</v>
      </c>
      <c r="AN299" s="21">
        <v>3514.3</v>
      </c>
      <c r="AO299" s="21">
        <v>3189.8</v>
      </c>
      <c r="AP299" s="21">
        <v>3408.3</v>
      </c>
      <c r="AQ299" s="21">
        <v>2303.5</v>
      </c>
      <c r="AR299" s="21">
        <v>3160</v>
      </c>
      <c r="AS299" s="21">
        <v>3418.1</v>
      </c>
      <c r="AT299" s="21">
        <v>3320.1</v>
      </c>
      <c r="AU299" s="21">
        <v>3409.7</v>
      </c>
      <c r="AV299" s="21">
        <v>4134.5</v>
      </c>
      <c r="AW299" s="21">
        <v>3946.2</v>
      </c>
      <c r="AX299" s="21">
        <v>3765.6</v>
      </c>
      <c r="AY299" s="21">
        <v>3571.2</v>
      </c>
      <c r="AZ299" s="21">
        <v>3362.8</v>
      </c>
      <c r="BA299" s="21">
        <v>3276.4</v>
      </c>
      <c r="BB299" s="21">
        <v>2577.4</v>
      </c>
      <c r="BC299" s="21">
        <v>3286.3</v>
      </c>
    </row>
    <row r="300" spans="1:55" x14ac:dyDescent="0.2">
      <c r="A300" s="21" t="s">
        <v>1413</v>
      </c>
      <c r="B300" s="21" t="s">
        <v>1414</v>
      </c>
      <c r="C300" s="21" t="s">
        <v>1357</v>
      </c>
      <c r="D300" s="21">
        <v>229543</v>
      </c>
      <c r="E300" s="21">
        <v>234933</v>
      </c>
      <c r="F300" s="21">
        <v>252168</v>
      </c>
      <c r="G300" s="21">
        <v>263701</v>
      </c>
      <c r="H300" s="21">
        <v>261393</v>
      </c>
      <c r="I300" s="21">
        <v>239689</v>
      </c>
      <c r="J300" s="21">
        <v>275980</v>
      </c>
      <c r="K300" s="21">
        <v>290185</v>
      </c>
      <c r="L300" s="21">
        <v>317239</v>
      </c>
      <c r="M300" s="21">
        <v>317953</v>
      </c>
      <c r="N300" s="21">
        <v>316785</v>
      </c>
      <c r="O300" s="21">
        <v>334350</v>
      </c>
      <c r="P300" s="21">
        <v>323455</v>
      </c>
      <c r="Q300" s="21">
        <v>365349</v>
      </c>
      <c r="R300" s="21">
        <v>372730</v>
      </c>
      <c r="S300" s="21">
        <v>371160</v>
      </c>
      <c r="T300" s="21">
        <v>387458</v>
      </c>
      <c r="U300" s="21">
        <v>385810</v>
      </c>
      <c r="V300" s="21">
        <v>401372</v>
      </c>
      <c r="W300" s="21">
        <v>1100337</v>
      </c>
      <c r="X300" s="21">
        <v>918590</v>
      </c>
      <c r="Y300" s="21">
        <v>909667</v>
      </c>
      <c r="Z300" s="21">
        <v>951182</v>
      </c>
      <c r="AA300" s="21">
        <v>1023146</v>
      </c>
      <c r="AB300" s="21">
        <v>1116632</v>
      </c>
      <c r="AC300" s="21">
        <v>1402024</v>
      </c>
      <c r="AD300" s="21">
        <v>1411838</v>
      </c>
      <c r="AE300" s="21">
        <v>1421417</v>
      </c>
      <c r="AF300" s="21">
        <v>1291052</v>
      </c>
      <c r="AG300" s="21">
        <v>1295905</v>
      </c>
      <c r="AH300" s="21">
        <v>1322457</v>
      </c>
      <c r="AI300" s="21">
        <v>1134490</v>
      </c>
      <c r="AJ300" s="21">
        <v>1230885</v>
      </c>
      <c r="AK300" s="21">
        <v>1194788</v>
      </c>
      <c r="AL300" s="21">
        <v>1075811</v>
      </c>
      <c r="AM300" s="21">
        <v>1267802</v>
      </c>
      <c r="AN300" s="21">
        <v>1328369</v>
      </c>
      <c r="AO300" s="21">
        <v>1268844</v>
      </c>
      <c r="AP300" s="21">
        <v>1203571</v>
      </c>
      <c r="AQ300" s="21">
        <v>879421</v>
      </c>
      <c r="AR300" s="21">
        <v>1185545</v>
      </c>
      <c r="AS300" s="21">
        <v>1232455</v>
      </c>
      <c r="AT300" s="21">
        <v>1264167</v>
      </c>
      <c r="AU300" s="21">
        <v>1315433</v>
      </c>
      <c r="AV300" s="21">
        <v>1314709</v>
      </c>
      <c r="AW300" s="21">
        <v>1297026</v>
      </c>
      <c r="AX300" s="21">
        <v>1282516</v>
      </c>
      <c r="AY300" s="21">
        <v>1243942</v>
      </c>
      <c r="AZ300" s="21">
        <v>1273634</v>
      </c>
      <c r="BA300" s="21">
        <v>1242405</v>
      </c>
      <c r="BB300" s="21">
        <v>1197488</v>
      </c>
      <c r="BC300" s="21">
        <v>1212241</v>
      </c>
    </row>
    <row r="301" spans="1:55" x14ac:dyDescent="0.2">
      <c r="A301" s="21" t="s">
        <v>1413</v>
      </c>
      <c r="B301" s="21" t="s">
        <v>1414</v>
      </c>
      <c r="C301" s="21" t="s">
        <v>1359</v>
      </c>
      <c r="D301" s="21">
        <v>789367</v>
      </c>
      <c r="E301" s="21">
        <v>805065</v>
      </c>
      <c r="F301" s="21">
        <v>860500</v>
      </c>
      <c r="G301" s="21">
        <v>901152</v>
      </c>
      <c r="H301" s="21">
        <v>897681</v>
      </c>
      <c r="I301" s="21">
        <v>823580</v>
      </c>
      <c r="J301" s="21">
        <v>943896</v>
      </c>
      <c r="K301" s="21">
        <v>991060</v>
      </c>
      <c r="L301" s="21">
        <v>1083185</v>
      </c>
      <c r="M301" s="21">
        <v>1086909</v>
      </c>
      <c r="N301" s="21">
        <v>1283215</v>
      </c>
      <c r="O301" s="21">
        <v>1354368</v>
      </c>
      <c r="P301" s="21">
        <v>1310238</v>
      </c>
      <c r="Q301" s="21">
        <v>1479939</v>
      </c>
      <c r="R301" s="21">
        <v>1509838</v>
      </c>
      <c r="S301" s="21">
        <v>1503475</v>
      </c>
      <c r="T301" s="21">
        <v>1478245</v>
      </c>
      <c r="U301" s="21">
        <v>1471960</v>
      </c>
      <c r="V301" s="21">
        <v>1531334</v>
      </c>
      <c r="W301" s="21">
        <v>683631</v>
      </c>
      <c r="X301" s="21">
        <v>715645</v>
      </c>
      <c r="Y301" s="21">
        <v>684854</v>
      </c>
      <c r="Z301" s="21">
        <v>688555</v>
      </c>
      <c r="AA301" s="21">
        <v>642356</v>
      </c>
      <c r="AB301" s="21">
        <v>662385</v>
      </c>
      <c r="AC301" s="21">
        <v>445080</v>
      </c>
      <c r="AD301" s="21">
        <v>495210</v>
      </c>
      <c r="AE301" s="21">
        <v>493210</v>
      </c>
      <c r="AF301" s="21">
        <v>492732</v>
      </c>
      <c r="AG301" s="21">
        <v>494657</v>
      </c>
      <c r="AH301" s="21">
        <v>458579</v>
      </c>
      <c r="AI301" s="21">
        <v>436749</v>
      </c>
      <c r="AJ301" s="21">
        <v>311894</v>
      </c>
      <c r="AK301" s="21">
        <v>316040</v>
      </c>
      <c r="AL301" s="21">
        <v>536841</v>
      </c>
      <c r="AM301" s="21">
        <v>336407</v>
      </c>
      <c r="AN301" s="21">
        <v>278045</v>
      </c>
      <c r="AO301" s="21">
        <v>293098</v>
      </c>
      <c r="AP301" s="21">
        <v>282246</v>
      </c>
      <c r="AQ301" s="21">
        <v>456657</v>
      </c>
      <c r="AR301" s="21">
        <v>391633</v>
      </c>
      <c r="AS301" s="21">
        <v>369865</v>
      </c>
      <c r="AT301" s="21">
        <v>356981</v>
      </c>
      <c r="AU301" s="21">
        <v>360752</v>
      </c>
      <c r="AV301" s="21">
        <v>370316</v>
      </c>
      <c r="AW301" s="21">
        <v>369182</v>
      </c>
      <c r="AX301" s="21">
        <v>365685</v>
      </c>
      <c r="AY301" s="21">
        <v>365919</v>
      </c>
      <c r="AZ301" s="21">
        <v>323768</v>
      </c>
      <c r="BA301" s="21">
        <v>320372</v>
      </c>
      <c r="BB301" s="21">
        <v>318381</v>
      </c>
      <c r="BC301" s="21">
        <v>315114</v>
      </c>
    </row>
    <row r="302" spans="1:55" x14ac:dyDescent="0.2">
      <c r="A302" s="21" t="s">
        <v>1413</v>
      </c>
      <c r="B302" s="21" t="s">
        <v>1414</v>
      </c>
      <c r="C302" s="21" t="s">
        <v>1363</v>
      </c>
      <c r="D302" s="21">
        <v>337885</v>
      </c>
      <c r="E302" s="21">
        <v>338270</v>
      </c>
      <c r="F302" s="21">
        <v>355225</v>
      </c>
      <c r="G302" s="21">
        <v>360267</v>
      </c>
      <c r="H302" s="21">
        <v>361402</v>
      </c>
      <c r="I302" s="21">
        <v>353472</v>
      </c>
      <c r="J302" s="21">
        <v>405438</v>
      </c>
      <c r="K302" s="21">
        <v>437711</v>
      </c>
      <c r="L302" s="21">
        <v>483271</v>
      </c>
      <c r="M302" s="21">
        <v>511914</v>
      </c>
      <c r="N302" s="21">
        <v>545539</v>
      </c>
      <c r="O302" s="21">
        <v>566457</v>
      </c>
      <c r="P302" s="21">
        <v>579738</v>
      </c>
      <c r="Q302" s="21">
        <v>622485</v>
      </c>
      <c r="R302" s="21">
        <v>634768</v>
      </c>
      <c r="S302" s="21">
        <v>646342</v>
      </c>
      <c r="T302" s="21">
        <v>638547</v>
      </c>
      <c r="U302" s="21">
        <v>627564</v>
      </c>
      <c r="V302" s="21">
        <v>660506</v>
      </c>
      <c r="W302" s="21">
        <v>1593700</v>
      </c>
      <c r="X302" s="21">
        <v>1514252</v>
      </c>
      <c r="Y302" s="21">
        <v>1555587</v>
      </c>
      <c r="Z302" s="21">
        <v>1660823</v>
      </c>
      <c r="AA302" s="21">
        <v>1718227</v>
      </c>
      <c r="AB302" s="21">
        <v>1818085</v>
      </c>
      <c r="AC302" s="21">
        <v>2098290</v>
      </c>
      <c r="AD302" s="21">
        <v>2138026</v>
      </c>
      <c r="AE302" s="21">
        <v>2113040</v>
      </c>
      <c r="AF302" s="21">
        <v>1955430</v>
      </c>
      <c r="AG302" s="21">
        <v>1981162</v>
      </c>
      <c r="AH302" s="21">
        <v>2017993</v>
      </c>
      <c r="AI302" s="21">
        <v>1680900</v>
      </c>
      <c r="AJ302" s="21">
        <v>1829341</v>
      </c>
      <c r="AK302" s="21">
        <v>1816381</v>
      </c>
      <c r="AL302" s="21">
        <v>1697747</v>
      </c>
      <c r="AM302" s="21">
        <v>1903966</v>
      </c>
      <c r="AN302" s="21">
        <v>1951100</v>
      </c>
      <c r="AO302" s="21">
        <v>1918925</v>
      </c>
      <c r="AP302" s="21">
        <v>1891170</v>
      </c>
      <c r="AQ302" s="21">
        <v>1589290</v>
      </c>
      <c r="AR302" s="21">
        <v>1934148</v>
      </c>
      <c r="AS302" s="21">
        <v>1955765</v>
      </c>
      <c r="AT302" s="21">
        <v>1972406</v>
      </c>
      <c r="AU302" s="21">
        <v>2102590</v>
      </c>
      <c r="AV302" s="21">
        <v>2169625</v>
      </c>
      <c r="AW302" s="21">
        <v>2130475</v>
      </c>
      <c r="AX302" s="21">
        <v>2067157</v>
      </c>
      <c r="AY302" s="21">
        <v>2027216</v>
      </c>
      <c r="AZ302" s="21">
        <v>2083267</v>
      </c>
      <c r="BA302" s="21">
        <v>2005464</v>
      </c>
      <c r="BB302" s="21">
        <v>1891548</v>
      </c>
      <c r="BC302" s="21">
        <v>1906912</v>
      </c>
    </row>
    <row r="303" spans="1:55" x14ac:dyDescent="0.2">
      <c r="A303" s="21" t="s">
        <v>1413</v>
      </c>
      <c r="B303" s="21" t="s">
        <v>1414</v>
      </c>
      <c r="C303" s="21" t="s">
        <v>1367</v>
      </c>
      <c r="D303" s="21">
        <v>1.34</v>
      </c>
      <c r="E303" s="21">
        <v>1.36</v>
      </c>
      <c r="F303" s="21">
        <v>1.38</v>
      </c>
      <c r="G303" s="21">
        <v>1.44</v>
      </c>
      <c r="H303" s="21">
        <v>1.55</v>
      </c>
      <c r="I303" s="21">
        <v>1.55</v>
      </c>
      <c r="J303" s="21">
        <v>1.58</v>
      </c>
      <c r="K303" s="21">
        <v>1.63</v>
      </c>
      <c r="L303" s="21">
        <v>1.66</v>
      </c>
      <c r="M303" s="21">
        <v>1.93</v>
      </c>
      <c r="N303" s="21">
        <v>2.2599999999999998</v>
      </c>
      <c r="O303" s="21">
        <v>2.52</v>
      </c>
      <c r="P303" s="21">
        <v>2.6</v>
      </c>
      <c r="Q303" s="21">
        <v>2.44</v>
      </c>
      <c r="R303" s="21">
        <v>2.5299999999999998</v>
      </c>
      <c r="S303" s="21">
        <v>2.4700000000000002</v>
      </c>
      <c r="T303" s="21">
        <v>2.12</v>
      </c>
      <c r="U303" s="21">
        <v>2.0699999999999998</v>
      </c>
      <c r="V303" s="21">
        <v>2.09</v>
      </c>
      <c r="W303" s="21">
        <v>1.42</v>
      </c>
      <c r="X303" s="21">
        <v>1.32</v>
      </c>
      <c r="Y303" s="21">
        <v>1.39</v>
      </c>
      <c r="Z303" s="21">
        <v>1.32</v>
      </c>
      <c r="AA303" s="21">
        <v>1.28</v>
      </c>
      <c r="AB303" s="21">
        <v>1.39</v>
      </c>
      <c r="AC303" s="21">
        <v>1.4</v>
      </c>
      <c r="AD303" s="21">
        <v>1.25</v>
      </c>
      <c r="AE303" s="21">
        <v>1.1499999999999999</v>
      </c>
      <c r="AF303" s="21">
        <v>1.27</v>
      </c>
      <c r="AG303" s="21">
        <v>1.34</v>
      </c>
      <c r="AH303" s="21">
        <v>1.57</v>
      </c>
      <c r="AI303" s="21">
        <v>2.08</v>
      </c>
      <c r="AJ303" s="21">
        <v>2.19</v>
      </c>
      <c r="AK303" s="21">
        <v>1.98</v>
      </c>
      <c r="AL303" s="21">
        <v>2.17</v>
      </c>
      <c r="AM303" s="21">
        <v>3.1</v>
      </c>
      <c r="AN303" s="21">
        <v>3.12</v>
      </c>
      <c r="AO303" s="21">
        <v>3.34</v>
      </c>
      <c r="AP303" s="21">
        <v>3.72</v>
      </c>
      <c r="AQ303" s="21">
        <v>3.38</v>
      </c>
      <c r="AR303" s="21">
        <v>3.56</v>
      </c>
      <c r="AS303" s="21">
        <v>3.85</v>
      </c>
      <c r="AT303" s="21">
        <v>3.62</v>
      </c>
      <c r="AU303" s="21">
        <v>3.77</v>
      </c>
      <c r="AV303" s="21">
        <v>4.16</v>
      </c>
      <c r="AW303" s="21">
        <v>3.55</v>
      </c>
      <c r="AX303" s="21">
        <v>3.27</v>
      </c>
      <c r="AY303" s="21">
        <v>3.28</v>
      </c>
      <c r="AZ303" s="21">
        <v>3.28</v>
      </c>
      <c r="BA303" s="21">
        <v>3.36</v>
      </c>
      <c r="BB303" s="21">
        <v>2.64</v>
      </c>
      <c r="BC303" s="21">
        <v>3.29</v>
      </c>
    </row>
    <row r="304" spans="1:55" x14ac:dyDescent="0.2">
      <c r="A304" s="21" t="s">
        <v>1413</v>
      </c>
      <c r="B304" s="21" t="s">
        <v>1414</v>
      </c>
      <c r="C304" s="21" t="s">
        <v>1369</v>
      </c>
      <c r="D304" s="21">
        <v>452</v>
      </c>
      <c r="E304" s="21">
        <v>461.1</v>
      </c>
      <c r="F304" s="21">
        <v>491.8</v>
      </c>
      <c r="G304" s="21">
        <v>517.9</v>
      </c>
      <c r="H304" s="21">
        <v>559.70000000000005</v>
      </c>
      <c r="I304" s="21">
        <v>548</v>
      </c>
      <c r="J304" s="21">
        <v>639.4</v>
      </c>
      <c r="K304" s="21">
        <v>714</v>
      </c>
      <c r="L304" s="21">
        <v>804.2</v>
      </c>
      <c r="M304" s="21">
        <v>986.6</v>
      </c>
      <c r="N304" s="21">
        <v>1231.5</v>
      </c>
      <c r="O304" s="21">
        <v>1428.8</v>
      </c>
      <c r="P304" s="21">
        <v>1509.6</v>
      </c>
      <c r="Q304" s="21">
        <v>1516.9</v>
      </c>
      <c r="R304" s="21">
        <v>1607.9</v>
      </c>
      <c r="S304" s="21">
        <v>1596.8</v>
      </c>
      <c r="T304" s="21">
        <v>1352.5</v>
      </c>
      <c r="U304" s="21">
        <v>1300.2</v>
      </c>
      <c r="V304" s="21">
        <v>1378.1</v>
      </c>
      <c r="W304" s="21">
        <v>2270.1999999999998</v>
      </c>
      <c r="X304" s="21">
        <v>1996.9</v>
      </c>
      <c r="Y304" s="21">
        <v>2164.8000000000002</v>
      </c>
      <c r="Z304" s="21">
        <v>2194.3000000000002</v>
      </c>
      <c r="AA304" s="21">
        <v>2193</v>
      </c>
      <c r="AB304" s="21">
        <v>2520.6999999999998</v>
      </c>
      <c r="AC304" s="21">
        <v>2937.6</v>
      </c>
      <c r="AD304" s="21">
        <v>2668</v>
      </c>
      <c r="AE304" s="21">
        <v>2424.9</v>
      </c>
      <c r="AF304" s="21">
        <v>2476.8000000000002</v>
      </c>
      <c r="AG304" s="21">
        <v>2645.7</v>
      </c>
      <c r="AH304" s="21">
        <v>3173.9</v>
      </c>
      <c r="AI304" s="21">
        <v>3493.9</v>
      </c>
      <c r="AJ304" s="21">
        <v>4005.3</v>
      </c>
      <c r="AK304" s="21">
        <v>3598.6</v>
      </c>
      <c r="AL304" s="21">
        <v>3692.2</v>
      </c>
      <c r="AM304" s="21">
        <v>5894</v>
      </c>
      <c r="AN304" s="21">
        <v>6096.3</v>
      </c>
      <c r="AO304" s="21">
        <v>6406.6</v>
      </c>
      <c r="AP304" s="21">
        <v>7038</v>
      </c>
      <c r="AQ304" s="21">
        <v>5371.2</v>
      </c>
      <c r="AR304" s="21">
        <v>6892.8</v>
      </c>
      <c r="AS304" s="21">
        <v>7524.6</v>
      </c>
      <c r="AT304" s="21">
        <v>7132.3</v>
      </c>
      <c r="AU304" s="21">
        <v>7935.3</v>
      </c>
      <c r="AV304" s="21">
        <v>9032.2999999999993</v>
      </c>
      <c r="AW304" s="21">
        <v>7554</v>
      </c>
      <c r="AX304" s="21">
        <v>6752.5</v>
      </c>
      <c r="AY304" s="21">
        <v>6643.1</v>
      </c>
      <c r="AZ304" s="21">
        <v>6841</v>
      </c>
      <c r="BA304" s="21">
        <v>6731.8</v>
      </c>
      <c r="BB304" s="21">
        <v>5001.6000000000004</v>
      </c>
      <c r="BC304" s="21">
        <v>6275.9</v>
      </c>
    </row>
    <row r="305" spans="1:55" x14ac:dyDescent="0.2">
      <c r="A305" s="21" t="s">
        <v>1413</v>
      </c>
      <c r="B305" s="21" t="s">
        <v>1414</v>
      </c>
      <c r="C305" s="21" t="s">
        <v>1373</v>
      </c>
      <c r="D305" s="21">
        <v>1.35</v>
      </c>
      <c r="E305" s="21">
        <v>1.37</v>
      </c>
      <c r="F305" s="21">
        <v>1.39</v>
      </c>
      <c r="G305" s="21">
        <v>1.44</v>
      </c>
      <c r="H305" s="21">
        <v>1.55</v>
      </c>
      <c r="I305" s="21">
        <v>1.55</v>
      </c>
      <c r="J305" s="21">
        <v>1.58</v>
      </c>
      <c r="K305" s="21">
        <v>1.64</v>
      </c>
      <c r="L305" s="21">
        <v>1.67</v>
      </c>
      <c r="M305" s="21">
        <v>1.93</v>
      </c>
      <c r="N305" s="21">
        <v>2.2599999999999998</v>
      </c>
      <c r="O305" s="21">
        <v>2.5299999999999998</v>
      </c>
      <c r="P305" s="21">
        <v>2.61</v>
      </c>
      <c r="Q305" s="21">
        <v>2.4500000000000002</v>
      </c>
      <c r="R305" s="21">
        <v>2.5499999999999998</v>
      </c>
      <c r="S305" s="21">
        <v>2.5099999999999998</v>
      </c>
      <c r="T305" s="21">
        <v>2.15</v>
      </c>
      <c r="U305" s="21">
        <v>2.1</v>
      </c>
      <c r="V305" s="21">
        <v>2.12</v>
      </c>
      <c r="W305" s="21">
        <v>1.58</v>
      </c>
      <c r="X305" s="21">
        <v>1.58</v>
      </c>
      <c r="Y305" s="21">
        <v>1.68</v>
      </c>
      <c r="Z305" s="21">
        <v>1.61</v>
      </c>
      <c r="AA305" s="21">
        <v>1.52</v>
      </c>
      <c r="AB305" s="21">
        <v>1.48</v>
      </c>
      <c r="AC305" s="21">
        <v>1.47</v>
      </c>
      <c r="AD305" s="21">
        <v>1.38</v>
      </c>
      <c r="AE305" s="21">
        <v>1.31</v>
      </c>
      <c r="AF305" s="21">
        <v>1.44</v>
      </c>
      <c r="AG305" s="21">
        <v>1.57</v>
      </c>
      <c r="AH305" s="21">
        <v>1.83</v>
      </c>
      <c r="AI305" s="21">
        <v>2.27</v>
      </c>
      <c r="AJ305" s="21">
        <v>2.33</v>
      </c>
      <c r="AK305" s="21">
        <v>2.06</v>
      </c>
      <c r="AL305" s="21">
        <v>2.34</v>
      </c>
      <c r="AM305" s="21">
        <v>3.3</v>
      </c>
      <c r="AN305" s="21">
        <v>3.27</v>
      </c>
      <c r="AO305" s="21">
        <v>3.37</v>
      </c>
      <c r="AP305" s="21">
        <v>4.07</v>
      </c>
      <c r="AQ305" s="21">
        <v>3.75</v>
      </c>
      <c r="AR305" s="21">
        <v>3.86</v>
      </c>
      <c r="AS305" s="21">
        <v>4.1900000000000004</v>
      </c>
      <c r="AT305" s="21">
        <v>4</v>
      </c>
      <c r="AU305" s="21">
        <v>4.21</v>
      </c>
      <c r="AV305" s="21">
        <v>4.63</v>
      </c>
      <c r="AW305" s="21">
        <v>3.86</v>
      </c>
      <c r="AX305" s="21">
        <v>3.51</v>
      </c>
      <c r="AY305" s="21">
        <v>3.58</v>
      </c>
      <c r="AZ305" s="21">
        <v>3.64</v>
      </c>
      <c r="BA305" s="21">
        <v>3.67</v>
      </c>
      <c r="BB305" s="21">
        <v>2.9</v>
      </c>
      <c r="BC305" s="21">
        <v>3.57</v>
      </c>
    </row>
    <row r="306" spans="1:55" x14ac:dyDescent="0.2">
      <c r="A306" s="21" t="s">
        <v>1413</v>
      </c>
      <c r="B306" s="21" t="s">
        <v>1414</v>
      </c>
      <c r="C306" s="21" t="s">
        <v>1375</v>
      </c>
      <c r="D306" s="21">
        <v>449.5</v>
      </c>
      <c r="E306" s="21">
        <v>458.8</v>
      </c>
      <c r="F306" s="21">
        <v>489.3</v>
      </c>
      <c r="G306" s="21">
        <v>515.29999999999995</v>
      </c>
      <c r="H306" s="21">
        <v>557.5</v>
      </c>
      <c r="I306" s="21">
        <v>546.20000000000005</v>
      </c>
      <c r="J306" s="21">
        <v>636.70000000000005</v>
      </c>
      <c r="K306" s="21">
        <v>708.8</v>
      </c>
      <c r="L306" s="21">
        <v>800.2</v>
      </c>
      <c r="M306" s="21">
        <v>978.5</v>
      </c>
      <c r="N306" s="21">
        <v>1223.7</v>
      </c>
      <c r="O306" s="21">
        <v>1424</v>
      </c>
      <c r="P306" s="21">
        <v>1505.3</v>
      </c>
      <c r="Q306" s="21">
        <v>1512.5</v>
      </c>
      <c r="R306" s="21">
        <v>1596</v>
      </c>
      <c r="S306" s="21">
        <v>1585.4</v>
      </c>
      <c r="T306" s="21">
        <v>1348.5</v>
      </c>
      <c r="U306" s="21">
        <v>1285.5999999999999</v>
      </c>
      <c r="V306" s="21">
        <v>1363</v>
      </c>
      <c r="W306" s="21">
        <v>2146.4</v>
      </c>
      <c r="X306" s="21">
        <v>1888.6</v>
      </c>
      <c r="Y306" s="21">
        <v>2019.8</v>
      </c>
      <c r="Z306" s="21">
        <v>2027.1</v>
      </c>
      <c r="AA306" s="21">
        <v>1978.5</v>
      </c>
      <c r="AB306" s="21">
        <v>2048.6</v>
      </c>
      <c r="AC306" s="21">
        <v>2461.1999999999998</v>
      </c>
      <c r="AD306" s="21">
        <v>2339.8000000000002</v>
      </c>
      <c r="AE306" s="21">
        <v>2189.6999999999998</v>
      </c>
      <c r="AF306" s="21">
        <v>2182.6</v>
      </c>
      <c r="AG306" s="21">
        <v>2398.9</v>
      </c>
      <c r="AH306" s="21">
        <v>2867.4</v>
      </c>
      <c r="AI306" s="21">
        <v>3054.9</v>
      </c>
      <c r="AJ306" s="21">
        <v>3376</v>
      </c>
      <c r="AK306" s="21">
        <v>2937.6</v>
      </c>
      <c r="AL306" s="21">
        <v>3074.3</v>
      </c>
      <c r="AM306" s="21">
        <v>4965.3</v>
      </c>
      <c r="AN306" s="21">
        <v>5052.8999999999996</v>
      </c>
      <c r="AO306" s="21">
        <v>5054.5</v>
      </c>
      <c r="AP306" s="21">
        <v>5947.1</v>
      </c>
      <c r="AQ306" s="21">
        <v>4320.8</v>
      </c>
      <c r="AR306" s="21">
        <v>5685.6</v>
      </c>
      <c r="AS306" s="21">
        <v>6363.5</v>
      </c>
      <c r="AT306" s="21">
        <v>6085.7</v>
      </c>
      <c r="AU306" s="21">
        <v>6874.4</v>
      </c>
      <c r="AV306" s="21">
        <v>7590</v>
      </c>
      <c r="AW306" s="21">
        <v>6192.8</v>
      </c>
      <c r="AX306" s="21">
        <v>5479.7</v>
      </c>
      <c r="AY306" s="21">
        <v>5433</v>
      </c>
      <c r="AZ306" s="21">
        <v>5774.6</v>
      </c>
      <c r="BA306" s="21">
        <v>5710.5</v>
      </c>
      <c r="BB306" s="21">
        <v>4249</v>
      </c>
      <c r="BC306" s="21">
        <v>5287.7</v>
      </c>
    </row>
    <row r="307" spans="1:55" x14ac:dyDescent="0.2">
      <c r="A307" s="21" t="s">
        <v>1413</v>
      </c>
      <c r="B307" s="21" t="s">
        <v>1414</v>
      </c>
      <c r="C307" s="21" t="s">
        <v>1379</v>
      </c>
      <c r="D307" s="21">
        <v>4.1399999999999997</v>
      </c>
      <c r="E307" s="21">
        <v>3.97</v>
      </c>
      <c r="F307" s="21">
        <v>4.2300000000000004</v>
      </c>
      <c r="G307" s="21">
        <v>4.63</v>
      </c>
      <c r="H307" s="21">
        <v>4.63</v>
      </c>
      <c r="I307" s="21">
        <v>4.95</v>
      </c>
      <c r="J307" s="21">
        <v>5.51</v>
      </c>
      <c r="K307" s="21">
        <v>6.26</v>
      </c>
      <c r="L307" s="21">
        <v>7.75</v>
      </c>
      <c r="M307" s="21">
        <v>9.43</v>
      </c>
      <c r="N307" s="21">
        <v>12.01</v>
      </c>
      <c r="O307" s="21">
        <v>13.85</v>
      </c>
      <c r="P307" s="21">
        <v>15.76</v>
      </c>
      <c r="Q307" s="21">
        <v>14.29</v>
      </c>
      <c r="R307" s="21">
        <v>13.48</v>
      </c>
      <c r="S307" s="21">
        <v>13.38</v>
      </c>
      <c r="T307" s="21">
        <v>14.7</v>
      </c>
      <c r="U307" s="21">
        <v>13.85</v>
      </c>
      <c r="V307" s="21">
        <v>11.89</v>
      </c>
      <c r="W307" s="21">
        <v>18.190000000000001</v>
      </c>
      <c r="X307" s="21">
        <v>14.74</v>
      </c>
      <c r="Y307" s="21">
        <v>16.329999999999998</v>
      </c>
      <c r="Z307" s="21">
        <v>24.75</v>
      </c>
      <c r="AA307" s="21">
        <v>19.100000000000001</v>
      </c>
      <c r="AB307" s="21">
        <v>24.75</v>
      </c>
      <c r="AC307" s="21">
        <v>23.89</v>
      </c>
      <c r="AD307" s="21">
        <v>22.95</v>
      </c>
      <c r="AE307" s="21">
        <v>24.62</v>
      </c>
      <c r="AF307" s="21">
        <v>20.11</v>
      </c>
      <c r="AG307" s="21">
        <v>20.54</v>
      </c>
      <c r="AH307" s="21">
        <v>21.33</v>
      </c>
      <c r="AI307" s="21">
        <v>19.260000000000002</v>
      </c>
      <c r="AJ307" s="21">
        <v>16.53</v>
      </c>
      <c r="AK307" s="21">
        <v>15.76</v>
      </c>
      <c r="AL307" s="21">
        <v>17.350000000000001</v>
      </c>
      <c r="AM307" s="21">
        <v>18.25</v>
      </c>
      <c r="AN307" s="21">
        <v>23.88</v>
      </c>
      <c r="AO307" s="21">
        <v>26.71</v>
      </c>
      <c r="AP307" s="21">
        <v>33.64</v>
      </c>
      <c r="AQ307" s="21">
        <v>24.35</v>
      </c>
      <c r="AR307" s="21">
        <v>33.44</v>
      </c>
      <c r="AS307" s="21">
        <v>35.56</v>
      </c>
      <c r="AT307" s="21">
        <v>34.619999999999997</v>
      </c>
      <c r="AU307" s="21">
        <v>33.369999999999997</v>
      </c>
      <c r="AV307" s="21">
        <v>33.909999999999997</v>
      </c>
      <c r="AW307" s="21">
        <v>32.880000000000003</v>
      </c>
      <c r="AX307" s="21">
        <v>32.659999999999997</v>
      </c>
      <c r="AY307" s="21">
        <v>32.69</v>
      </c>
      <c r="AZ307" s="21">
        <v>32.94</v>
      </c>
      <c r="BA307" s="21">
        <v>29.79</v>
      </c>
      <c r="BB307" s="21">
        <v>26.87</v>
      </c>
      <c r="BC307" s="21">
        <v>31.26</v>
      </c>
    </row>
    <row r="308" spans="1:55" x14ac:dyDescent="0.2">
      <c r="A308" s="21" t="s">
        <v>1413</v>
      </c>
      <c r="B308" s="21" t="s">
        <v>1414</v>
      </c>
      <c r="C308" s="21" t="s">
        <v>1382</v>
      </c>
      <c r="D308" s="21">
        <v>105.6</v>
      </c>
      <c r="E308" s="21">
        <v>115.4</v>
      </c>
      <c r="F308" s="21">
        <v>126.6</v>
      </c>
      <c r="G308" s="21">
        <v>178.1</v>
      </c>
      <c r="H308" s="21">
        <v>174.3</v>
      </c>
      <c r="I308" s="21">
        <v>166.4</v>
      </c>
      <c r="J308" s="21">
        <v>220.1</v>
      </c>
      <c r="K308" s="21">
        <v>209</v>
      </c>
      <c r="L308" s="21">
        <v>266.5</v>
      </c>
      <c r="M308" s="21">
        <v>317.60000000000002</v>
      </c>
      <c r="N308" s="21">
        <v>395.3</v>
      </c>
      <c r="O308" s="21">
        <v>504.5</v>
      </c>
      <c r="P308" s="21">
        <v>448.9</v>
      </c>
      <c r="Q308" s="21">
        <v>442.8</v>
      </c>
      <c r="R308" s="21">
        <v>413.7</v>
      </c>
      <c r="S308" s="21">
        <v>419.9</v>
      </c>
      <c r="T308" s="21">
        <v>449.7</v>
      </c>
      <c r="U308" s="21">
        <v>453.2</v>
      </c>
      <c r="V308" s="21">
        <v>403.8</v>
      </c>
      <c r="W308" s="21">
        <v>608.5</v>
      </c>
      <c r="X308" s="21">
        <v>491</v>
      </c>
      <c r="Y308" s="21">
        <v>573.70000000000005</v>
      </c>
      <c r="Z308" s="21">
        <v>922</v>
      </c>
      <c r="AA308" s="21">
        <v>764.4</v>
      </c>
      <c r="AB308" s="21">
        <v>1004.3</v>
      </c>
      <c r="AC308" s="21">
        <v>969.6</v>
      </c>
      <c r="AD308" s="21">
        <v>1117.0999999999999</v>
      </c>
      <c r="AE308" s="21">
        <v>1076.8</v>
      </c>
      <c r="AF308" s="21">
        <v>852</v>
      </c>
      <c r="AG308" s="21">
        <v>768.9</v>
      </c>
      <c r="AH308" s="21">
        <v>705.6</v>
      </c>
      <c r="AI308" s="21">
        <v>699.7</v>
      </c>
      <c r="AJ308" s="21">
        <v>531.79999999999995</v>
      </c>
      <c r="AK308" s="21">
        <v>489.3</v>
      </c>
      <c r="AL308" s="21">
        <v>533.70000000000005</v>
      </c>
      <c r="AM308" s="21">
        <v>572.4</v>
      </c>
      <c r="AN308" s="21">
        <v>624.4</v>
      </c>
      <c r="AO308" s="21">
        <v>584.6</v>
      </c>
      <c r="AP308" s="21">
        <v>643.9</v>
      </c>
      <c r="AQ308" s="21">
        <v>297.60000000000002</v>
      </c>
      <c r="AR308" s="21">
        <v>571.29999999999995</v>
      </c>
      <c r="AS308" s="21">
        <v>536.1</v>
      </c>
      <c r="AT308" s="21">
        <v>529.5</v>
      </c>
      <c r="AU308" s="21">
        <v>550.20000000000005</v>
      </c>
      <c r="AV308" s="21">
        <v>501.3</v>
      </c>
      <c r="AW308" s="21">
        <v>406.4</v>
      </c>
      <c r="AX308" s="21">
        <v>419.8</v>
      </c>
      <c r="AY308" s="21">
        <v>332.1</v>
      </c>
      <c r="AZ308" s="21">
        <v>408.9</v>
      </c>
      <c r="BA308" s="21">
        <v>310.60000000000002</v>
      </c>
      <c r="BB308" s="21">
        <v>247.4</v>
      </c>
      <c r="BC308" s="21">
        <v>368.7</v>
      </c>
    </row>
    <row r="309" spans="1:55" x14ac:dyDescent="0.2">
      <c r="A309" s="21" t="s">
        <v>1413</v>
      </c>
      <c r="B309" s="21" t="s">
        <v>1414</v>
      </c>
      <c r="C309" s="21" t="s">
        <v>1406</v>
      </c>
      <c r="D309" s="21">
        <v>1081</v>
      </c>
      <c r="E309" s="21">
        <v>1038</v>
      </c>
      <c r="F309" s="21">
        <v>990</v>
      </c>
      <c r="G309" s="21">
        <v>1108</v>
      </c>
      <c r="H309" s="21">
        <v>982</v>
      </c>
      <c r="I309" s="21">
        <v>1051</v>
      </c>
      <c r="J309" s="21">
        <v>922</v>
      </c>
      <c r="K309" s="21">
        <v>1171</v>
      </c>
      <c r="L309" s="21">
        <v>1114</v>
      </c>
      <c r="M309" s="21">
        <v>1004</v>
      </c>
      <c r="N309" s="21">
        <v>1216</v>
      </c>
      <c r="O309" s="21">
        <v>1108</v>
      </c>
      <c r="P309" s="21">
        <v>1047</v>
      </c>
      <c r="Q309" s="21">
        <v>1179</v>
      </c>
      <c r="R309" s="21">
        <v>1140</v>
      </c>
      <c r="S309" s="21">
        <v>1122</v>
      </c>
      <c r="T309" s="21">
        <v>1182</v>
      </c>
      <c r="U309" s="21">
        <v>1208</v>
      </c>
      <c r="V309" s="21">
        <v>1231</v>
      </c>
      <c r="W309" s="21">
        <v>1103</v>
      </c>
      <c r="X309" s="21">
        <v>1200</v>
      </c>
      <c r="Y309" s="21">
        <v>1281</v>
      </c>
      <c r="Z309" s="21">
        <v>1002</v>
      </c>
      <c r="AA309" s="21">
        <v>1168</v>
      </c>
      <c r="AB309" s="21">
        <v>1185</v>
      </c>
      <c r="AC309" s="21">
        <v>1261</v>
      </c>
      <c r="AD309" s="21">
        <v>1162</v>
      </c>
      <c r="AE309" s="21">
        <v>1133</v>
      </c>
      <c r="AF309" s="21">
        <v>1390</v>
      </c>
      <c r="AG309" s="21">
        <v>1282</v>
      </c>
      <c r="AH309" s="21">
        <v>1232</v>
      </c>
      <c r="AI309" s="21">
        <v>1256</v>
      </c>
      <c r="AJ309" s="21">
        <v>1364</v>
      </c>
      <c r="AK309" s="21">
        <v>1268</v>
      </c>
      <c r="AL309" s="21">
        <v>1217</v>
      </c>
      <c r="AM309" s="21">
        <v>1389</v>
      </c>
      <c r="AN309" s="21">
        <v>1360</v>
      </c>
      <c r="AO309" s="21">
        <v>1392</v>
      </c>
      <c r="AP309" s="21">
        <v>1283</v>
      </c>
      <c r="AQ309" s="21">
        <v>1241</v>
      </c>
      <c r="AR309" s="21">
        <v>1456</v>
      </c>
      <c r="AS309" s="21">
        <v>1469</v>
      </c>
      <c r="AT309" s="21">
        <v>1493</v>
      </c>
      <c r="AU309" s="21">
        <v>1304</v>
      </c>
      <c r="AV309" s="21">
        <v>1295</v>
      </c>
      <c r="AW309" s="21">
        <v>1484</v>
      </c>
      <c r="AX309" s="21">
        <v>1553</v>
      </c>
      <c r="AY309" s="21">
        <v>1422</v>
      </c>
      <c r="AZ309" s="21">
        <v>1579</v>
      </c>
      <c r="BA309" s="21">
        <v>1495</v>
      </c>
      <c r="BB309" s="21">
        <v>1518</v>
      </c>
      <c r="BC309" s="21">
        <v>1491</v>
      </c>
    </row>
    <row r="310" spans="1:55" x14ac:dyDescent="0.2">
      <c r="A310" s="21" t="s">
        <v>1413</v>
      </c>
      <c r="B310" s="21" t="s">
        <v>1414</v>
      </c>
      <c r="C310" s="21" t="s">
        <v>1409</v>
      </c>
      <c r="D310" s="21">
        <v>5216</v>
      </c>
      <c r="E310" s="21">
        <v>5070</v>
      </c>
      <c r="F310" s="21">
        <v>5248</v>
      </c>
      <c r="G310" s="21">
        <v>4762</v>
      </c>
      <c r="H310" s="21">
        <v>4880</v>
      </c>
      <c r="I310" s="21">
        <v>4903</v>
      </c>
      <c r="J310" s="21">
        <v>5179</v>
      </c>
      <c r="K310" s="21">
        <v>5014</v>
      </c>
      <c r="L310" s="21">
        <v>5382</v>
      </c>
      <c r="M310" s="21">
        <v>5166</v>
      </c>
      <c r="N310" s="21">
        <v>5077</v>
      </c>
      <c r="O310" s="21">
        <v>4851</v>
      </c>
      <c r="P310" s="21">
        <v>4936</v>
      </c>
      <c r="Q310" s="21">
        <v>4906</v>
      </c>
      <c r="R310" s="21">
        <v>4775</v>
      </c>
      <c r="S310" s="21">
        <v>4888</v>
      </c>
      <c r="T310" s="21">
        <v>4519</v>
      </c>
      <c r="U310" s="21">
        <v>4532</v>
      </c>
      <c r="V310" s="21">
        <v>4840</v>
      </c>
      <c r="W310" s="21">
        <v>4894</v>
      </c>
      <c r="X310" s="21">
        <v>4180</v>
      </c>
      <c r="Y310" s="21">
        <v>4347</v>
      </c>
      <c r="Z310" s="21">
        <v>4584</v>
      </c>
      <c r="AA310" s="21">
        <v>4837</v>
      </c>
      <c r="AB310" s="21">
        <v>4609</v>
      </c>
      <c r="AC310" s="21">
        <v>4640</v>
      </c>
      <c r="AD310" s="21">
        <v>4800</v>
      </c>
      <c r="AE310" s="21">
        <v>4629</v>
      </c>
      <c r="AF310" s="21">
        <v>4051</v>
      </c>
      <c r="AG310" s="21">
        <v>4232</v>
      </c>
      <c r="AH310" s="21">
        <v>4493</v>
      </c>
      <c r="AI310" s="21">
        <v>4256</v>
      </c>
      <c r="AJ310" s="21">
        <v>4356</v>
      </c>
      <c r="AK310" s="21">
        <v>4544</v>
      </c>
      <c r="AL310" s="21">
        <v>4344</v>
      </c>
      <c r="AM310" s="21">
        <v>4348</v>
      </c>
      <c r="AN310" s="21">
        <v>4040</v>
      </c>
      <c r="AO310" s="21">
        <v>4268</v>
      </c>
      <c r="AP310" s="21">
        <v>4494</v>
      </c>
      <c r="AQ310" s="21">
        <v>4480</v>
      </c>
      <c r="AR310" s="21">
        <v>4463</v>
      </c>
      <c r="AS310" s="21">
        <v>4314</v>
      </c>
      <c r="AT310" s="21">
        <v>3773</v>
      </c>
      <c r="AU310" s="21">
        <v>4472</v>
      </c>
      <c r="AV310" s="21">
        <v>4560</v>
      </c>
      <c r="AW310" s="21">
        <v>4096</v>
      </c>
      <c r="AX310" s="21">
        <v>3889</v>
      </c>
      <c r="AY310" s="21">
        <v>3840</v>
      </c>
      <c r="AZ310" s="21">
        <v>4293</v>
      </c>
      <c r="BA310" s="21">
        <v>4320</v>
      </c>
      <c r="BB310" s="21">
        <v>3916</v>
      </c>
      <c r="BC310" s="21">
        <v>3937</v>
      </c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7A8C-C32E-E447-8B45-A1EF55431F0B}">
  <dimension ref="A1:DA67"/>
  <sheetViews>
    <sheetView workbookViewId="0">
      <pane xSplit="1" ySplit="11" topLeftCell="E12" activePane="bottomRight" state="frozen"/>
      <selection activeCell="A2" sqref="A2"/>
      <selection pane="topRight" activeCell="A2" sqref="A2"/>
      <selection pane="bottomLeft" activeCell="A2" sqref="A2"/>
      <selection pane="bottomRight" activeCell="N4" sqref="N4"/>
    </sheetView>
  </sheetViews>
  <sheetFormatPr baseColWidth="10" defaultRowHeight="16" x14ac:dyDescent="0.2"/>
  <cols>
    <col min="1" max="1" width="16.5" customWidth="1"/>
    <col min="2" max="2" width="27.33203125" bestFit="1" customWidth="1"/>
    <col min="3" max="3" width="28.1640625" customWidth="1"/>
    <col min="4" max="4" width="35.6640625" bestFit="1" customWidth="1"/>
    <col min="5" max="5" width="5.83203125" customWidth="1"/>
    <col min="6" max="6" width="23.6640625" customWidth="1"/>
    <col min="7" max="7" width="18.5" bestFit="1" customWidth="1"/>
    <col min="8" max="8" width="13.6640625" bestFit="1" customWidth="1"/>
    <col min="9" max="9" width="6.1640625" bestFit="1" customWidth="1"/>
    <col min="10" max="10" width="14.5" bestFit="1" customWidth="1"/>
    <col min="11" max="11" width="19.33203125" customWidth="1"/>
    <col min="12" max="12" width="16.33203125" bestFit="1" customWidth="1"/>
    <col min="13" max="13" width="6.1640625" customWidth="1"/>
    <col min="14" max="14" width="16" bestFit="1" customWidth="1"/>
    <col min="15" max="15" width="15" bestFit="1" customWidth="1"/>
    <col min="16" max="16" width="17.33203125" bestFit="1" customWidth="1"/>
    <col min="17" max="17" width="14.5" bestFit="1" customWidth="1"/>
    <col min="18" max="18" width="6.1640625" customWidth="1"/>
    <col min="19" max="19" width="12.33203125" bestFit="1" customWidth="1"/>
    <col min="20" max="20" width="13" bestFit="1" customWidth="1"/>
    <col min="21" max="21" width="17.33203125" bestFit="1" customWidth="1"/>
    <col min="22" max="22" width="10.1640625" bestFit="1" customWidth="1"/>
    <col min="23" max="23" width="6" customWidth="1"/>
    <col min="24" max="25" width="15.5" bestFit="1" customWidth="1"/>
    <col min="26" max="26" width="17.33203125" bestFit="1" customWidth="1"/>
    <col min="27" max="27" width="15.5" bestFit="1" customWidth="1"/>
    <col min="28" max="28" width="5.83203125" customWidth="1"/>
    <col min="29" max="29" width="4.6640625" bestFit="1" customWidth="1"/>
    <col min="30" max="30" width="11" bestFit="1" customWidth="1"/>
    <col min="31" max="31" width="17.33203125" bestFit="1" customWidth="1"/>
    <col min="32" max="32" width="9.33203125" bestFit="1" customWidth="1"/>
    <col min="33" max="33" width="6.33203125" customWidth="1"/>
    <col min="34" max="34" width="9" bestFit="1" customWidth="1"/>
    <col min="35" max="35" width="11" bestFit="1" customWidth="1"/>
    <col min="36" max="36" width="17.33203125" bestFit="1" customWidth="1"/>
    <col min="37" max="37" width="11.5" bestFit="1" customWidth="1"/>
    <col min="38" max="38" width="5.33203125" customWidth="1"/>
    <col min="39" max="39" width="15.33203125" bestFit="1" customWidth="1"/>
    <col min="40" max="40" width="18.6640625" bestFit="1" customWidth="1"/>
    <col min="41" max="41" width="11" bestFit="1" customWidth="1"/>
    <col min="42" max="42" width="15.1640625" bestFit="1" customWidth="1"/>
    <col min="43" max="43" width="15.83203125" bestFit="1" customWidth="1"/>
    <col min="44" max="44" width="16" bestFit="1" customWidth="1"/>
    <col min="45" max="45" width="4.6640625" customWidth="1"/>
    <col min="46" max="46" width="21.1640625" bestFit="1" customWidth="1"/>
    <col min="47" max="47" width="11.83203125" bestFit="1" customWidth="1"/>
    <col min="48" max="48" width="11.5" bestFit="1" customWidth="1"/>
    <col min="49" max="49" width="5.5" customWidth="1"/>
    <col min="50" max="50" width="15.1640625" bestFit="1" customWidth="1"/>
    <col min="51" max="51" width="12.33203125" bestFit="1" customWidth="1"/>
    <col min="52" max="52" width="11.5" bestFit="1" customWidth="1"/>
    <col min="53" max="53" width="4.5" customWidth="1"/>
    <col min="54" max="55" width="11.5" bestFit="1" customWidth="1"/>
    <col min="56" max="56" width="13" bestFit="1" customWidth="1"/>
    <col min="57" max="57" width="12.83203125" customWidth="1"/>
    <col min="58" max="58" width="3.6640625" customWidth="1"/>
    <col min="59" max="63" width="14.6640625" customWidth="1"/>
    <col min="64" max="64" width="3.83203125" customWidth="1"/>
  </cols>
  <sheetData>
    <row r="1" spans="1:105" x14ac:dyDescent="0.2">
      <c r="A1" t="s">
        <v>1415</v>
      </c>
      <c r="B1" t="s">
        <v>1444</v>
      </c>
      <c r="C1" t="s">
        <v>1444</v>
      </c>
      <c r="D1" t="s">
        <v>1444</v>
      </c>
      <c r="F1" t="s">
        <v>1416</v>
      </c>
      <c r="G1" t="s">
        <v>1416</v>
      </c>
      <c r="H1" t="s">
        <v>1416</v>
      </c>
      <c r="N1" t="s">
        <v>1474</v>
      </c>
      <c r="O1" t="s">
        <v>1474</v>
      </c>
      <c r="P1" t="s">
        <v>1474</v>
      </c>
      <c r="Q1" t="s">
        <v>1474</v>
      </c>
      <c r="S1" t="s">
        <v>1416</v>
      </c>
      <c r="T1" t="s">
        <v>1416</v>
      </c>
      <c r="U1" t="s">
        <v>1416</v>
      </c>
      <c r="V1" t="s">
        <v>1416</v>
      </c>
      <c r="AT1" s="35" t="s">
        <v>1416</v>
      </c>
      <c r="AU1" s="35" t="s">
        <v>1416</v>
      </c>
      <c r="AV1" s="35" t="s">
        <v>1416</v>
      </c>
      <c r="BB1" t="s">
        <v>1474</v>
      </c>
      <c r="BC1" t="s">
        <v>1474</v>
      </c>
      <c r="BD1" t="s">
        <v>1474</v>
      </c>
      <c r="BE1" t="s">
        <v>1474</v>
      </c>
    </row>
    <row r="2" spans="1:105" x14ac:dyDescent="0.2">
      <c r="A2">
        <v>9.2089999999999996</v>
      </c>
      <c r="B2" s="25" t="s">
        <v>1434</v>
      </c>
      <c r="C2" s="25" t="s">
        <v>1435</v>
      </c>
      <c r="D2" s="25" t="s">
        <v>1436</v>
      </c>
      <c r="E2" s="25" t="s">
        <v>1446</v>
      </c>
      <c r="F2" s="24" t="s">
        <v>1288</v>
      </c>
      <c r="G2" s="12" t="s">
        <v>1270</v>
      </c>
      <c r="H2" s="12" t="s">
        <v>1268</v>
      </c>
      <c r="I2" s="24"/>
      <c r="J2" s="24"/>
      <c r="K2" s="24"/>
      <c r="L2" s="24"/>
      <c r="N2" s="9" t="s">
        <v>217</v>
      </c>
      <c r="O2" s="9" t="s">
        <v>790</v>
      </c>
      <c r="P2" s="9" t="s">
        <v>957</v>
      </c>
      <c r="Q2" s="9" t="s">
        <v>411</v>
      </c>
      <c r="S2" s="9" t="s">
        <v>219</v>
      </c>
      <c r="T2" s="9" t="s">
        <v>792</v>
      </c>
      <c r="U2" s="9" t="s">
        <v>959</v>
      </c>
      <c r="V2" s="9" t="s">
        <v>413</v>
      </c>
      <c r="AT2" s="9" t="s">
        <v>215</v>
      </c>
      <c r="AU2" s="9" t="s">
        <v>951</v>
      </c>
      <c r="AV2" t="s">
        <v>783</v>
      </c>
      <c r="BB2" s="9" t="s">
        <v>210</v>
      </c>
      <c r="BC2" s="9" t="s">
        <v>944</v>
      </c>
      <c r="BD2" s="9" t="s">
        <v>776</v>
      </c>
      <c r="BE2" s="9" t="s">
        <v>1116</v>
      </c>
      <c r="BF2" s="2"/>
    </row>
    <row r="3" spans="1:105" ht="109" customHeight="1" x14ac:dyDescent="0.2">
      <c r="A3" s="34" t="s">
        <v>1461</v>
      </c>
      <c r="B3" s="50" t="str">
        <f>B2</f>
        <v>U.S. Gross Domestic Product, Nominal</v>
      </c>
      <c r="C3" s="50" t="str">
        <f t="shared" ref="C3:D3" si="0">C2</f>
        <v>U.S. Gross Domestic Product, Real</v>
      </c>
      <c r="D3" s="50" t="str">
        <f t="shared" si="0"/>
        <v>U.S. Gross Domestic Product Implicit Price Deflator</v>
      </c>
      <c r="E3" s="25"/>
      <c r="F3" s="26" t="str">
        <f t="shared" ref="F3:AK3" si="1">IF(ISERROR(VLOOKUP(F$2,code,2,)),"",VLOOKUP(F$2,code,2,))</f>
        <v>Total net energy consumption, adjusted for process fuel, intermediate products, and fuels with no direct cost</v>
      </c>
      <c r="G3" s="26" t="str">
        <f t="shared" si="1"/>
        <v>Total end-use energy expenditures</v>
      </c>
      <c r="H3" s="26" t="str">
        <f t="shared" si="1"/>
        <v>Total end-use energy average price</v>
      </c>
      <c r="I3" s="26" t="str">
        <f t="shared" si="1"/>
        <v/>
      </c>
      <c r="J3" s="26" t="str">
        <f t="shared" si="1"/>
        <v/>
      </c>
      <c r="K3" s="26" t="str">
        <f t="shared" si="1"/>
        <v/>
      </c>
      <c r="L3" s="26" t="str">
        <f t="shared" si="1"/>
        <v/>
      </c>
      <c r="M3" s="26" t="str">
        <f t="shared" si="1"/>
        <v/>
      </c>
      <c r="N3" s="26" t="str">
        <f t="shared" si="1"/>
        <v>Coal total end-use consumption</v>
      </c>
      <c r="O3" s="26" t="str">
        <f t="shared" si="1"/>
        <v>Natural gas total end-use consumption (including supplemental gaseous fuels)</v>
      </c>
      <c r="P3" s="26" t="str">
        <f t="shared" si="1"/>
        <v>All petroleum products total end-use consumption</v>
      </c>
      <c r="Q3" s="26" t="str">
        <f t="shared" si="1"/>
        <v>Electricity total end-use consumption (electricity sales to ultimate customers)</v>
      </c>
      <c r="R3" s="26" t="str">
        <f t="shared" si="1"/>
        <v/>
      </c>
      <c r="S3" s="26" t="str">
        <f t="shared" si="1"/>
        <v>Coal average price, all end-use sectors</v>
      </c>
      <c r="T3" s="26" t="str">
        <f t="shared" si="1"/>
        <v>Natural gas average price, all end-use sectors (including supplemental gaseous fuels)</v>
      </c>
      <c r="U3" s="26" t="str">
        <f t="shared" si="1"/>
        <v>All petroleum products average price, all end-use sectors</v>
      </c>
      <c r="V3" s="26" t="str">
        <f t="shared" si="1"/>
        <v>Electricity average price, all end-use sectors</v>
      </c>
      <c r="W3" s="26" t="str">
        <f t="shared" si="1"/>
        <v/>
      </c>
      <c r="X3" s="26" t="str">
        <f t="shared" si="1"/>
        <v/>
      </c>
      <c r="Y3" s="26" t="str">
        <f t="shared" si="1"/>
        <v/>
      </c>
      <c r="Z3" s="26" t="str">
        <f t="shared" si="1"/>
        <v/>
      </c>
      <c r="AA3" s="26" t="str">
        <f t="shared" si="1"/>
        <v/>
      </c>
      <c r="AB3" s="26" t="str">
        <f t="shared" si="1"/>
        <v/>
      </c>
      <c r="AC3" s="26" t="str">
        <f t="shared" si="1"/>
        <v/>
      </c>
      <c r="AD3" s="26" t="str">
        <f t="shared" si="1"/>
        <v/>
      </c>
      <c r="AE3" s="26" t="str">
        <f t="shared" si="1"/>
        <v/>
      </c>
      <c r="AF3" s="26" t="str">
        <f t="shared" si="1"/>
        <v/>
      </c>
      <c r="AG3" s="26" t="str">
        <f t="shared" si="1"/>
        <v/>
      </c>
      <c r="AH3" s="26" t="str">
        <f t="shared" si="1"/>
        <v/>
      </c>
      <c r="AI3" s="26" t="str">
        <f t="shared" si="1"/>
        <v/>
      </c>
      <c r="AJ3" s="26" t="str">
        <f t="shared" si="1"/>
        <v/>
      </c>
      <c r="AK3" s="26" t="str">
        <f t="shared" si="1"/>
        <v/>
      </c>
      <c r="AL3" s="26" t="str">
        <f t="shared" ref="AL3:BH3" si="2">IF(ISERROR(VLOOKUP(AL$2,code,2,)),"",VLOOKUP(AL$2,code,2,))</f>
        <v/>
      </c>
      <c r="AM3" s="26" t="str">
        <f t="shared" si="2"/>
        <v/>
      </c>
      <c r="AN3" s="26" t="str">
        <f t="shared" si="2"/>
        <v/>
      </c>
      <c r="AO3" s="26" t="str">
        <f t="shared" si="2"/>
        <v/>
      </c>
      <c r="AP3" s="26" t="str">
        <f t="shared" si="2"/>
        <v/>
      </c>
      <c r="AQ3" s="26" t="str">
        <f t="shared" si="2"/>
        <v/>
      </c>
      <c r="AR3" s="26" t="str">
        <f t="shared" si="2"/>
        <v/>
      </c>
      <c r="AS3" s="26" t="str">
        <f t="shared" si="2"/>
        <v/>
      </c>
      <c r="AT3" s="26" t="str">
        <f t="shared" si="2"/>
        <v>Coal total expenditures</v>
      </c>
      <c r="AU3" s="26" t="str">
        <f t="shared" si="2"/>
        <v>All petroleum products total expenditures</v>
      </c>
      <c r="AV3" s="26" t="str">
        <f t="shared" si="2"/>
        <v>Natural gas total expenditures (including supplemental gaseous fuels)</v>
      </c>
      <c r="AW3" s="26" t="str">
        <f t="shared" si="2"/>
        <v/>
      </c>
      <c r="AX3" s="26" t="str">
        <f t="shared" si="2"/>
        <v/>
      </c>
      <c r="AY3" s="26" t="str">
        <f t="shared" si="2"/>
        <v/>
      </c>
      <c r="AZ3" s="26" t="str">
        <f t="shared" si="2"/>
        <v/>
      </c>
      <c r="BA3" s="26" t="str">
        <f t="shared" si="2"/>
        <v/>
      </c>
      <c r="BB3" s="26" t="str">
        <f t="shared" si="2"/>
        <v>Coal total consumption</v>
      </c>
      <c r="BC3" s="26" t="str">
        <f t="shared" si="2"/>
        <v>All petroleum products total consumption</v>
      </c>
      <c r="BD3" s="26" t="str">
        <f t="shared" si="2"/>
        <v>Natural gas total consumption (including supplemental gaseous fuels)</v>
      </c>
      <c r="BE3" s="26" t="str">
        <f t="shared" si="2"/>
        <v>Renewable energy total consumption</v>
      </c>
      <c r="BF3" s="26"/>
      <c r="BG3" s="26" t="str">
        <f t="shared" si="2"/>
        <v/>
      </c>
      <c r="BH3" s="26" t="str">
        <f t="shared" si="2"/>
        <v/>
      </c>
      <c r="BI3" s="26"/>
      <c r="BJ3" s="26" t="str">
        <f t="shared" ref="BJ3:DA3" si="3">IF(ISERROR(VLOOKUP(BJ$2,code,2,)),"",VLOOKUP(BJ$2,code,2,))</f>
        <v/>
      </c>
      <c r="BK3" s="26" t="str">
        <f t="shared" si="3"/>
        <v/>
      </c>
      <c r="BL3" s="26"/>
      <c r="BM3" s="26" t="str">
        <f t="shared" si="3"/>
        <v/>
      </c>
      <c r="BN3" s="26" t="str">
        <f t="shared" si="3"/>
        <v/>
      </c>
      <c r="BO3" s="26" t="str">
        <f t="shared" si="3"/>
        <v/>
      </c>
      <c r="BP3" s="26" t="str">
        <f t="shared" si="3"/>
        <v/>
      </c>
      <c r="BQ3" s="26" t="str">
        <f t="shared" si="3"/>
        <v/>
      </c>
      <c r="BR3" s="26" t="str">
        <f t="shared" si="3"/>
        <v/>
      </c>
      <c r="BS3" s="26" t="str">
        <f t="shared" si="3"/>
        <v/>
      </c>
      <c r="BT3" s="26" t="str">
        <f t="shared" si="3"/>
        <v/>
      </c>
      <c r="BU3" s="26" t="str">
        <f t="shared" si="3"/>
        <v/>
      </c>
      <c r="BV3" s="26" t="str">
        <f t="shared" si="3"/>
        <v/>
      </c>
      <c r="BW3" s="26" t="str">
        <f t="shared" si="3"/>
        <v/>
      </c>
      <c r="BX3" s="26" t="str">
        <f t="shared" si="3"/>
        <v/>
      </c>
      <c r="BY3" s="26" t="str">
        <f t="shared" si="3"/>
        <v/>
      </c>
      <c r="BZ3" s="26" t="str">
        <f t="shared" si="3"/>
        <v/>
      </c>
      <c r="CA3" s="26" t="str">
        <f t="shared" si="3"/>
        <v/>
      </c>
      <c r="CB3" s="26" t="str">
        <f t="shared" si="3"/>
        <v/>
      </c>
      <c r="CC3" s="26" t="str">
        <f t="shared" si="3"/>
        <v/>
      </c>
      <c r="CD3" s="26" t="str">
        <f t="shared" si="3"/>
        <v/>
      </c>
      <c r="CE3" s="26" t="str">
        <f t="shared" si="3"/>
        <v/>
      </c>
      <c r="CF3" s="26" t="str">
        <f t="shared" si="3"/>
        <v/>
      </c>
      <c r="CG3" s="26" t="str">
        <f t="shared" si="3"/>
        <v/>
      </c>
      <c r="CH3" s="26" t="str">
        <f t="shared" si="3"/>
        <v/>
      </c>
      <c r="CI3" s="26" t="str">
        <f t="shared" si="3"/>
        <v/>
      </c>
      <c r="CJ3" s="26" t="str">
        <f t="shared" si="3"/>
        <v/>
      </c>
      <c r="CK3" s="26" t="str">
        <f t="shared" si="3"/>
        <v/>
      </c>
      <c r="CL3" s="26" t="str">
        <f t="shared" si="3"/>
        <v/>
      </c>
      <c r="CM3" s="26" t="str">
        <f t="shared" si="3"/>
        <v/>
      </c>
      <c r="CN3" s="26" t="str">
        <f t="shared" si="3"/>
        <v/>
      </c>
      <c r="CO3" s="26" t="str">
        <f t="shared" si="3"/>
        <v/>
      </c>
      <c r="CP3" s="26" t="str">
        <f t="shared" si="3"/>
        <v/>
      </c>
      <c r="CQ3" s="26" t="str">
        <f t="shared" si="3"/>
        <v/>
      </c>
      <c r="CR3" s="26" t="str">
        <f t="shared" si="3"/>
        <v/>
      </c>
      <c r="CS3" s="26" t="str">
        <f t="shared" si="3"/>
        <v/>
      </c>
      <c r="CT3" s="26" t="str">
        <f t="shared" si="3"/>
        <v/>
      </c>
      <c r="CU3" s="26" t="str">
        <f t="shared" si="3"/>
        <v/>
      </c>
      <c r="CV3" s="26" t="str">
        <f t="shared" si="3"/>
        <v/>
      </c>
      <c r="CW3" s="26" t="str">
        <f t="shared" si="3"/>
        <v/>
      </c>
      <c r="CX3" s="26" t="str">
        <f t="shared" si="3"/>
        <v/>
      </c>
      <c r="CY3" s="26" t="str">
        <f t="shared" si="3"/>
        <v/>
      </c>
      <c r="CZ3" s="26" t="str">
        <f t="shared" si="3"/>
        <v/>
      </c>
      <c r="DA3" s="26" t="str">
        <f t="shared" si="3"/>
        <v/>
      </c>
    </row>
    <row r="4" spans="1:105" x14ac:dyDescent="0.2">
      <c r="F4" s="24"/>
      <c r="G4" s="24"/>
      <c r="H4" s="24"/>
      <c r="I4" s="24"/>
      <c r="J4" s="24"/>
      <c r="K4" s="24"/>
      <c r="L4" s="24"/>
    </row>
    <row r="5" spans="1:105" x14ac:dyDescent="0.2">
      <c r="A5" t="s">
        <v>1423</v>
      </c>
      <c r="B5" t="s">
        <v>1488</v>
      </c>
      <c r="C5" t="s">
        <v>1489</v>
      </c>
      <c r="D5" t="s">
        <v>1490</v>
      </c>
      <c r="F5" s="24" t="s">
        <v>1481</v>
      </c>
      <c r="G5" s="24"/>
      <c r="H5" s="24"/>
      <c r="I5" s="24"/>
      <c r="J5" s="24"/>
      <c r="K5" s="24" t="s">
        <v>1480</v>
      </c>
      <c r="L5" s="24" t="s">
        <v>1482</v>
      </c>
      <c r="AM5" t="s">
        <v>1484</v>
      </c>
      <c r="AQ5" t="s">
        <v>1483</v>
      </c>
      <c r="AR5" t="s">
        <v>1485</v>
      </c>
      <c r="BH5" t="s">
        <v>1486</v>
      </c>
      <c r="BK5" t="s">
        <v>1487</v>
      </c>
    </row>
    <row r="6" spans="1:105" x14ac:dyDescent="0.2">
      <c r="F6" s="24"/>
      <c r="G6" s="24"/>
      <c r="H6" s="24"/>
      <c r="I6" s="24"/>
      <c r="J6" s="24"/>
      <c r="K6" s="24"/>
      <c r="L6" s="24"/>
    </row>
    <row r="7" spans="1:105" x14ac:dyDescent="0.2">
      <c r="N7" s="28" t="s">
        <v>1421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T7" s="28" t="s">
        <v>1508</v>
      </c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61"/>
    </row>
    <row r="8" spans="1:105" s="30" customFormat="1" ht="7" customHeight="1" x14ac:dyDescent="0.2"/>
    <row r="9" spans="1:105" s="30" customFormat="1" x14ac:dyDescent="0.2">
      <c r="B9" s="28" t="s">
        <v>1426</v>
      </c>
      <c r="C9" s="28"/>
      <c r="D9" s="28"/>
      <c r="F9" s="28" t="s">
        <v>1420</v>
      </c>
      <c r="G9" s="28"/>
      <c r="H9" s="28"/>
      <c r="I9" s="28"/>
      <c r="J9" s="28"/>
      <c r="K9" s="28"/>
      <c r="L9" s="29"/>
      <c r="N9" s="28" t="s">
        <v>1464</v>
      </c>
      <c r="O9" s="28"/>
      <c r="P9" s="28"/>
      <c r="Q9" s="28"/>
      <c r="S9" s="28" t="s">
        <v>1457</v>
      </c>
      <c r="T9" s="28"/>
      <c r="U9" s="28"/>
      <c r="V9" s="28"/>
      <c r="X9" s="28" t="s">
        <v>1458</v>
      </c>
      <c r="Y9" s="28"/>
      <c r="Z9" s="28"/>
      <c r="AA9" s="28"/>
      <c r="AC9" s="28" t="s">
        <v>1459</v>
      </c>
      <c r="AD9" s="28"/>
      <c r="AE9" s="28"/>
      <c r="AF9" s="28"/>
      <c r="AH9" s="28" t="s">
        <v>1465</v>
      </c>
      <c r="AI9" s="28"/>
      <c r="AJ9" s="28"/>
      <c r="AK9" s="28"/>
      <c r="AM9" s="28" t="s">
        <v>1460</v>
      </c>
      <c r="AN9" s="28"/>
      <c r="AO9" s="28"/>
      <c r="AP9" s="28"/>
      <c r="AQ9" s="28"/>
      <c r="AR9" s="28"/>
      <c r="AT9" s="28" t="s">
        <v>1466</v>
      </c>
      <c r="AU9" s="28"/>
      <c r="AV9" s="28"/>
      <c r="AX9" s="28" t="s">
        <v>1467</v>
      </c>
      <c r="AY9" s="28"/>
      <c r="AZ9" s="28"/>
      <c r="BB9" s="28" t="s">
        <v>1498</v>
      </c>
      <c r="BC9" s="28"/>
      <c r="BD9" s="28"/>
      <c r="BE9" s="29"/>
      <c r="BG9" s="28" t="s">
        <v>1499</v>
      </c>
      <c r="BH9" s="28"/>
      <c r="BI9" s="28"/>
      <c r="BJ9" s="28"/>
      <c r="BK9" s="28"/>
      <c r="BL9" s="59"/>
    </row>
    <row r="10" spans="1:105" ht="51" x14ac:dyDescent="0.2">
      <c r="A10" s="35"/>
      <c r="B10" s="36" t="s">
        <v>1429</v>
      </c>
      <c r="C10" s="36" t="s">
        <v>1428</v>
      </c>
      <c r="D10" s="36" t="s">
        <v>1445</v>
      </c>
      <c r="E10" s="37"/>
      <c r="F10" s="31" t="s">
        <v>1419</v>
      </c>
      <c r="G10" s="31" t="s">
        <v>1417</v>
      </c>
      <c r="H10" s="31" t="s">
        <v>1418</v>
      </c>
      <c r="I10" s="38" t="s">
        <v>1424</v>
      </c>
      <c r="J10" s="32" t="s">
        <v>1447</v>
      </c>
      <c r="K10" s="32" t="s">
        <v>1448</v>
      </c>
      <c r="L10" s="38" t="s">
        <v>1451</v>
      </c>
      <c r="M10" s="37"/>
      <c r="N10" s="38" t="s">
        <v>1454</v>
      </c>
      <c r="O10" s="38" t="s">
        <v>1455</v>
      </c>
      <c r="P10" s="38" t="s">
        <v>1453</v>
      </c>
      <c r="Q10" s="38" t="s">
        <v>1456</v>
      </c>
      <c r="R10" s="37"/>
      <c r="S10" s="38" t="s">
        <v>1454</v>
      </c>
      <c r="T10" s="38" t="s">
        <v>1455</v>
      </c>
      <c r="U10" s="38" t="s">
        <v>1453</v>
      </c>
      <c r="V10" s="38" t="s">
        <v>1456</v>
      </c>
      <c r="W10" s="37"/>
      <c r="X10" s="38" t="s">
        <v>1454</v>
      </c>
      <c r="Y10" s="38" t="s">
        <v>1455</v>
      </c>
      <c r="Z10" s="38" t="s">
        <v>1453</v>
      </c>
      <c r="AA10" s="38" t="s">
        <v>1456</v>
      </c>
      <c r="AB10" s="37"/>
      <c r="AC10" s="36" t="s">
        <v>1454</v>
      </c>
      <c r="AD10" s="36" t="s">
        <v>1455</v>
      </c>
      <c r="AE10" s="36" t="s">
        <v>1453</v>
      </c>
      <c r="AF10" s="36" t="s">
        <v>1456</v>
      </c>
      <c r="AG10" s="37"/>
      <c r="AH10" s="38" t="s">
        <v>1454</v>
      </c>
      <c r="AI10" s="38" t="s">
        <v>1455</v>
      </c>
      <c r="AJ10" s="38" t="s">
        <v>1453</v>
      </c>
      <c r="AK10" s="38" t="s">
        <v>1456</v>
      </c>
      <c r="AL10" s="35"/>
      <c r="AM10" s="36" t="s">
        <v>1463</v>
      </c>
      <c r="AN10" s="36" t="s">
        <v>1466</v>
      </c>
      <c r="AO10" s="32" t="s">
        <v>1475</v>
      </c>
      <c r="AP10" s="36" t="s">
        <v>1467</v>
      </c>
      <c r="AQ10" s="32" t="s">
        <v>1468</v>
      </c>
      <c r="AR10" s="32" t="s">
        <v>1451</v>
      </c>
      <c r="AT10" s="53" t="s">
        <v>1454</v>
      </c>
      <c r="AU10" s="53" t="s">
        <v>1493</v>
      </c>
      <c r="AV10" s="53" t="s">
        <v>1455</v>
      </c>
      <c r="AX10" s="53" t="s">
        <v>1454</v>
      </c>
      <c r="AY10" s="53" t="s">
        <v>1493</v>
      </c>
      <c r="AZ10" s="53" t="s">
        <v>1455</v>
      </c>
      <c r="BB10" s="53" t="s">
        <v>1454</v>
      </c>
      <c r="BC10" s="53" t="s">
        <v>1493</v>
      </c>
      <c r="BD10" s="53" t="s">
        <v>1455</v>
      </c>
      <c r="BE10" s="53" t="s">
        <v>1510</v>
      </c>
      <c r="BF10" s="53"/>
      <c r="BG10" s="53" t="s">
        <v>1466</v>
      </c>
      <c r="BH10" s="53" t="s">
        <v>1500</v>
      </c>
      <c r="BI10" s="53" t="s">
        <v>1503</v>
      </c>
      <c r="BJ10" s="53" t="s">
        <v>1501</v>
      </c>
      <c r="BK10" s="53" t="s">
        <v>1502</v>
      </c>
      <c r="BL10" s="53"/>
      <c r="BM10" s="53" t="s">
        <v>1511</v>
      </c>
      <c r="BO10" s="53" t="s">
        <v>1512</v>
      </c>
    </row>
    <row r="11" spans="1:105" s="26" customFormat="1" ht="53" customHeight="1" x14ac:dyDescent="0.2">
      <c r="A11" s="53" t="s">
        <v>1477</v>
      </c>
      <c r="B11" s="27" t="str">
        <f ca="1">VLOOKUP($A11,INDIRECT(B1),MATCH(B3,INDIRECT(B1&amp;"_col"),),)</f>
        <v>(Billion Dollars)</v>
      </c>
      <c r="C11" s="27" t="str">
        <f t="shared" ref="C11:D11" ca="1" si="4">VLOOKUP($A11,INDIRECT(C1),MATCH(C3,INDIRECT(C1&amp;"_col"),),)</f>
        <v>(Billion chained (2012) dollars)</v>
      </c>
      <c r="D11" s="27" t="str">
        <f t="shared" ca="1" si="4"/>
        <v>(2012 = 1.00000)</v>
      </c>
      <c r="F11" s="26" t="str">
        <f>IF(ISERROR(VLOOKUP(F$2,code,3,)),"",VLOOKUP(F$2,code,3,))</f>
        <v>Billion Btu</v>
      </c>
      <c r="G11" s="26" t="str">
        <f>VLOOKUP(G$2,code,3,)</f>
        <v>Million dollars</v>
      </c>
      <c r="H11" s="26" t="str">
        <f>VLOOKUP(H$2,code,3,)</f>
        <v>Dollars per million Btu</v>
      </c>
      <c r="I11" s="27" t="s">
        <v>1425</v>
      </c>
      <c r="J11" s="27" t="s">
        <v>1449</v>
      </c>
      <c r="K11" s="27" t="s">
        <v>1450</v>
      </c>
      <c r="L11" s="33" t="s">
        <v>1452</v>
      </c>
      <c r="N11" s="26" t="str">
        <f>VLOOKUP(N$2,code,3,)</f>
        <v>Billion Btu</v>
      </c>
      <c r="O11" s="26" t="str">
        <f>VLOOKUP(O$2,code,3,)</f>
        <v>Billion Btu</v>
      </c>
      <c r="P11" s="26" t="str">
        <f>VLOOKUP(P$2,code,3,)</f>
        <v>Billion Btu</v>
      </c>
      <c r="Q11" s="26" t="str">
        <f>VLOOKUP(Q$2,code,3,)</f>
        <v>Billion Btu</v>
      </c>
      <c r="S11" s="26" t="str">
        <f>VLOOKUP(S$2,code,3,)</f>
        <v>Dollars per million Btu</v>
      </c>
      <c r="T11" s="26" t="str">
        <f>VLOOKUP(T$2,code,3,)</f>
        <v>Dollars per million Btu</v>
      </c>
      <c r="U11" s="26" t="str">
        <f>VLOOKUP(U$2,code,3,)</f>
        <v>Dollars per million Btu</v>
      </c>
      <c r="V11" s="26" t="str">
        <f>VLOOKUP(V$2,code,3,)</f>
        <v>Dollars per million Btu</v>
      </c>
      <c r="X11" s="26" t="s">
        <v>1478</v>
      </c>
      <c r="Y11" s="26" t="s">
        <v>1478</v>
      </c>
      <c r="Z11" s="26" t="s">
        <v>1478</v>
      </c>
      <c r="AA11" s="26" t="s">
        <v>1478</v>
      </c>
      <c r="AC11" s="26" t="s">
        <v>1492</v>
      </c>
      <c r="AD11" s="26" t="s">
        <v>1492</v>
      </c>
      <c r="AE11" s="26" t="s">
        <v>1492</v>
      </c>
      <c r="AF11" s="26" t="s">
        <v>1492</v>
      </c>
      <c r="AH11" s="26" t="s">
        <v>1494</v>
      </c>
      <c r="AI11" s="26" t="s">
        <v>1494</v>
      </c>
      <c r="AJ11" s="26" t="s">
        <v>1494</v>
      </c>
      <c r="AK11" s="26" t="s">
        <v>1494</v>
      </c>
      <c r="AM11" s="26" t="s">
        <v>1494</v>
      </c>
      <c r="AN11" s="26" t="s">
        <v>1496</v>
      </c>
      <c r="AO11" s="26" t="s">
        <v>1492</v>
      </c>
      <c r="AP11" s="26" t="s">
        <v>1495</v>
      </c>
      <c r="AQ11" s="26" t="s">
        <v>1497</v>
      </c>
      <c r="AR11" s="26" t="s">
        <v>1492</v>
      </c>
      <c r="AT11" s="26" t="str">
        <f>VLOOKUP(AT$2,code,3,)</f>
        <v>Million dollars</v>
      </c>
      <c r="AU11" s="26" t="str">
        <f>VLOOKUP(AU$2,code,3,)</f>
        <v>Million dollars</v>
      </c>
      <c r="AV11" s="26" t="str">
        <f>VLOOKUP(AV$2,code,3,)</f>
        <v>Million dollars</v>
      </c>
      <c r="AX11" s="26" t="s">
        <v>1504</v>
      </c>
      <c r="AY11" s="26" t="s">
        <v>1504</v>
      </c>
      <c r="AZ11" s="26" t="s">
        <v>1504</v>
      </c>
      <c r="BB11" s="26" t="str">
        <f>VLOOKUP(BB$2,code,3,)</f>
        <v>Billion Btu</v>
      </c>
      <c r="BC11" s="26" t="str">
        <f>VLOOKUP(BC$2,code,3,)</f>
        <v>Billion Btu</v>
      </c>
      <c r="BD11" s="26" t="str">
        <f>VLOOKUP(BD$2,code,3,)</f>
        <v>Billion Btu</v>
      </c>
      <c r="BG11" s="26" t="s">
        <v>22</v>
      </c>
      <c r="BH11" s="26" t="s">
        <v>1492</v>
      </c>
      <c r="BI11" s="26" t="s">
        <v>1505</v>
      </c>
      <c r="BJ11" s="26" t="s">
        <v>1506</v>
      </c>
      <c r="BK11" s="26" t="s">
        <v>1507</v>
      </c>
    </row>
    <row r="12" spans="1:105" s="30" customFormat="1" ht="21" customHeight="1" x14ac:dyDescent="0.2">
      <c r="A12" s="29" t="s">
        <v>1476</v>
      </c>
      <c r="B12" s="40">
        <f ca="1">IF(ISERROR(AVERAGE(B13:B66)),"",AVERAGE(B13:B66))</f>
        <v>9318.9903846153848</v>
      </c>
      <c r="C12" s="40">
        <f t="shared" ref="C12:AK12" ca="1" si="5">IF(ISERROR(AVERAGE(C13:C66)),"",AVERAGE(C13:C66))</f>
        <v>11494.557692307691</v>
      </c>
      <c r="D12" s="41">
        <f t="shared" ca="1" si="5"/>
        <v>0.70479596153846136</v>
      </c>
      <c r="E12" s="38" t="str">
        <f t="shared" si="5"/>
        <v/>
      </c>
      <c r="F12" s="40">
        <f t="shared" ca="1" si="5"/>
        <v>60043691.942307696</v>
      </c>
      <c r="G12" s="40">
        <f t="shared" ca="1" si="5"/>
        <v>680898.84423076909</v>
      </c>
      <c r="H12" s="38">
        <f t="shared" ca="1" si="5"/>
        <v>10.903076923076922</v>
      </c>
      <c r="I12" s="42">
        <f t="shared" ca="1" si="5"/>
        <v>3.1599637215104997E-4</v>
      </c>
      <c r="J12" s="40">
        <f t="shared" ca="1" si="5"/>
        <v>879320.35568732768</v>
      </c>
      <c r="K12" s="41">
        <f t="shared" ca="1" si="5"/>
        <v>14.480943801616613</v>
      </c>
      <c r="L12" s="43">
        <f t="shared" ca="1" si="5"/>
        <v>8.1270493822869716E-2</v>
      </c>
      <c r="M12" s="38" t="str">
        <f t="shared" si="5"/>
        <v/>
      </c>
      <c r="N12" s="44">
        <f t="shared" ca="1" si="5"/>
        <v>2556218.576923077</v>
      </c>
      <c r="O12" s="44">
        <f t="shared" ca="1" si="5"/>
        <v>17405902.269230768</v>
      </c>
      <c r="P12" s="44">
        <f t="shared" ca="1" si="5"/>
        <v>33956709.32692308</v>
      </c>
      <c r="Q12" s="44">
        <f t="shared" ca="1" si="5"/>
        <v>9934292.884615384</v>
      </c>
      <c r="R12" s="38" t="str">
        <f t="shared" si="5"/>
        <v/>
      </c>
      <c r="S12" s="41">
        <f t="shared" ca="1" si="5"/>
        <v>2.2044230769230775</v>
      </c>
      <c r="T12" s="41">
        <f t="shared" ca="1" si="5"/>
        <v>5.3676923076923089</v>
      </c>
      <c r="U12" s="41">
        <f t="shared" ca="1" si="5"/>
        <v>11.242115384615385</v>
      </c>
      <c r="V12" s="41">
        <f t="shared" ca="1" si="5"/>
        <v>20.494615384615386</v>
      </c>
      <c r="W12" s="38" t="str">
        <f t="shared" si="5"/>
        <v/>
      </c>
      <c r="X12" s="41">
        <f t="shared" ca="1" si="5"/>
        <v>3.182084766216609</v>
      </c>
      <c r="Y12" s="41">
        <f t="shared" ca="1" si="5"/>
        <v>7.2021372447235166</v>
      </c>
      <c r="Z12" s="41">
        <f t="shared" ca="1" si="5"/>
        <v>14.738994486682829</v>
      </c>
      <c r="AA12" s="41">
        <f t="shared" ca="1" si="5"/>
        <v>29.154224421766934</v>
      </c>
      <c r="AB12" s="38" t="str">
        <f t="shared" si="5"/>
        <v/>
      </c>
      <c r="AC12" s="43">
        <f t="shared" ca="1" si="5"/>
        <v>0.10862461779107711</v>
      </c>
      <c r="AD12" s="43">
        <f t="shared" ca="1" si="5"/>
        <v>0.24614126505938486</v>
      </c>
      <c r="AE12" s="43">
        <f t="shared" ca="1" si="5"/>
        <v>0.50500008880601066</v>
      </c>
      <c r="AF12" s="43">
        <f t="shared" ca="1" si="5"/>
        <v>1</v>
      </c>
      <c r="AG12" s="38" t="str">
        <f t="shared" si="5"/>
        <v/>
      </c>
      <c r="AH12" s="40">
        <f t="shared" ca="1" si="5"/>
        <v>277668.26590872032</v>
      </c>
      <c r="AI12" s="40">
        <f t="shared" ca="1" si="5"/>
        <v>4284310.8040484786</v>
      </c>
      <c r="AJ12" s="40">
        <f t="shared" ca="1" si="5"/>
        <v>17148141.225656047</v>
      </c>
      <c r="AK12" s="40">
        <f t="shared" ca="1" si="5"/>
        <v>9934292.884615384</v>
      </c>
      <c r="AL12" s="38"/>
      <c r="AM12" s="40">
        <f t="shared" ref="AM12:AR12" ca="1" si="6">AVERAGE(AM13:AM66)</f>
        <v>31644413.180228628</v>
      </c>
      <c r="AN12" s="40">
        <f t="shared" ca="1" si="6"/>
        <v>718662819.12346148</v>
      </c>
      <c r="AO12" s="43">
        <f t="shared" ca="1" si="6"/>
        <v>5.578726473949628E-2</v>
      </c>
      <c r="AP12" s="40">
        <f t="shared" ca="1" si="6"/>
        <v>928268265.64145327</v>
      </c>
      <c r="AQ12" s="41">
        <f t="shared" ca="1" si="6"/>
        <v>28.914954218884546</v>
      </c>
      <c r="AR12" s="43">
        <f t="shared" ca="1" si="6"/>
        <v>8.5822677769317637E-2</v>
      </c>
      <c r="AS12" s="29"/>
      <c r="AT12" s="44">
        <f ca="1">AVERAGE(AT13:AT64)</f>
        <v>27952.103846153859</v>
      </c>
      <c r="AU12" s="44">
        <f t="shared" ref="AU12:AX12" ca="1" si="7">AVERAGE(AU13:AU64)</f>
        <v>378415.55576923082</v>
      </c>
      <c r="AV12" s="44">
        <f t="shared" ca="1" si="7"/>
        <v>98454.798076923078</v>
      </c>
      <c r="AW12" s="29"/>
      <c r="AX12" s="44">
        <f t="shared" ca="1" si="7"/>
        <v>40481.387095547594</v>
      </c>
      <c r="AY12" s="44">
        <f t="shared" ref="AY12" ca="1" si="8">AVERAGE(AY13:AY64)</f>
        <v>486184.214281625</v>
      </c>
      <c r="AZ12" s="44">
        <f t="shared" ref="AZ12" ca="1" si="9">AVERAGE(AZ13:AZ64)</f>
        <v>128059.93042593941</v>
      </c>
      <c r="BA12" s="29"/>
      <c r="BB12" s="54">
        <f ca="1">AVERAGE(BB13:BB64)</f>
        <v>17433425.442307692</v>
      </c>
      <c r="BC12" s="54">
        <f t="shared" ref="BC12:BG12" ca="1" si="10">AVERAGE(BC13:BC64)</f>
        <v>35332070.615384616</v>
      </c>
      <c r="BD12" s="54">
        <f t="shared" ca="1" si="10"/>
        <v>22904889.557692308</v>
      </c>
      <c r="BE12" s="54">
        <f t="shared" ca="1" si="10"/>
        <v>6827000.961538462</v>
      </c>
      <c r="BF12" s="29"/>
      <c r="BG12" s="54">
        <f t="shared" ca="1" si="10"/>
        <v>504822.45769230771</v>
      </c>
      <c r="BH12" s="52">
        <f t="shared" ref="BH12" ca="1" si="11">AVERAGE(BH13:BH64)</f>
        <v>0.74030841101786904</v>
      </c>
      <c r="BI12" s="54">
        <f t="shared" ref="BI12" ca="1" si="12">AVERAGE(BI13:BI64)</f>
        <v>75670385.615384609</v>
      </c>
      <c r="BJ12" s="57">
        <f t="shared" ref="BJ12" ca="1" si="13">AVERAGE(BJ13:BJ64)</f>
        <v>6.4339292069265693E-3</v>
      </c>
      <c r="BK12" s="57">
        <f t="shared" ref="BK12:BM12" ca="1" si="14">AVERAGE(BK13:BK64)</f>
        <v>8.5603981328713878</v>
      </c>
      <c r="BL12" s="57"/>
      <c r="BM12" s="43">
        <f t="shared" ca="1" si="14"/>
        <v>0.29455207415268719</v>
      </c>
      <c r="BN12" s="29"/>
      <c r="BO12" s="29">
        <f ca="1">AVERAGE(BO13:BO64)</f>
        <v>6.0918567727766534E-2</v>
      </c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</row>
    <row r="13" spans="1:105" ht="21" customHeight="1" x14ac:dyDescent="0.2">
      <c r="A13" s="22">
        <v>1970</v>
      </c>
      <c r="B13" s="39">
        <f ca="1">IF(ISERROR(VLOOKUP($A13,INDIRECT(B$1),MATCH(B$2,INDIRECT(B$1&amp;"_col"),),)),"",VLOOKUP($A13,INDIRECT(B$1),MATCH(B$2,INDIRECT(B$1&amp;"_col"),),))</f>
        <v>1073.3</v>
      </c>
      <c r="C13" s="39">
        <f t="shared" ref="C13:D28" ca="1" si="15">IF(ISERROR(VLOOKUP($A13,INDIRECT(C$1),MATCH(C$2,INDIRECT(C$1&amp;"_col"),),)),"",VLOOKUP($A13,INDIRECT(C$1),MATCH(C$2,INDIRECT(C$1&amp;"_col"),),))</f>
        <v>4954.3999999999996</v>
      </c>
      <c r="D13" s="45">
        <f t="shared" ca="1" si="15"/>
        <v>0.21662999999999999</v>
      </c>
      <c r="E13" s="46"/>
      <c r="F13" s="39">
        <f ca="1">IF(ISERROR(VLOOKUP(F$2,INDIRECT(F$1),MATCH($A13,INDIRECT(F$1&amp;"_col"),),)),"",VLOOKUP(F$2,INDIRECT(F$1),MATCH($A13,INDIRECT(F$1&amp;"_col"),),))</f>
        <v>50199863</v>
      </c>
      <c r="G13" s="39">
        <f t="shared" ref="G13:H28" ca="1" si="16">IF(ISERROR(VLOOKUP(G$2,INDIRECT(G$1),MATCH($A13,INDIRECT(G$1&amp;"_col"),),)),"",VLOOKUP(G$2,INDIRECT(G$1),MATCH($A13,INDIRECT(G$1&amp;"_col"),),))</f>
        <v>82874.8</v>
      </c>
      <c r="H13" s="46">
        <f t="shared" ca="1" si="16"/>
        <v>1.65</v>
      </c>
      <c r="I13" s="47">
        <f ca="1">ABS(F13*H13/1000 - G13)/G13</f>
        <v>5.4330206528402359E-4</v>
      </c>
      <c r="J13" s="39">
        <f t="shared" ref="J13:J44" ca="1" si="17">G13/D13</f>
        <v>382563.8184923603</v>
      </c>
      <c r="K13" s="45">
        <f t="shared" ref="K13:K44" ca="1" si="18">H13/D13</f>
        <v>7.6166735909153855</v>
      </c>
      <c r="L13" s="48">
        <f t="shared" ref="L13:L44" ca="1" si="19">G13/1000/B13</f>
        <v>7.7214944563495772E-2</v>
      </c>
      <c r="M13" s="46"/>
      <c r="N13" s="39">
        <f ca="1">IF(ISERROR(VLOOKUP(N$2,INDIRECT(N$1),MATCH($A13,INDIRECT(N$1&amp;"_col"),),)),"",VLOOKUP(N$2,INDIRECT(N$1),MATCH($A13,INDIRECT(N$1&amp;"_col"),),))</f>
        <v>5040889</v>
      </c>
      <c r="O13" s="39">
        <f t="shared" ref="O13:Q28" ca="1" si="20">IF(ISERROR(VLOOKUP(O$2,INDIRECT(O$1),MATCH($A13,INDIRECT(O$1&amp;"_col"),),)),"",VLOOKUP(O$2,INDIRECT(O$1),MATCH($A13,INDIRECT(O$1&amp;"_col"),),))</f>
        <v>17645102</v>
      </c>
      <c r="P13" s="39">
        <f t="shared" ca="1" si="20"/>
        <v>27382775</v>
      </c>
      <c r="Q13" s="39">
        <f t="shared" ca="1" si="20"/>
        <v>4750527</v>
      </c>
      <c r="R13" s="46"/>
      <c r="S13" s="46">
        <f t="shared" ref="S13:V28" ca="1" si="21">IF(ISERROR(VLOOKUP(S$2,INDIRECT(S$1),MATCH($A13,INDIRECT(S$1&amp;"_col"),),)),"",VLOOKUP(S$2,INDIRECT(S$1),MATCH($A13,INDIRECT(S$1&amp;"_col"),),))</f>
        <v>0.48</v>
      </c>
      <c r="T13" s="46">
        <f t="shared" ca="1" si="21"/>
        <v>0.68</v>
      </c>
      <c r="U13" s="46">
        <f t="shared" ca="1" si="21"/>
        <v>1.82</v>
      </c>
      <c r="V13" s="46">
        <f t="shared" ca="1" si="21"/>
        <v>4.9800000000000004</v>
      </c>
      <c r="W13" s="46"/>
      <c r="X13" s="45">
        <f t="shared" ref="X13:X44" ca="1" si="22">IF(ISERROR(S13/$D13),"",S13/$D13)</f>
        <v>2.2157595900844758</v>
      </c>
      <c r="Y13" s="45">
        <f t="shared" ref="Y13:Y44" ca="1" si="23">IF(ISERROR(T13/$D13),"",T13/$D13)</f>
        <v>3.1389927526196746</v>
      </c>
      <c r="Z13" s="45">
        <f t="shared" ref="Z13:Z44" ca="1" si="24">IF(ISERROR(U13/$D13),"",U13/$D13)</f>
        <v>8.4014217790703043</v>
      </c>
      <c r="AA13" s="45">
        <f t="shared" ref="AA13:AA44" ca="1" si="25">IF(ISERROR(V13/$D13),"",V13/$D13)</f>
        <v>22.988505747126439</v>
      </c>
      <c r="AB13" s="46"/>
      <c r="AC13" s="48">
        <f t="shared" ref="AC13:AC44" ca="1" si="26">IF(ISERROR(X13/$AA13),"",X13/$AA13)</f>
        <v>9.638554216867469E-2</v>
      </c>
      <c r="AD13" s="48">
        <f t="shared" ref="AD13:AD44" ca="1" si="27">IF(ISERROR(Y13/$AA13),"",Y13/$AA13)</f>
        <v>0.13654618473895583</v>
      </c>
      <c r="AE13" s="48">
        <f t="shared" ref="AE13:AE44" ca="1" si="28">IF(ISERROR(Z13/$AA13),"",Z13/$AA13)</f>
        <v>0.36546184738955823</v>
      </c>
      <c r="AF13" s="48">
        <f t="shared" ref="AF13:AF44" ca="1" si="29">IF(ISERROR(AA13/$AA13),"",AA13/$AA13)</f>
        <v>1</v>
      </c>
      <c r="AG13" s="46"/>
      <c r="AH13" s="49">
        <f t="shared" ref="AH13:AH44" ca="1" si="30">IF(ISERROR(N13*AC$12),"",N13*AC$12)</f>
        <v>547564.64095224487</v>
      </c>
      <c r="AI13" s="39">
        <f t="shared" ref="AI13:AI44" ca="1" si="31">IF(ISERROR(O13*AD$12),"",O13*AD$12)</f>
        <v>4343187.7283818815</v>
      </c>
      <c r="AJ13" s="39">
        <f t="shared" ref="AJ13:AJ44" ca="1" si="32">IF(ISERROR(P13*AE$12),"",P13*AE$12)</f>
        <v>13828303.806755008</v>
      </c>
      <c r="AK13" s="39">
        <f t="shared" ref="AK13:AK44" ca="1" si="33">IF(ISERROR(Q13*AF$12),"",Q13*AF$12)</f>
        <v>4750527</v>
      </c>
      <c r="AL13" s="46"/>
      <c r="AM13" s="39">
        <f t="shared" ref="AM13:AM44" ca="1" si="34">SUM(AH13:AK13)</f>
        <v>23469583.176089134</v>
      </c>
      <c r="AN13" s="39">
        <f t="shared" ref="AN13:AN44" ca="1" si="35">SUMPRODUCT(S13:V13,N13:Q13)</f>
        <v>87912571.039999992</v>
      </c>
      <c r="AO13" s="48">
        <f t="shared" ref="AO13:AO44" ca="1" si="36">ABS(AN13/1000-G13)/G13</f>
        <v>6.0787730890451523E-2</v>
      </c>
      <c r="AP13" s="39">
        <f t="shared" ref="AP13:AP44" ca="1" si="37">SUMPRODUCT(N13:Q13,X13:AA13)</f>
        <v>405819004.93929744</v>
      </c>
      <c r="AQ13" s="45">
        <f t="shared" ref="AQ13:AQ44" ca="1" si="38">AP13/AM13</f>
        <v>17.291274493223501</v>
      </c>
      <c r="AR13" s="48">
        <f t="shared" ref="AR13:AR44" ca="1" si="39">AN13/B13/1000000</f>
        <v>8.1908665834342684E-2</v>
      </c>
      <c r="AT13" s="39">
        <f t="shared" ref="AT13:AV28" ca="1" si="40">IF(ISERROR(VLOOKUP(AT$2,INDIRECT(AT$1),MATCH($A13,INDIRECT(AT$1&amp;"_col"),),)),"",VLOOKUP(AT$2,INDIRECT(AT$1),MATCH($A13,INDIRECT(AT$1&amp;"_col"),),))</f>
        <v>4630.3</v>
      </c>
      <c r="AU13" s="39">
        <f t="shared" ca="1" si="40"/>
        <v>47903.8</v>
      </c>
      <c r="AV13" s="39">
        <f t="shared" ca="1" si="40"/>
        <v>10891.4</v>
      </c>
      <c r="AX13" s="55">
        <f ca="1">AT13/$D13</f>
        <v>21374.232562433644</v>
      </c>
      <c r="AY13" s="55">
        <f t="shared" ref="AY13:AZ13" ca="1" si="41">AU13/$D13</f>
        <v>221131.88385726817</v>
      </c>
      <c r="AZ13" s="55">
        <f t="shared" ca="1" si="41"/>
        <v>50276.508332179292</v>
      </c>
      <c r="BB13" s="39">
        <f t="shared" ref="BB13:BE28" ca="1" si="42">IF(ISERROR(VLOOKUP(BB$2,INDIRECT(BB$1),MATCH($A13,INDIRECT(BB$1&amp;"_col"),),)),"",VLOOKUP(BB$2,INDIRECT(BB$1),MATCH($A13,INDIRECT(BB$1&amp;"_col"),),))</f>
        <v>12268895</v>
      </c>
      <c r="BC13" s="39">
        <f t="shared" ca="1" si="42"/>
        <v>29500112</v>
      </c>
      <c r="BD13" s="39">
        <f t="shared" ca="1" si="42"/>
        <v>21692710</v>
      </c>
      <c r="BE13" s="39">
        <f t="shared" ca="1" si="42"/>
        <v>4070021</v>
      </c>
      <c r="BG13" s="56">
        <f t="shared" ref="BG13:BG44" ca="1" si="43">SUM(AT13:AV13)</f>
        <v>63425.500000000007</v>
      </c>
      <c r="BH13" s="51">
        <f t="shared" ref="BH13:BH44" ca="1" si="44">BG13/G13</f>
        <v>0.76531708070487059</v>
      </c>
      <c r="BI13" s="56">
        <f t="shared" ref="BI13:BI44" ca="1" si="45">SUM(BB13:BD13)</f>
        <v>63461717</v>
      </c>
      <c r="BJ13" s="58">
        <f ca="1">BG13/BI13</f>
        <v>9.9942930948433055E-4</v>
      </c>
      <c r="BK13" s="58">
        <f ca="1">BJ13/$D13*1000</f>
        <v>4.6135314106279406</v>
      </c>
      <c r="BL13" s="58"/>
      <c r="BM13" s="60">
        <f ca="1">BE13/BD13</f>
        <v>0.18762160191142555</v>
      </c>
      <c r="BO13">
        <f ca="1">BG13/B13/1000</f>
        <v>5.9093915960122992E-2</v>
      </c>
    </row>
    <row r="14" spans="1:105" ht="21" customHeight="1" x14ac:dyDescent="0.2">
      <c r="A14" s="22">
        <f>A13+1</f>
        <v>1971</v>
      </c>
      <c r="B14" s="39">
        <f t="shared" ref="B14:D45" ca="1" si="46">IF(ISERROR(VLOOKUP($A14,INDIRECT(B$1),MATCH(B$2,INDIRECT(B$1&amp;"_col"),),)),"",VLOOKUP($A14,INDIRECT(B$1),MATCH(B$2,INDIRECT(B$1&amp;"_col"),),))</f>
        <v>1164.9000000000001</v>
      </c>
      <c r="C14" s="39">
        <f t="shared" ca="1" si="15"/>
        <v>5117.6000000000004</v>
      </c>
      <c r="D14" s="45">
        <f t="shared" ca="1" si="15"/>
        <v>0.22761999999999999</v>
      </c>
      <c r="E14" s="46"/>
      <c r="F14" s="39">
        <f t="shared" ref="F14:H64" ca="1" si="47">IF(ISERROR(VLOOKUP(F$2,INDIRECT(F$1),MATCH($A14,INDIRECT(F$1&amp;"_col"),),)),"",VLOOKUP(F$2,INDIRECT(F$1),MATCH($A14,INDIRECT(F$1&amp;"_col"),),))</f>
        <v>51029833</v>
      </c>
      <c r="G14" s="39">
        <f t="shared" ca="1" si="16"/>
        <v>90037.8</v>
      </c>
      <c r="H14" s="46">
        <f t="shared" ca="1" si="16"/>
        <v>1.76</v>
      </c>
      <c r="I14" s="47">
        <f t="shared" ref="I14:I64" ca="1" si="48">ABS(F14*H14/1000 - G14)/G14</f>
        <v>2.502214847541932E-3</v>
      </c>
      <c r="J14" s="39">
        <f t="shared" ca="1" si="17"/>
        <v>395561.90141463844</v>
      </c>
      <c r="K14" s="45">
        <f t="shared" ca="1" si="18"/>
        <v>7.7321852209823394</v>
      </c>
      <c r="L14" s="48">
        <f t="shared" ca="1" si="19"/>
        <v>7.729229976822044E-2</v>
      </c>
      <c r="M14" s="46"/>
      <c r="N14" s="39">
        <f t="shared" ref="N14:Q45" ca="1" si="49">IF(ISERROR(VLOOKUP(N$2,INDIRECT(N$1),MATCH($A14,INDIRECT(N$1&amp;"_col"),),)),"",VLOOKUP(N$2,INDIRECT(N$1),MATCH($A14,INDIRECT(N$1&amp;"_col"),),))</f>
        <v>4303953</v>
      </c>
      <c r="O14" s="39">
        <f t="shared" ca="1" si="20"/>
        <v>18273412</v>
      </c>
      <c r="P14" s="39">
        <f t="shared" ca="1" si="20"/>
        <v>28046455</v>
      </c>
      <c r="Q14" s="39">
        <f t="shared" ca="1" si="20"/>
        <v>5014071</v>
      </c>
      <c r="R14" s="46"/>
      <c r="S14" s="46">
        <f t="shared" ca="1" si="21"/>
        <v>0.53</v>
      </c>
      <c r="T14" s="46">
        <f t="shared" ca="1" si="21"/>
        <v>0.72</v>
      </c>
      <c r="U14" s="46">
        <f t="shared" ca="1" si="21"/>
        <v>1.9</v>
      </c>
      <c r="V14" s="46">
        <f t="shared" ca="1" si="21"/>
        <v>5.3</v>
      </c>
      <c r="W14" s="46"/>
      <c r="X14" s="45">
        <f t="shared" ca="1" si="22"/>
        <v>2.3284421404094546</v>
      </c>
      <c r="Y14" s="45">
        <f t="shared" ca="1" si="23"/>
        <v>3.1631666813109569</v>
      </c>
      <c r="Z14" s="45">
        <f t="shared" ca="1" si="24"/>
        <v>8.3472454090150254</v>
      </c>
      <c r="AA14" s="45">
        <f t="shared" ca="1" si="25"/>
        <v>23.284421404094545</v>
      </c>
      <c r="AB14" s="46"/>
      <c r="AC14" s="48">
        <f t="shared" ca="1" si="26"/>
        <v>0.1</v>
      </c>
      <c r="AD14" s="48">
        <f t="shared" ca="1" si="27"/>
        <v>0.13584905660377358</v>
      </c>
      <c r="AE14" s="48">
        <f t="shared" ca="1" si="28"/>
        <v>0.35849056603773582</v>
      </c>
      <c r="AF14" s="48">
        <f t="shared" ca="1" si="29"/>
        <v>1</v>
      </c>
      <c r="AG14" s="46"/>
      <c r="AH14" s="49">
        <f t="shared" ca="1" si="30"/>
        <v>467515.24961575971</v>
      </c>
      <c r="AI14" s="39">
        <f t="shared" ca="1" si="31"/>
        <v>4497840.7466313438</v>
      </c>
      <c r="AJ14" s="39">
        <f t="shared" ca="1" si="32"/>
        <v>14163462.265693782</v>
      </c>
      <c r="AK14" s="39">
        <f t="shared" ca="1" si="33"/>
        <v>5014071</v>
      </c>
      <c r="AL14" s="46"/>
      <c r="AM14" s="39">
        <f t="shared" ca="1" si="34"/>
        <v>24142889.261940885</v>
      </c>
      <c r="AN14" s="39">
        <f t="shared" ca="1" si="35"/>
        <v>95300792.530000001</v>
      </c>
      <c r="AO14" s="48">
        <f t="shared" ca="1" si="36"/>
        <v>5.8453144457105824E-2</v>
      </c>
      <c r="AP14" s="39">
        <f t="shared" ca="1" si="37"/>
        <v>418683738.37975574</v>
      </c>
      <c r="AQ14" s="45">
        <f t="shared" ca="1" si="38"/>
        <v>17.341906920799797</v>
      </c>
      <c r="AR14" s="48">
        <f t="shared" ca="1" si="39"/>
        <v>8.1810277731994147E-2</v>
      </c>
      <c r="AT14" s="39">
        <f t="shared" ca="1" si="40"/>
        <v>4901.8999999999996</v>
      </c>
      <c r="AU14" s="39">
        <f t="shared" ca="1" si="40"/>
        <v>51816</v>
      </c>
      <c r="AV14" s="39">
        <f t="shared" ca="1" si="40"/>
        <v>12065</v>
      </c>
      <c r="AX14" s="55">
        <f t="shared" ref="AX14:AX64" ca="1" si="50">AT14/$D14</f>
        <v>21535.453826553028</v>
      </c>
      <c r="AY14" s="55">
        <f t="shared" ref="AY14:AY64" ca="1" si="51">AU14/$D14</f>
        <v>227642.56216501188</v>
      </c>
      <c r="AZ14" s="55">
        <f t="shared" ref="AZ14:AZ64" ca="1" si="52">AV14/$D14</f>
        <v>53005.008347245413</v>
      </c>
      <c r="BB14" s="39">
        <f t="shared" ca="1" si="42"/>
        <v>11603202</v>
      </c>
      <c r="BC14" s="39">
        <f t="shared" ca="1" si="42"/>
        <v>30541454</v>
      </c>
      <c r="BD14" s="39">
        <f t="shared" ca="1" si="42"/>
        <v>22365248</v>
      </c>
      <c r="BE14" s="39">
        <f t="shared" ca="1" si="42"/>
        <v>4262212</v>
      </c>
      <c r="BG14" s="56">
        <f t="shared" ca="1" si="43"/>
        <v>68782.899999999994</v>
      </c>
      <c r="BH14" s="51">
        <f t="shared" ca="1" si="44"/>
        <v>0.76393359233566338</v>
      </c>
      <c r="BI14" s="56">
        <f t="shared" ca="1" si="45"/>
        <v>64509904</v>
      </c>
      <c r="BJ14" s="58">
        <f t="shared" ref="BJ14:BJ64" ca="1" si="53">BG14/BI14</f>
        <v>1.0662378291556595E-3</v>
      </c>
      <c r="BK14" s="58">
        <f t="shared" ref="BK14:BK64" ca="1" si="54">BJ14/$D14*1000</f>
        <v>4.6842888549145929</v>
      </c>
      <c r="BL14" s="58"/>
      <c r="BM14" s="60">
        <f t="shared" ref="BM14:BM64" ca="1" si="55">BE14/BD14</f>
        <v>0.19057298179747437</v>
      </c>
      <c r="BO14">
        <f t="shared" ref="BO14:BO64" ca="1" si="56">BG14/B14/1000</f>
        <v>5.9046184221821604E-2</v>
      </c>
    </row>
    <row r="15" spans="1:105" ht="21" customHeight="1" x14ac:dyDescent="0.2">
      <c r="A15" s="22">
        <f t="shared" ref="A15:A64" si="57">A14+1</f>
        <v>1972</v>
      </c>
      <c r="B15" s="39">
        <f t="shared" ca="1" si="46"/>
        <v>1279.0999999999999</v>
      </c>
      <c r="C15" s="39">
        <f t="shared" ca="1" si="15"/>
        <v>5386.7</v>
      </c>
      <c r="D15" s="45">
        <f t="shared" ca="1" si="15"/>
        <v>0.23746</v>
      </c>
      <c r="E15" s="46"/>
      <c r="F15" s="39">
        <f t="shared" ca="1" si="47"/>
        <v>53327819</v>
      </c>
      <c r="G15" s="39">
        <f t="shared" ca="1" si="16"/>
        <v>98070.2</v>
      </c>
      <c r="H15" s="46">
        <f t="shared" ca="1" si="16"/>
        <v>1.84</v>
      </c>
      <c r="I15" s="47">
        <f t="shared" ca="1" si="48"/>
        <v>5.4029623677742352E-4</v>
      </c>
      <c r="J15" s="39">
        <f t="shared" ca="1" si="17"/>
        <v>412996.71523625031</v>
      </c>
      <c r="K15" s="45">
        <f t="shared" ca="1" si="18"/>
        <v>7.7486734607933974</v>
      </c>
      <c r="L15" s="48">
        <f t="shared" ca="1" si="19"/>
        <v>7.6671253224923783E-2</v>
      </c>
      <c r="M15" s="46"/>
      <c r="N15" s="39">
        <f t="shared" ca="1" si="49"/>
        <v>4267007</v>
      </c>
      <c r="O15" s="39">
        <f t="shared" ca="1" si="20"/>
        <v>18597610</v>
      </c>
      <c r="P15" s="39">
        <f t="shared" ca="1" si="20"/>
        <v>29822073</v>
      </c>
      <c r="Q15" s="39">
        <f t="shared" ca="1" si="20"/>
        <v>5442688</v>
      </c>
      <c r="R15" s="46"/>
      <c r="S15" s="46">
        <f t="shared" ca="1" si="21"/>
        <v>0.56999999999999995</v>
      </c>
      <c r="T15" s="46">
        <f t="shared" ca="1" si="21"/>
        <v>0.78</v>
      </c>
      <c r="U15" s="46">
        <f t="shared" ca="1" si="21"/>
        <v>1.91</v>
      </c>
      <c r="V15" s="46">
        <f t="shared" ca="1" si="21"/>
        <v>5.54</v>
      </c>
      <c r="W15" s="46"/>
      <c r="X15" s="45">
        <f t="shared" ca="1" si="22"/>
        <v>2.4004042786153454</v>
      </c>
      <c r="Y15" s="45">
        <f t="shared" ca="1" si="23"/>
        <v>3.2847637496841573</v>
      </c>
      <c r="Z15" s="45">
        <f t="shared" ca="1" si="24"/>
        <v>8.0434599511496661</v>
      </c>
      <c r="AA15" s="45">
        <f t="shared" ca="1" si="25"/>
        <v>23.330245093910552</v>
      </c>
      <c r="AB15" s="46"/>
      <c r="AC15" s="48">
        <f t="shared" ca="1" si="26"/>
        <v>0.10288808664259927</v>
      </c>
      <c r="AD15" s="48">
        <f t="shared" ca="1" si="27"/>
        <v>0.1407942238267148</v>
      </c>
      <c r="AE15" s="48">
        <f t="shared" ca="1" si="28"/>
        <v>0.34476534296028877</v>
      </c>
      <c r="AF15" s="48">
        <f t="shared" ca="1" si="29"/>
        <v>1</v>
      </c>
      <c r="AG15" s="46"/>
      <c r="AH15" s="49">
        <f t="shared" ca="1" si="30"/>
        <v>463502.00448685058</v>
      </c>
      <c r="AI15" s="39">
        <f t="shared" ca="1" si="31"/>
        <v>4577639.2524810666</v>
      </c>
      <c r="AJ15" s="39">
        <f t="shared" ca="1" si="32"/>
        <v>15060149.513379334</v>
      </c>
      <c r="AK15" s="39">
        <f t="shared" ca="1" si="33"/>
        <v>5442688</v>
      </c>
      <c r="AL15" s="46"/>
      <c r="AM15" s="39">
        <f t="shared" ca="1" si="34"/>
        <v>25543978.770347252</v>
      </c>
      <c r="AN15" s="39">
        <f t="shared" ca="1" si="35"/>
        <v>104050980.73999999</v>
      </c>
      <c r="AO15" s="48">
        <f t="shared" ca="1" si="36"/>
        <v>6.0984689946589302E-2</v>
      </c>
      <c r="AP15" s="39">
        <f t="shared" ca="1" si="37"/>
        <v>438183191.86389279</v>
      </c>
      <c r="AQ15" s="45">
        <f t="shared" ca="1" si="38"/>
        <v>17.154069685203392</v>
      </c>
      <c r="AR15" s="48">
        <f t="shared" ca="1" si="39"/>
        <v>8.1347025830662181E-2</v>
      </c>
      <c r="AT15" s="39">
        <f t="shared" ca="1" si="40"/>
        <v>5415</v>
      </c>
      <c r="AU15" s="39">
        <f t="shared" ca="1" si="40"/>
        <v>55647.9</v>
      </c>
      <c r="AV15" s="39">
        <f t="shared" ca="1" si="40"/>
        <v>13198.3</v>
      </c>
      <c r="AX15" s="55">
        <f t="shared" ca="1" si="50"/>
        <v>22803.840646845783</v>
      </c>
      <c r="AY15" s="55">
        <f t="shared" ca="1" si="51"/>
        <v>234346.4162385244</v>
      </c>
      <c r="AZ15" s="55">
        <f t="shared" ca="1" si="52"/>
        <v>55581.150509559498</v>
      </c>
      <c r="BB15" s="39">
        <f t="shared" ca="1" si="42"/>
        <v>12109530</v>
      </c>
      <c r="BC15" s="39">
        <f t="shared" ca="1" si="42"/>
        <v>32919160</v>
      </c>
      <c r="BD15" s="39">
        <f t="shared" ca="1" si="42"/>
        <v>22682497</v>
      </c>
      <c r="BE15" s="39">
        <f t="shared" ca="1" si="42"/>
        <v>4382009</v>
      </c>
      <c r="BG15" s="56">
        <f t="shared" ca="1" si="43"/>
        <v>74261.2</v>
      </c>
      <c r="BH15" s="51">
        <f t="shared" ca="1" si="44"/>
        <v>0.7572249266341865</v>
      </c>
      <c r="BI15" s="56">
        <f t="shared" ca="1" si="45"/>
        <v>67711187</v>
      </c>
      <c r="BJ15" s="58">
        <f t="shared" ca="1" si="53"/>
        <v>1.0967345765183528E-3</v>
      </c>
      <c r="BK15" s="58">
        <f t="shared" ca="1" si="54"/>
        <v>4.6186076666316556</v>
      </c>
      <c r="BL15" s="58"/>
      <c r="BM15" s="60">
        <f t="shared" ca="1" si="55"/>
        <v>0.19318900383851037</v>
      </c>
      <c r="BO15">
        <f t="shared" ca="1" si="56"/>
        <v>5.805738409819404E-2</v>
      </c>
    </row>
    <row r="16" spans="1:105" ht="21" customHeight="1" x14ac:dyDescent="0.2">
      <c r="A16" s="22">
        <f t="shared" si="57"/>
        <v>1973</v>
      </c>
      <c r="B16" s="39">
        <f t="shared" ca="1" si="46"/>
        <v>1425.4</v>
      </c>
      <c r="C16" s="39">
        <f t="shared" ca="1" si="15"/>
        <v>5690.9</v>
      </c>
      <c r="D16" s="45">
        <f t="shared" ca="1" si="15"/>
        <v>0.25047000000000003</v>
      </c>
      <c r="E16" s="46"/>
      <c r="F16" s="39">
        <f t="shared" ca="1" si="47"/>
        <v>55351069</v>
      </c>
      <c r="G16" s="39">
        <f t="shared" ca="1" si="16"/>
        <v>111894.2</v>
      </c>
      <c r="H16" s="46">
        <f t="shared" ca="1" si="16"/>
        <v>2.02</v>
      </c>
      <c r="I16" s="47">
        <f t="shared" ca="1" si="48"/>
        <v>7.6000918725009669E-4</v>
      </c>
      <c r="J16" s="39">
        <f t="shared" ca="1" si="17"/>
        <v>446736.93456302147</v>
      </c>
      <c r="K16" s="45">
        <f t="shared" ca="1" si="18"/>
        <v>8.0648381043637958</v>
      </c>
      <c r="L16" s="48">
        <f t="shared" ca="1" si="19"/>
        <v>7.8500210467237264E-2</v>
      </c>
      <c r="M16" s="46"/>
      <c r="N16" s="39">
        <f t="shared" ca="1" si="49"/>
        <v>4300200</v>
      </c>
      <c r="O16" s="39">
        <f t="shared" ca="1" si="20"/>
        <v>18857673</v>
      </c>
      <c r="P16" s="39">
        <f t="shared" ca="1" si="20"/>
        <v>31291210</v>
      </c>
      <c r="Q16" s="39">
        <f t="shared" ca="1" si="20"/>
        <v>5844445</v>
      </c>
      <c r="R16" s="46"/>
      <c r="S16" s="46">
        <f t="shared" ca="1" si="21"/>
        <v>0.63</v>
      </c>
      <c r="T16" s="46">
        <f t="shared" ca="1" si="21"/>
        <v>0.82</v>
      </c>
      <c r="U16" s="46">
        <f t="shared" ca="1" si="21"/>
        <v>2.11</v>
      </c>
      <c r="V16" s="46">
        <f t="shared" ca="1" si="21"/>
        <v>5.86</v>
      </c>
      <c r="W16" s="46"/>
      <c r="X16" s="45">
        <f t="shared" ca="1" si="22"/>
        <v>2.5152712899748471</v>
      </c>
      <c r="Y16" s="45">
        <f t="shared" ca="1" si="23"/>
        <v>3.273845171078372</v>
      </c>
      <c r="Z16" s="45">
        <f t="shared" ca="1" si="24"/>
        <v>8.4241625743602011</v>
      </c>
      <c r="AA16" s="45">
        <f t="shared" ca="1" si="25"/>
        <v>23.396015490877151</v>
      </c>
      <c r="AB16" s="46"/>
      <c r="AC16" s="48">
        <f t="shared" ca="1" si="26"/>
        <v>0.10750853242320818</v>
      </c>
      <c r="AD16" s="48">
        <f t="shared" ca="1" si="27"/>
        <v>0.13993174061433444</v>
      </c>
      <c r="AE16" s="48">
        <f t="shared" ca="1" si="28"/>
        <v>0.36006825938566545</v>
      </c>
      <c r="AF16" s="48">
        <f t="shared" ca="1" si="29"/>
        <v>1</v>
      </c>
      <c r="AG16" s="46"/>
      <c r="AH16" s="49">
        <f t="shared" ca="1" si="30"/>
        <v>467107.5814251898</v>
      </c>
      <c r="AI16" s="39">
        <f t="shared" ca="1" si="31"/>
        <v>4641651.4882962052</v>
      </c>
      <c r="AJ16" s="39">
        <f t="shared" ca="1" si="32"/>
        <v>15802063.828847529</v>
      </c>
      <c r="AK16" s="39">
        <f t="shared" ca="1" si="33"/>
        <v>5844445</v>
      </c>
      <c r="AL16" s="46"/>
      <c r="AM16" s="39">
        <f t="shared" ca="1" si="34"/>
        <v>26755267.898568925</v>
      </c>
      <c r="AN16" s="39">
        <f t="shared" ca="1" si="35"/>
        <v>118445318.66</v>
      </c>
      <c r="AO16" s="48">
        <f t="shared" ca="1" si="36"/>
        <v>5.8547437311317237E-2</v>
      </c>
      <c r="AP16" s="39">
        <f t="shared" ca="1" si="37"/>
        <v>472892237.23399997</v>
      </c>
      <c r="AQ16" s="45">
        <f t="shared" ca="1" si="38"/>
        <v>17.674733776793683</v>
      </c>
      <c r="AR16" s="48">
        <f t="shared" ca="1" si="39"/>
        <v>8.3096196618493046E-2</v>
      </c>
      <c r="AT16" s="39">
        <f t="shared" ca="1" si="40"/>
        <v>6242.6</v>
      </c>
      <c r="AU16" s="39">
        <f t="shared" ca="1" si="40"/>
        <v>65059.3</v>
      </c>
      <c r="AV16" s="39">
        <f t="shared" ca="1" si="40"/>
        <v>13932.9</v>
      </c>
      <c r="AX16" s="55">
        <f t="shared" ca="1" si="50"/>
        <v>24923.543737772987</v>
      </c>
      <c r="AY16" s="55">
        <f t="shared" ca="1" si="51"/>
        <v>259748.87212041361</v>
      </c>
      <c r="AZ16" s="55">
        <f t="shared" ca="1" si="52"/>
        <v>55627.021200143725</v>
      </c>
      <c r="BB16" s="39">
        <f t="shared" ca="1" si="42"/>
        <v>12960121</v>
      </c>
      <c r="BC16" s="39">
        <f t="shared" ca="1" si="42"/>
        <v>34806025</v>
      </c>
      <c r="BD16" s="39">
        <f t="shared" ca="1" si="42"/>
        <v>22595346</v>
      </c>
      <c r="BE16" s="39">
        <f t="shared" ca="1" si="42"/>
        <v>4410938</v>
      </c>
      <c r="BG16" s="56">
        <f t="shared" ca="1" si="43"/>
        <v>85234.8</v>
      </c>
      <c r="BH16" s="51">
        <f t="shared" ca="1" si="44"/>
        <v>0.76174457657322725</v>
      </c>
      <c r="BI16" s="56">
        <f t="shared" ca="1" si="45"/>
        <v>70361492</v>
      </c>
      <c r="BJ16" s="58">
        <f t="shared" ca="1" si="53"/>
        <v>1.2113842043031153E-3</v>
      </c>
      <c r="BK16" s="58">
        <f t="shared" ca="1" si="54"/>
        <v>4.8364443019248418</v>
      </c>
      <c r="BL16" s="58"/>
      <c r="BM16" s="60">
        <f t="shared" ca="1" si="55"/>
        <v>0.19521444814343628</v>
      </c>
      <c r="BO16">
        <f t="shared" ca="1" si="56"/>
        <v>5.9797109583274867E-2</v>
      </c>
    </row>
    <row r="17" spans="1:67" ht="21" customHeight="1" x14ac:dyDescent="0.2">
      <c r="A17" s="22">
        <f t="shared" si="57"/>
        <v>1974</v>
      </c>
      <c r="B17" s="39">
        <f t="shared" ca="1" si="46"/>
        <v>1545.2</v>
      </c>
      <c r="C17" s="39">
        <f t="shared" ca="1" si="15"/>
        <v>5660.1</v>
      </c>
      <c r="D17" s="45">
        <f t="shared" ca="1" si="15"/>
        <v>0.27300999999999997</v>
      </c>
      <c r="E17" s="46"/>
      <c r="F17" s="39">
        <f t="shared" ca="1" si="47"/>
        <v>53436536</v>
      </c>
      <c r="G17" s="39">
        <f t="shared" ca="1" si="16"/>
        <v>153369</v>
      </c>
      <c r="H17" s="46">
        <f t="shared" ca="1" si="16"/>
        <v>2.87</v>
      </c>
      <c r="I17" s="47">
        <f t="shared" ca="1" si="48"/>
        <v>4.0045119939496466E-5</v>
      </c>
      <c r="J17" s="39">
        <f t="shared" ca="1" si="17"/>
        <v>561770.63111241348</v>
      </c>
      <c r="K17" s="45">
        <f t="shared" ca="1" si="18"/>
        <v>10.512435441925206</v>
      </c>
      <c r="L17" s="48">
        <f t="shared" ca="1" si="19"/>
        <v>9.9255112606782284E-2</v>
      </c>
      <c r="M17" s="46"/>
      <c r="N17" s="39">
        <f t="shared" ca="1" si="49"/>
        <v>4112302</v>
      </c>
      <c r="O17" s="39">
        <f t="shared" ca="1" si="20"/>
        <v>18218101</v>
      </c>
      <c r="P17" s="39">
        <f t="shared" ca="1" si="20"/>
        <v>30055582</v>
      </c>
      <c r="Q17" s="39">
        <f t="shared" ca="1" si="20"/>
        <v>5820612</v>
      </c>
      <c r="R17" s="46"/>
      <c r="S17" s="46">
        <f t="shared" ca="1" si="21"/>
        <v>1.23</v>
      </c>
      <c r="T17" s="46">
        <f t="shared" ca="1" si="21"/>
        <v>0.98</v>
      </c>
      <c r="U17" s="46">
        <f t="shared" ca="1" si="21"/>
        <v>3.2</v>
      </c>
      <c r="V17" s="46">
        <f t="shared" ca="1" si="21"/>
        <v>7.42</v>
      </c>
      <c r="W17" s="46"/>
      <c r="X17" s="45">
        <f t="shared" ca="1" si="22"/>
        <v>4.505329475110802</v>
      </c>
      <c r="Y17" s="45">
        <f t="shared" ca="1" si="23"/>
        <v>3.5896121021208018</v>
      </c>
      <c r="Z17" s="45">
        <f t="shared" ca="1" si="24"/>
        <v>11.721182374272006</v>
      </c>
      <c r="AA17" s="45">
        <f t="shared" ca="1" si="25"/>
        <v>27.178491630343213</v>
      </c>
      <c r="AB17" s="46"/>
      <c r="AC17" s="48">
        <f t="shared" ca="1" si="26"/>
        <v>0.16576819407008087</v>
      </c>
      <c r="AD17" s="48">
        <f t="shared" ca="1" si="27"/>
        <v>0.13207547169811321</v>
      </c>
      <c r="AE17" s="48">
        <f t="shared" ca="1" si="28"/>
        <v>0.43126684636118601</v>
      </c>
      <c r="AF17" s="48">
        <f t="shared" ca="1" si="29"/>
        <v>1</v>
      </c>
      <c r="AG17" s="46"/>
      <c r="AH17" s="49">
        <f t="shared" ca="1" si="30"/>
        <v>446697.23299148201</v>
      </c>
      <c r="AI17" s="39">
        <f t="shared" ca="1" si="31"/>
        <v>4484226.4271196444</v>
      </c>
      <c r="AJ17" s="39">
        <f t="shared" ca="1" si="32"/>
        <v>15178071.579116335</v>
      </c>
      <c r="AK17" s="39">
        <f t="shared" ca="1" si="33"/>
        <v>5820612</v>
      </c>
      <c r="AL17" s="46"/>
      <c r="AM17" s="39">
        <f t="shared" ca="1" si="34"/>
        <v>25929607.239227463</v>
      </c>
      <c r="AN17" s="39">
        <f t="shared" ca="1" si="35"/>
        <v>162278673.88</v>
      </c>
      <c r="AO17" s="48">
        <f t="shared" ca="1" si="36"/>
        <v>5.8093055832664928E-2</v>
      </c>
      <c r="AP17" s="39">
        <f t="shared" ca="1" si="37"/>
        <v>594405603.75077844</v>
      </c>
      <c r="AQ17" s="45">
        <f t="shared" ca="1" si="38"/>
        <v>22.9238182540434</v>
      </c>
      <c r="AR17" s="48">
        <f t="shared" ca="1" si="39"/>
        <v>0.10502114540512554</v>
      </c>
      <c r="AT17" s="39">
        <f t="shared" ca="1" si="40"/>
        <v>11118.4</v>
      </c>
      <c r="AU17" s="39">
        <f t="shared" ca="1" si="40"/>
        <v>96706.5</v>
      </c>
      <c r="AV17" s="39">
        <f t="shared" ca="1" si="40"/>
        <v>16380.2</v>
      </c>
      <c r="AX17" s="55">
        <f t="shared" ca="1" si="50"/>
        <v>40725.248159408082</v>
      </c>
      <c r="AY17" s="55">
        <f t="shared" ca="1" si="51"/>
        <v>354223.28852422989</v>
      </c>
      <c r="AZ17" s="55">
        <f t="shared" ca="1" si="52"/>
        <v>59998.534852203222</v>
      </c>
      <c r="BB17" s="39">
        <f t="shared" ca="1" si="42"/>
        <v>12651009</v>
      </c>
      <c r="BC17" s="39">
        <f t="shared" ca="1" si="42"/>
        <v>33420613</v>
      </c>
      <c r="BD17" s="39">
        <f t="shared" ca="1" si="42"/>
        <v>21729561</v>
      </c>
      <c r="BE17" s="39">
        <f t="shared" ca="1" si="42"/>
        <v>4741851</v>
      </c>
      <c r="BG17" s="56">
        <f t="shared" ca="1" si="43"/>
        <v>124205.09999999999</v>
      </c>
      <c r="BH17" s="51">
        <f t="shared" ca="1" si="44"/>
        <v>0.80984488390743892</v>
      </c>
      <c r="BI17" s="56">
        <f t="shared" ca="1" si="45"/>
        <v>67801183</v>
      </c>
      <c r="BJ17" s="58">
        <f t="shared" ca="1" si="53"/>
        <v>1.8319016646066485E-3</v>
      </c>
      <c r="BK17" s="58">
        <f t="shared" ca="1" si="54"/>
        <v>6.7100167195584364</v>
      </c>
      <c r="BL17" s="58"/>
      <c r="BM17" s="60">
        <f t="shared" ca="1" si="55"/>
        <v>0.21822120566540668</v>
      </c>
      <c r="BO17">
        <f t="shared" ca="1" si="56"/>
        <v>8.038124514625937E-2</v>
      </c>
    </row>
    <row r="18" spans="1:67" ht="21" customHeight="1" x14ac:dyDescent="0.2">
      <c r="A18" s="22">
        <f t="shared" si="57"/>
        <v>1975</v>
      </c>
      <c r="B18" s="39">
        <f t="shared" ca="1" si="46"/>
        <v>1684.9</v>
      </c>
      <c r="C18" s="39">
        <f t="shared" ca="1" si="15"/>
        <v>5648.5</v>
      </c>
      <c r="D18" s="45">
        <f t="shared" ca="1" si="15"/>
        <v>0.29829</v>
      </c>
      <c r="E18" s="46"/>
      <c r="F18" s="39">
        <f t="shared" ca="1" si="47"/>
        <v>51560762</v>
      </c>
      <c r="G18" s="39">
        <f t="shared" ca="1" si="16"/>
        <v>171853.7</v>
      </c>
      <c r="H18" s="46">
        <f t="shared" ca="1" si="16"/>
        <v>3.33</v>
      </c>
      <c r="I18" s="47">
        <f t="shared" ca="1" si="48"/>
        <v>9.0985844354821513E-4</v>
      </c>
      <c r="J18" s="39">
        <f t="shared" ca="1" si="17"/>
        <v>576129.6054175467</v>
      </c>
      <c r="K18" s="45">
        <f t="shared" ca="1" si="18"/>
        <v>11.163632706426633</v>
      </c>
      <c r="L18" s="48">
        <f t="shared" ca="1" si="19"/>
        <v>0.10199637960709834</v>
      </c>
      <c r="M18" s="46"/>
      <c r="N18" s="39">
        <f t="shared" ca="1" si="49"/>
        <v>3866334</v>
      </c>
      <c r="O18" s="39">
        <f t="shared" ca="1" si="20"/>
        <v>16745481</v>
      </c>
      <c r="P18" s="39">
        <f t="shared" ca="1" si="20"/>
        <v>29533106</v>
      </c>
      <c r="Q18" s="39">
        <f t="shared" ca="1" si="20"/>
        <v>5961073</v>
      </c>
      <c r="R18" s="46"/>
      <c r="S18" s="46">
        <f t="shared" ca="1" si="21"/>
        <v>1.51</v>
      </c>
      <c r="T18" s="46">
        <f t="shared" ca="1" si="21"/>
        <v>1.28</v>
      </c>
      <c r="U18" s="46">
        <f t="shared" ca="1" si="21"/>
        <v>3.5</v>
      </c>
      <c r="V18" s="46">
        <f t="shared" ca="1" si="21"/>
        <v>8.61</v>
      </c>
      <c r="W18" s="46"/>
      <c r="X18" s="45">
        <f t="shared" ca="1" si="22"/>
        <v>5.0621878038150792</v>
      </c>
      <c r="Y18" s="45">
        <f t="shared" ca="1" si="23"/>
        <v>4.2911260853531799</v>
      </c>
      <c r="Z18" s="45">
        <f t="shared" ca="1" si="24"/>
        <v>11.733547889637601</v>
      </c>
      <c r="AA18" s="45">
        <f t="shared" ca="1" si="25"/>
        <v>28.864527808508498</v>
      </c>
      <c r="AB18" s="46"/>
      <c r="AC18" s="48">
        <f t="shared" ca="1" si="26"/>
        <v>0.17537746806039489</v>
      </c>
      <c r="AD18" s="48">
        <f t="shared" ca="1" si="27"/>
        <v>0.14866434378629501</v>
      </c>
      <c r="AE18" s="48">
        <f t="shared" ca="1" si="28"/>
        <v>0.4065040650406504</v>
      </c>
      <c r="AF18" s="48">
        <f t="shared" ca="1" si="29"/>
        <v>1</v>
      </c>
      <c r="AG18" s="46"/>
      <c r="AH18" s="49">
        <f t="shared" ca="1" si="30"/>
        <v>419979.05300264637</v>
      </c>
      <c r="AI18" s="39">
        <f t="shared" ca="1" si="31"/>
        <v>4121753.8773678928</v>
      </c>
      <c r="AJ18" s="39">
        <f t="shared" ca="1" si="32"/>
        <v>14914221.152717326</v>
      </c>
      <c r="AK18" s="39">
        <f t="shared" ca="1" si="33"/>
        <v>5961073</v>
      </c>
      <c r="AL18" s="46"/>
      <c r="AM18" s="39">
        <f t="shared" ca="1" si="34"/>
        <v>25417027.083087865</v>
      </c>
      <c r="AN18" s="39">
        <f t="shared" ca="1" si="35"/>
        <v>181963089.54999998</v>
      </c>
      <c r="AO18" s="48">
        <f t="shared" ca="1" si="36"/>
        <v>5.8825556563518636E-2</v>
      </c>
      <c r="AP18" s="39">
        <f t="shared" ca="1" si="37"/>
        <v>610020750.10895431</v>
      </c>
      <c r="AQ18" s="45">
        <f t="shared" ca="1" si="38"/>
        <v>24.000476063341555</v>
      </c>
      <c r="AR18" s="48">
        <f t="shared" ca="1" si="39"/>
        <v>0.10799637340494983</v>
      </c>
      <c r="AT18" s="39">
        <f t="shared" ca="1" si="40"/>
        <v>13021.1</v>
      </c>
      <c r="AU18" s="39">
        <f t="shared" ca="1" si="40"/>
        <v>103409.5</v>
      </c>
      <c r="AV18" s="39">
        <f t="shared" ca="1" si="40"/>
        <v>20061.2</v>
      </c>
      <c r="AX18" s="55">
        <f t="shared" ca="1" si="50"/>
        <v>43652.485835931475</v>
      </c>
      <c r="AY18" s="55">
        <f t="shared" ca="1" si="51"/>
        <v>346674.37728385127</v>
      </c>
      <c r="AZ18" s="55">
        <f t="shared" ca="1" si="52"/>
        <v>67254.014549599393</v>
      </c>
      <c r="BB18" s="39">
        <f t="shared" ca="1" si="42"/>
        <v>12655613</v>
      </c>
      <c r="BC18" s="39">
        <f t="shared" ca="1" si="42"/>
        <v>32698781</v>
      </c>
      <c r="BD18" s="39">
        <f t="shared" ca="1" si="42"/>
        <v>19977076</v>
      </c>
      <c r="BE18" s="39">
        <f t="shared" ca="1" si="42"/>
        <v>4687119</v>
      </c>
      <c r="BG18" s="56">
        <f t="shared" ca="1" si="43"/>
        <v>136491.80000000002</v>
      </c>
      <c r="BH18" s="51">
        <f t="shared" ca="1" si="44"/>
        <v>0.79423253616302714</v>
      </c>
      <c r="BI18" s="56">
        <f t="shared" ca="1" si="45"/>
        <v>65331470</v>
      </c>
      <c r="BJ18" s="58">
        <f t="shared" ca="1" si="53"/>
        <v>2.0892197894827719E-3</v>
      </c>
      <c r="BK18" s="58">
        <f t="shared" ca="1" si="54"/>
        <v>7.0039887005356265</v>
      </c>
      <c r="BL18" s="58"/>
      <c r="BM18" s="60">
        <f t="shared" ca="1" si="55"/>
        <v>0.23462487703405643</v>
      </c>
      <c r="BO18">
        <f t="shared" ca="1" si="56"/>
        <v>8.1008843254792587E-2</v>
      </c>
    </row>
    <row r="19" spans="1:67" ht="21" customHeight="1" x14ac:dyDescent="0.2">
      <c r="A19" s="22">
        <f t="shared" si="57"/>
        <v>1976</v>
      </c>
      <c r="B19" s="39">
        <f t="shared" ca="1" si="46"/>
        <v>1873.4</v>
      </c>
      <c r="C19" s="39">
        <f t="shared" ca="1" si="15"/>
        <v>5952.8</v>
      </c>
      <c r="D19" s="45">
        <f t="shared" ca="1" si="15"/>
        <v>0.31470999999999999</v>
      </c>
      <c r="E19" s="46"/>
      <c r="F19" s="39">
        <f t="shared" ca="1" si="47"/>
        <v>54328260</v>
      </c>
      <c r="G19" s="39">
        <f t="shared" ca="1" si="16"/>
        <v>193915.8</v>
      </c>
      <c r="H19" s="46">
        <f t="shared" ca="1" si="16"/>
        <v>3.57</v>
      </c>
      <c r="I19" s="47">
        <f t="shared" ca="1" si="48"/>
        <v>1.8610242177274016E-4</v>
      </c>
      <c r="J19" s="39">
        <f t="shared" ca="1" si="17"/>
        <v>616172.98465253727</v>
      </c>
      <c r="K19" s="45">
        <f t="shared" ca="1" si="18"/>
        <v>11.343776810396873</v>
      </c>
      <c r="L19" s="48">
        <f t="shared" ca="1" si="19"/>
        <v>0.1035100886089463</v>
      </c>
      <c r="M19" s="46"/>
      <c r="N19" s="39">
        <f t="shared" ca="1" si="49"/>
        <v>3845230</v>
      </c>
      <c r="O19" s="39">
        <f t="shared" ca="1" si="20"/>
        <v>17228147</v>
      </c>
      <c r="P19" s="39">
        <f t="shared" ca="1" si="20"/>
        <v>31664853</v>
      </c>
      <c r="Q19" s="39">
        <f t="shared" ca="1" si="20"/>
        <v>6330100</v>
      </c>
      <c r="R19" s="46"/>
      <c r="S19" s="46">
        <f t="shared" ca="1" si="21"/>
        <v>1.5</v>
      </c>
      <c r="T19" s="46">
        <f t="shared" ca="1" si="21"/>
        <v>1.56</v>
      </c>
      <c r="U19" s="46">
        <f t="shared" ca="1" si="21"/>
        <v>3.64</v>
      </c>
      <c r="V19" s="46">
        <f t="shared" ca="1" si="21"/>
        <v>9.1300000000000008</v>
      </c>
      <c r="W19" s="46"/>
      <c r="X19" s="45">
        <f t="shared" ca="1" si="22"/>
        <v>4.7662927774776778</v>
      </c>
      <c r="Y19" s="45">
        <f t="shared" ca="1" si="23"/>
        <v>4.9569444885767853</v>
      </c>
      <c r="Z19" s="45">
        <f t="shared" ca="1" si="24"/>
        <v>11.566203806679166</v>
      </c>
      <c r="AA19" s="45">
        <f t="shared" ca="1" si="25"/>
        <v>29.01083537224747</v>
      </c>
      <c r="AB19" s="46"/>
      <c r="AC19" s="48">
        <f t="shared" ca="1" si="26"/>
        <v>0.16429353778751365</v>
      </c>
      <c r="AD19" s="48">
        <f t="shared" ca="1" si="27"/>
        <v>0.17086527929901421</v>
      </c>
      <c r="AE19" s="48">
        <f t="shared" ca="1" si="28"/>
        <v>0.39868565169769987</v>
      </c>
      <c r="AF19" s="48">
        <f t="shared" ca="1" si="29"/>
        <v>1</v>
      </c>
      <c r="AG19" s="46"/>
      <c r="AH19" s="49">
        <f t="shared" ca="1" si="30"/>
        <v>417686.63906878344</v>
      </c>
      <c r="AI19" s="39">
        <f t="shared" ca="1" si="31"/>
        <v>4240557.8972090464</v>
      </c>
      <c r="AJ19" s="39">
        <f t="shared" ca="1" si="32"/>
        <v>15990753.577029273</v>
      </c>
      <c r="AK19" s="39">
        <f t="shared" ca="1" si="33"/>
        <v>6330100</v>
      </c>
      <c r="AL19" s="46"/>
      <c r="AM19" s="39">
        <f t="shared" ca="1" si="34"/>
        <v>26979098.113307104</v>
      </c>
      <c r="AN19" s="39">
        <f t="shared" ca="1" si="35"/>
        <v>205697632.24000001</v>
      </c>
      <c r="AO19" s="48">
        <f t="shared" ca="1" si="36"/>
        <v>6.0757464012731396E-2</v>
      </c>
      <c r="AP19" s="39">
        <f t="shared" ca="1" si="37"/>
        <v>653610092.59318113</v>
      </c>
      <c r="AQ19" s="45">
        <f t="shared" ca="1" si="38"/>
        <v>24.226536033493133</v>
      </c>
      <c r="AR19" s="48">
        <f t="shared" ca="1" si="39"/>
        <v>0.10979909909255899</v>
      </c>
      <c r="AT19" s="39">
        <f t="shared" ca="1" si="40"/>
        <v>14050.8</v>
      </c>
      <c r="AU19" s="39">
        <f t="shared" ca="1" si="40"/>
        <v>115514.8</v>
      </c>
      <c r="AV19" s="39">
        <f t="shared" ca="1" si="40"/>
        <v>25096.7</v>
      </c>
      <c r="AX19" s="55">
        <f t="shared" ca="1" si="50"/>
        <v>44646.8177051889</v>
      </c>
      <c r="AY19" s="55">
        <f t="shared" ca="1" si="51"/>
        <v>367051.5712878523</v>
      </c>
      <c r="AZ19" s="55">
        <f t="shared" ca="1" si="52"/>
        <v>79745.479965682694</v>
      </c>
      <c r="BB19" s="39">
        <f t="shared" ca="1" si="42"/>
        <v>13575890</v>
      </c>
      <c r="BC19" s="39">
        <f t="shared" ca="1" si="42"/>
        <v>35141985</v>
      </c>
      <c r="BD19" s="39">
        <f t="shared" ca="1" si="42"/>
        <v>20381227</v>
      </c>
      <c r="BE19" s="39">
        <f t="shared" ca="1" si="42"/>
        <v>4727151</v>
      </c>
      <c r="BG19" s="56">
        <f t="shared" ca="1" si="43"/>
        <v>154662.30000000002</v>
      </c>
      <c r="BH19" s="51">
        <f t="shared" ca="1" si="44"/>
        <v>0.79757451429950543</v>
      </c>
      <c r="BI19" s="56">
        <f t="shared" ca="1" si="45"/>
        <v>69099102</v>
      </c>
      <c r="BJ19" s="58">
        <f t="shared" ca="1" si="53"/>
        <v>2.2382678721352997E-3</v>
      </c>
      <c r="BK19" s="58">
        <f t="shared" ca="1" si="54"/>
        <v>7.1121599953458734</v>
      </c>
      <c r="BL19" s="58"/>
      <c r="BM19" s="60">
        <f t="shared" ca="1" si="55"/>
        <v>0.2319365266870341</v>
      </c>
      <c r="BO19">
        <f t="shared" ca="1" si="56"/>
        <v>8.255700864737911E-2</v>
      </c>
    </row>
    <row r="20" spans="1:67" ht="21" customHeight="1" x14ac:dyDescent="0.2">
      <c r="A20" s="22">
        <f t="shared" si="57"/>
        <v>1977</v>
      </c>
      <c r="B20" s="39">
        <f t="shared" ca="1" si="46"/>
        <v>2081.8000000000002</v>
      </c>
      <c r="C20" s="39">
        <f t="shared" ca="1" si="15"/>
        <v>6228.1</v>
      </c>
      <c r="D20" s="45">
        <f t="shared" ca="1" si="15"/>
        <v>0.33426</v>
      </c>
      <c r="E20" s="46"/>
      <c r="F20" s="39">
        <f t="shared" ca="1" si="47"/>
        <v>55360160</v>
      </c>
      <c r="G20" s="39">
        <f t="shared" ca="1" si="16"/>
        <v>220499.1</v>
      </c>
      <c r="H20" s="46">
        <f t="shared" ca="1" si="16"/>
        <v>3.98</v>
      </c>
      <c r="I20" s="47">
        <f t="shared" ca="1" si="48"/>
        <v>7.5131009605019182E-4</v>
      </c>
      <c r="J20" s="39">
        <f t="shared" ca="1" si="17"/>
        <v>659663.43564889603</v>
      </c>
      <c r="K20" s="45">
        <f t="shared" ca="1" si="18"/>
        <v>11.906898821276851</v>
      </c>
      <c r="L20" s="48">
        <f t="shared" ca="1" si="19"/>
        <v>0.1059175232971467</v>
      </c>
      <c r="M20" s="46"/>
      <c r="N20" s="39">
        <f t="shared" ca="1" si="49"/>
        <v>3648362</v>
      </c>
      <c r="O20" s="39">
        <f t="shared" ca="1" si="20"/>
        <v>16690621</v>
      </c>
      <c r="P20" s="39">
        <f t="shared" ca="1" si="20"/>
        <v>33182018</v>
      </c>
      <c r="Q20" s="39">
        <f t="shared" ca="1" si="20"/>
        <v>6647808</v>
      </c>
      <c r="R20" s="46"/>
      <c r="S20" s="46">
        <f t="shared" ca="1" si="21"/>
        <v>1.56</v>
      </c>
      <c r="T20" s="46">
        <f t="shared" ca="1" si="21"/>
        <v>1.88</v>
      </c>
      <c r="U20" s="46">
        <f t="shared" ca="1" si="21"/>
        <v>3.92</v>
      </c>
      <c r="V20" s="46">
        <f t="shared" ca="1" si="21"/>
        <v>10.11</v>
      </c>
      <c r="W20" s="46"/>
      <c r="X20" s="45">
        <f t="shared" ca="1" si="22"/>
        <v>4.6670256686411777</v>
      </c>
      <c r="Y20" s="45">
        <f t="shared" ca="1" si="23"/>
        <v>5.6243642673368033</v>
      </c>
      <c r="Z20" s="45">
        <f t="shared" ca="1" si="24"/>
        <v>11.727397834021421</v>
      </c>
      <c r="AA20" s="45">
        <f t="shared" ca="1" si="25"/>
        <v>30.245916352539936</v>
      </c>
      <c r="AB20" s="46"/>
      <c r="AC20" s="48">
        <f t="shared" ca="1" si="26"/>
        <v>0.15430267062314543</v>
      </c>
      <c r="AD20" s="48">
        <f t="shared" ca="1" si="27"/>
        <v>0.18595450049455983</v>
      </c>
      <c r="AE20" s="48">
        <f t="shared" ca="1" si="28"/>
        <v>0.38773491592482695</v>
      </c>
      <c r="AF20" s="48">
        <f t="shared" ca="1" si="29"/>
        <v>1</v>
      </c>
      <c r="AG20" s="46"/>
      <c r="AH20" s="49">
        <f t="shared" ca="1" si="30"/>
        <v>396301.92781348969</v>
      </c>
      <c r="AI20" s="39">
        <f t="shared" ca="1" si="31"/>
        <v>4108250.5675667352</v>
      </c>
      <c r="AJ20" s="39">
        <f t="shared" ca="1" si="32"/>
        <v>16756922.036762644</v>
      </c>
      <c r="AK20" s="39">
        <f t="shared" ca="1" si="33"/>
        <v>6647808</v>
      </c>
      <c r="AL20" s="46"/>
      <c r="AM20" s="39">
        <f t="shared" ca="1" si="34"/>
        <v>27909282.53214287</v>
      </c>
      <c r="AN20" s="39">
        <f t="shared" ca="1" si="35"/>
        <v>234352661.63999999</v>
      </c>
      <c r="AO20" s="48">
        <f t="shared" ca="1" si="36"/>
        <v>6.2828200387212332E-2</v>
      </c>
      <c r="AP20" s="39">
        <f t="shared" ca="1" si="37"/>
        <v>701108902.1719619</v>
      </c>
      <c r="AQ20" s="45">
        <f t="shared" ca="1" si="38"/>
        <v>25.120993395817361</v>
      </c>
      <c r="AR20" s="48">
        <f t="shared" ca="1" si="39"/>
        <v>0.11257213067537707</v>
      </c>
      <c r="AT20" s="39">
        <f t="shared" ca="1" si="40"/>
        <v>15415.7</v>
      </c>
      <c r="AU20" s="39">
        <f t="shared" ca="1" si="40"/>
        <v>131124.29999999999</v>
      </c>
      <c r="AV20" s="39">
        <f t="shared" ca="1" si="40"/>
        <v>29602.400000000001</v>
      </c>
      <c r="AX20" s="55">
        <f t="shared" ca="1" si="50"/>
        <v>46118.889487225511</v>
      </c>
      <c r="AY20" s="55">
        <f t="shared" ca="1" si="51"/>
        <v>392282.35505295277</v>
      </c>
      <c r="AZ20" s="55">
        <f t="shared" ca="1" si="52"/>
        <v>88561.00041883564</v>
      </c>
      <c r="BB20" s="39">
        <f t="shared" ca="1" si="42"/>
        <v>13907111</v>
      </c>
      <c r="BC20" s="39">
        <f t="shared" ca="1" si="42"/>
        <v>37082642</v>
      </c>
      <c r="BD20" s="39">
        <f t="shared" ca="1" si="42"/>
        <v>19972477</v>
      </c>
      <c r="BE20" s="39">
        <f t="shared" ca="1" si="42"/>
        <v>4208966</v>
      </c>
      <c r="BG20" s="56">
        <f t="shared" ca="1" si="43"/>
        <v>176142.4</v>
      </c>
      <c r="BH20" s="51">
        <f t="shared" ca="1" si="44"/>
        <v>0.79883500658279327</v>
      </c>
      <c r="BI20" s="56">
        <f t="shared" ca="1" si="45"/>
        <v>70962230</v>
      </c>
      <c r="BJ20" s="58">
        <f t="shared" ca="1" si="53"/>
        <v>2.4821993333636778E-3</v>
      </c>
      <c r="BK20" s="58">
        <f t="shared" ca="1" si="54"/>
        <v>7.4259538483925018</v>
      </c>
      <c r="BL20" s="58"/>
      <c r="BM20" s="60">
        <f t="shared" ca="1" si="55"/>
        <v>0.21073830752189626</v>
      </c>
      <c r="BO20">
        <f t="shared" ca="1" si="56"/>
        <v>8.4610625420309338E-2</v>
      </c>
    </row>
    <row r="21" spans="1:67" ht="21" customHeight="1" x14ac:dyDescent="0.2">
      <c r="A21" s="22">
        <f t="shared" si="57"/>
        <v>1978</v>
      </c>
      <c r="B21" s="39">
        <f t="shared" ca="1" si="46"/>
        <v>2351.6</v>
      </c>
      <c r="C21" s="39">
        <f t="shared" ca="1" si="15"/>
        <v>6572.8</v>
      </c>
      <c r="D21" s="45">
        <f t="shared" ca="1" si="15"/>
        <v>0.35777999999999999</v>
      </c>
      <c r="E21" s="46"/>
      <c r="F21" s="39">
        <f t="shared" ca="1" si="47"/>
        <v>56541989</v>
      </c>
      <c r="G21" s="39">
        <f t="shared" ca="1" si="16"/>
        <v>239280.2</v>
      </c>
      <c r="H21" s="46">
        <f t="shared" ca="1" si="16"/>
        <v>4.2300000000000004</v>
      </c>
      <c r="I21" s="47">
        <f t="shared" ca="1" si="48"/>
        <v>4.4962571077745414E-4</v>
      </c>
      <c r="J21" s="39">
        <f t="shared" ca="1" si="17"/>
        <v>668791.43607803679</v>
      </c>
      <c r="K21" s="45">
        <f t="shared" ca="1" si="18"/>
        <v>11.822907932248869</v>
      </c>
      <c r="L21" s="48">
        <f t="shared" ca="1" si="19"/>
        <v>0.101752083687702</v>
      </c>
      <c r="M21" s="46"/>
      <c r="N21" s="39">
        <f t="shared" ca="1" si="49"/>
        <v>3516242</v>
      </c>
      <c r="O21" s="39">
        <f t="shared" ca="1" si="20"/>
        <v>16774441</v>
      </c>
      <c r="P21" s="39">
        <f t="shared" ca="1" si="20"/>
        <v>33932256</v>
      </c>
      <c r="Q21" s="39">
        <f t="shared" ca="1" si="20"/>
        <v>6885149</v>
      </c>
      <c r="R21" s="46"/>
      <c r="S21" s="46">
        <f t="shared" ca="1" si="21"/>
        <v>1.73</v>
      </c>
      <c r="T21" s="46">
        <f t="shared" ca="1" si="21"/>
        <v>2.08</v>
      </c>
      <c r="U21" s="46">
        <f t="shared" ca="1" si="21"/>
        <v>4.05</v>
      </c>
      <c r="V21" s="46">
        <f t="shared" ca="1" si="21"/>
        <v>10.92</v>
      </c>
      <c r="W21" s="46"/>
      <c r="X21" s="45">
        <f t="shared" ca="1" si="22"/>
        <v>4.8353736933310971</v>
      </c>
      <c r="Y21" s="45">
        <f t="shared" ca="1" si="23"/>
        <v>5.813628486779586</v>
      </c>
      <c r="Z21" s="45">
        <f t="shared" ca="1" si="24"/>
        <v>11.319805467046788</v>
      </c>
      <c r="AA21" s="45">
        <f t="shared" ca="1" si="25"/>
        <v>30.521549555592824</v>
      </c>
      <c r="AB21" s="46"/>
      <c r="AC21" s="48">
        <f t="shared" ca="1" si="26"/>
        <v>0.15842490842490842</v>
      </c>
      <c r="AD21" s="48">
        <f t="shared" ca="1" si="27"/>
        <v>0.19047619047619049</v>
      </c>
      <c r="AE21" s="48">
        <f t="shared" ca="1" si="28"/>
        <v>0.37087912087912084</v>
      </c>
      <c r="AF21" s="48">
        <f t="shared" ca="1" si="29"/>
        <v>1</v>
      </c>
      <c r="AG21" s="46"/>
      <c r="AH21" s="49">
        <f t="shared" ca="1" si="30"/>
        <v>381950.44331093255</v>
      </c>
      <c r="AI21" s="39">
        <f t="shared" ca="1" si="31"/>
        <v>4128882.1284040129</v>
      </c>
      <c r="AJ21" s="39">
        <f t="shared" ca="1" si="32"/>
        <v>17135792.293388288</v>
      </c>
      <c r="AK21" s="39">
        <f t="shared" ca="1" si="33"/>
        <v>6885149</v>
      </c>
      <c r="AL21" s="46"/>
      <c r="AM21" s="39">
        <f t="shared" ca="1" si="34"/>
        <v>28531773.865103234</v>
      </c>
      <c r="AN21" s="39">
        <f t="shared" ca="1" si="35"/>
        <v>253585399.81999999</v>
      </c>
      <c r="AO21" s="48">
        <f t="shared" ca="1" si="36"/>
        <v>5.9784302336758244E-2</v>
      </c>
      <c r="AP21" s="39">
        <f t="shared" ca="1" si="37"/>
        <v>708774665.4927609</v>
      </c>
      <c r="AQ21" s="45">
        <f t="shared" ca="1" si="38"/>
        <v>24.841591302518072</v>
      </c>
      <c r="AR21" s="48">
        <f t="shared" ca="1" si="39"/>
        <v>0.10783526102228271</v>
      </c>
      <c r="AT21" s="39">
        <f t="shared" ca="1" si="40"/>
        <v>17550.900000000001</v>
      </c>
      <c r="AU21" s="39">
        <f t="shared" ca="1" si="40"/>
        <v>138049.60000000001</v>
      </c>
      <c r="AV21" s="39">
        <f t="shared" ca="1" si="40"/>
        <v>33185.300000000003</v>
      </c>
      <c r="AX21" s="55">
        <f t="shared" ca="1" si="50"/>
        <v>49055.005869528766</v>
      </c>
      <c r="AY21" s="55">
        <f t="shared" ca="1" si="51"/>
        <v>385850.52266756108</v>
      </c>
      <c r="AZ21" s="55">
        <f t="shared" ca="1" si="52"/>
        <v>92753.367991503168</v>
      </c>
      <c r="BB21" s="39">
        <f t="shared" ca="1" si="42"/>
        <v>13769684</v>
      </c>
      <c r="BC21" s="39">
        <f t="shared" ca="1" si="42"/>
        <v>37919119</v>
      </c>
      <c r="BD21" s="39">
        <f t="shared" ca="1" si="42"/>
        <v>20067662</v>
      </c>
      <c r="BE21" s="39">
        <f t="shared" ca="1" si="42"/>
        <v>5005439</v>
      </c>
      <c r="BG21" s="56">
        <f t="shared" ca="1" si="43"/>
        <v>188785.8</v>
      </c>
      <c r="BH21" s="51">
        <f t="shared" ca="1" si="44"/>
        <v>0.78897376381330331</v>
      </c>
      <c r="BI21" s="56">
        <f t="shared" ca="1" si="45"/>
        <v>71756465</v>
      </c>
      <c r="BJ21" s="58">
        <f t="shared" ca="1" si="53"/>
        <v>2.630923917447717E-3</v>
      </c>
      <c r="BK21" s="58">
        <f t="shared" ca="1" si="54"/>
        <v>7.3534683812614379</v>
      </c>
      <c r="BL21" s="58"/>
      <c r="BM21" s="60">
        <f t="shared" ca="1" si="55"/>
        <v>0.24942810976186464</v>
      </c>
      <c r="BO21">
        <f t="shared" ca="1" si="56"/>
        <v>8.0279724442932479E-2</v>
      </c>
    </row>
    <row r="22" spans="1:67" ht="21" customHeight="1" x14ac:dyDescent="0.2">
      <c r="A22" s="22">
        <f t="shared" si="57"/>
        <v>1979</v>
      </c>
      <c r="B22" s="39">
        <f t="shared" ca="1" si="46"/>
        <v>2627.3</v>
      </c>
      <c r="C22" s="39">
        <f t="shared" ca="1" si="15"/>
        <v>6780.9</v>
      </c>
      <c r="D22" s="45">
        <f t="shared" ca="1" si="15"/>
        <v>0.38746000000000003</v>
      </c>
      <c r="E22" s="46"/>
      <c r="F22" s="39">
        <f t="shared" ca="1" si="47"/>
        <v>57060872</v>
      </c>
      <c r="G22" s="39">
        <f t="shared" ca="1" si="16"/>
        <v>297574.59999999998</v>
      </c>
      <c r="H22" s="46">
        <f t="shared" ca="1" si="16"/>
        <v>5.22</v>
      </c>
      <c r="I22" s="47">
        <f t="shared" ca="1" si="48"/>
        <v>9.5153228803804464E-4</v>
      </c>
      <c r="J22" s="39">
        <f t="shared" ca="1" si="17"/>
        <v>768013.73044959467</v>
      </c>
      <c r="K22" s="45">
        <f t="shared" ca="1" si="18"/>
        <v>13.472358436999947</v>
      </c>
      <c r="L22" s="48">
        <f t="shared" ca="1" si="19"/>
        <v>0.1132625128458874</v>
      </c>
      <c r="M22" s="46"/>
      <c r="N22" s="39">
        <f t="shared" ca="1" si="49"/>
        <v>3771397</v>
      </c>
      <c r="O22" s="39">
        <f t="shared" ca="1" si="20"/>
        <v>17083190</v>
      </c>
      <c r="P22" s="39">
        <f t="shared" ca="1" si="20"/>
        <v>33792377</v>
      </c>
      <c r="Q22" s="39">
        <f t="shared" ca="1" si="20"/>
        <v>7066590</v>
      </c>
      <c r="R22" s="46"/>
      <c r="S22" s="46">
        <f t="shared" ca="1" si="21"/>
        <v>1.74</v>
      </c>
      <c r="T22" s="46">
        <f t="shared" ca="1" si="21"/>
        <v>2.4500000000000002</v>
      </c>
      <c r="U22" s="46">
        <f t="shared" ca="1" si="21"/>
        <v>5.47</v>
      </c>
      <c r="V22" s="46">
        <f t="shared" ca="1" si="21"/>
        <v>11.78</v>
      </c>
      <c r="W22" s="46"/>
      <c r="X22" s="45">
        <f t="shared" ca="1" si="22"/>
        <v>4.4907861456666494</v>
      </c>
      <c r="Y22" s="45">
        <f t="shared" ca="1" si="23"/>
        <v>6.3232333660248798</v>
      </c>
      <c r="Z22" s="45">
        <f t="shared" ca="1" si="24"/>
        <v>14.117586331492282</v>
      </c>
      <c r="AA22" s="45">
        <f t="shared" ca="1" si="25"/>
        <v>30.403138388478808</v>
      </c>
      <c r="AB22" s="46"/>
      <c r="AC22" s="48">
        <f t="shared" ca="1" si="26"/>
        <v>0.14770797962648557</v>
      </c>
      <c r="AD22" s="48">
        <f t="shared" ca="1" si="27"/>
        <v>0.20797962648556878</v>
      </c>
      <c r="AE22" s="48">
        <f t="shared" ca="1" si="28"/>
        <v>0.46434634974533107</v>
      </c>
      <c r="AF22" s="48">
        <f t="shared" ca="1" si="29"/>
        <v>1</v>
      </c>
      <c r="AG22" s="46"/>
      <c r="AH22" s="49">
        <f t="shared" ca="1" si="30"/>
        <v>409666.55766341486</v>
      </c>
      <c r="AI22" s="39">
        <f t="shared" ca="1" si="31"/>
        <v>4204877.9978498332</v>
      </c>
      <c r="AJ22" s="39">
        <f t="shared" ca="1" si="32"/>
        <v>17065153.385966193</v>
      </c>
      <c r="AK22" s="39">
        <f t="shared" ca="1" si="33"/>
        <v>7066590</v>
      </c>
      <c r="AL22" s="46"/>
      <c r="AM22" s="39">
        <f t="shared" ca="1" si="34"/>
        <v>28746287.941479441</v>
      </c>
      <c r="AN22" s="39">
        <f t="shared" ca="1" si="35"/>
        <v>316504778.66999996</v>
      </c>
      <c r="AO22" s="48">
        <f t="shared" ca="1" si="36"/>
        <v>6.3614900834950278E-2</v>
      </c>
      <c r="AP22" s="39">
        <f t="shared" ca="1" si="37"/>
        <v>816870847.75202596</v>
      </c>
      <c r="AQ22" s="45">
        <f t="shared" ca="1" si="38"/>
        <v>28.416568059673633</v>
      </c>
      <c r="AR22" s="48">
        <f t="shared" ca="1" si="39"/>
        <v>0.1204676963688958</v>
      </c>
      <c r="AT22" s="39">
        <f t="shared" ca="1" si="40"/>
        <v>20375.7</v>
      </c>
      <c r="AU22" s="39">
        <f t="shared" ca="1" si="40"/>
        <v>183206.5</v>
      </c>
      <c r="AV22" s="39">
        <f t="shared" ca="1" si="40"/>
        <v>40785.300000000003</v>
      </c>
      <c r="AX22" s="55">
        <f t="shared" ca="1" si="50"/>
        <v>52587.880039229851</v>
      </c>
      <c r="AY22" s="55">
        <f t="shared" ca="1" si="51"/>
        <v>472839.77700923965</v>
      </c>
      <c r="AZ22" s="55">
        <f t="shared" ca="1" si="52"/>
        <v>105263.25298095288</v>
      </c>
      <c r="BB22" s="39">
        <f t="shared" ca="1" si="42"/>
        <v>15041652</v>
      </c>
      <c r="BC22" s="39">
        <f t="shared" ca="1" si="42"/>
        <v>37075744</v>
      </c>
      <c r="BD22" s="39">
        <f t="shared" ca="1" si="42"/>
        <v>20687615</v>
      </c>
      <c r="BE22" s="39">
        <f t="shared" ca="1" si="42"/>
        <v>5122854</v>
      </c>
      <c r="BG22" s="56">
        <f t="shared" ca="1" si="43"/>
        <v>244367.5</v>
      </c>
      <c r="BH22" s="51">
        <f t="shared" ca="1" si="44"/>
        <v>0.82119744091061542</v>
      </c>
      <c r="BI22" s="56">
        <f t="shared" ca="1" si="45"/>
        <v>72805011</v>
      </c>
      <c r="BJ22" s="58">
        <f t="shared" ca="1" si="53"/>
        <v>3.3564653949437629E-3</v>
      </c>
      <c r="BK22" s="58">
        <f t="shared" ca="1" si="54"/>
        <v>8.6627403988637859</v>
      </c>
      <c r="BL22" s="58"/>
      <c r="BM22" s="60">
        <f t="shared" ca="1" si="55"/>
        <v>0.24762902828576422</v>
      </c>
      <c r="BO22">
        <f t="shared" ca="1" si="56"/>
        <v>9.3010885700148441E-2</v>
      </c>
    </row>
    <row r="23" spans="1:67" ht="21" customHeight="1" x14ac:dyDescent="0.2">
      <c r="A23" s="22">
        <f t="shared" si="57"/>
        <v>1980</v>
      </c>
      <c r="B23" s="39">
        <f t="shared" ca="1" si="46"/>
        <v>2857.3</v>
      </c>
      <c r="C23" s="39">
        <f t="shared" ca="1" si="15"/>
        <v>6763.5</v>
      </c>
      <c r="D23" s="45">
        <f t="shared" ca="1" si="15"/>
        <v>0.42246</v>
      </c>
      <c r="E23" s="46"/>
      <c r="F23" s="39">
        <f t="shared" ca="1" si="47"/>
        <v>54302757</v>
      </c>
      <c r="G23" s="39">
        <f t="shared" ca="1" si="16"/>
        <v>374350</v>
      </c>
      <c r="H23" s="46">
        <f t="shared" ca="1" si="16"/>
        <v>6.89</v>
      </c>
      <c r="I23" s="47">
        <f t="shared" ca="1" si="48"/>
        <v>5.449559770269374E-4</v>
      </c>
      <c r="J23" s="39">
        <f t="shared" ca="1" si="17"/>
        <v>886119.39591914031</v>
      </c>
      <c r="K23" s="45">
        <f t="shared" ca="1" si="18"/>
        <v>16.30923637740851</v>
      </c>
      <c r="L23" s="48">
        <f t="shared" ca="1" si="19"/>
        <v>0.13101529415882127</v>
      </c>
      <c r="M23" s="46"/>
      <c r="N23" s="39">
        <f t="shared" ca="1" si="49"/>
        <v>3303056</v>
      </c>
      <c r="O23" s="39">
        <f t="shared" ca="1" si="20"/>
        <v>16580381</v>
      </c>
      <c r="P23" s="39">
        <f t="shared" ca="1" si="20"/>
        <v>31525972</v>
      </c>
      <c r="Q23" s="39">
        <f t="shared" ca="1" si="20"/>
        <v>7146253</v>
      </c>
      <c r="R23" s="46"/>
      <c r="S23" s="46">
        <f t="shared" ca="1" si="21"/>
        <v>1.87</v>
      </c>
      <c r="T23" s="46">
        <f t="shared" ca="1" si="21"/>
        <v>3.05</v>
      </c>
      <c r="U23" s="46">
        <f t="shared" ca="1" si="21"/>
        <v>7.68</v>
      </c>
      <c r="V23" s="46">
        <f t="shared" ca="1" si="21"/>
        <v>13.95</v>
      </c>
      <c r="W23" s="46"/>
      <c r="X23" s="45">
        <f t="shared" ca="1" si="22"/>
        <v>4.4264545755811202</v>
      </c>
      <c r="Y23" s="45">
        <f t="shared" ca="1" si="23"/>
        <v>7.2196184254130564</v>
      </c>
      <c r="Z23" s="45">
        <f t="shared" ca="1" si="24"/>
        <v>18.179235903990911</v>
      </c>
      <c r="AA23" s="45">
        <f t="shared" ca="1" si="25"/>
        <v>33.020877716233485</v>
      </c>
      <c r="AB23" s="46"/>
      <c r="AC23" s="48">
        <f t="shared" ca="1" si="26"/>
        <v>0.13405017921146956</v>
      </c>
      <c r="AD23" s="48">
        <f t="shared" ca="1" si="27"/>
        <v>0.21863799283154123</v>
      </c>
      <c r="AE23" s="48">
        <f t="shared" ca="1" si="28"/>
        <v>0.55053763440860226</v>
      </c>
      <c r="AF23" s="48">
        <f t="shared" ca="1" si="29"/>
        <v>1</v>
      </c>
      <c r="AG23" s="46"/>
      <c r="AH23" s="49">
        <f t="shared" ca="1" si="30"/>
        <v>358793.19554252399</v>
      </c>
      <c r="AI23" s="39">
        <f t="shared" ca="1" si="31"/>
        <v>4081115.9545065886</v>
      </c>
      <c r="AJ23" s="39">
        <f t="shared" ca="1" si="32"/>
        <v>15920618.659695806</v>
      </c>
      <c r="AK23" s="39">
        <f t="shared" ca="1" si="33"/>
        <v>7146253</v>
      </c>
      <c r="AL23" s="46"/>
      <c r="AM23" s="39">
        <f t="shared" ca="1" si="34"/>
        <v>27506780.809744917</v>
      </c>
      <c r="AN23" s="39">
        <f t="shared" ca="1" si="35"/>
        <v>398556571.07999992</v>
      </c>
      <c r="AO23" s="48">
        <f t="shared" ca="1" si="36"/>
        <v>6.4662938640309628E-2</v>
      </c>
      <c r="AP23" s="39">
        <f t="shared" ca="1" si="37"/>
        <v>943418480.04544806</v>
      </c>
      <c r="AQ23" s="45">
        <f t="shared" ca="1" si="38"/>
        <v>34.297669602661031</v>
      </c>
      <c r="AR23" s="48">
        <f t="shared" ca="1" si="39"/>
        <v>0.13948712808595526</v>
      </c>
      <c r="AT23" s="39">
        <f t="shared" ca="1" si="40"/>
        <v>22606.7</v>
      </c>
      <c r="AU23" s="39">
        <f t="shared" ca="1" si="40"/>
        <v>237679.4</v>
      </c>
      <c r="AV23" s="39">
        <f t="shared" ca="1" si="40"/>
        <v>51061.5</v>
      </c>
      <c r="AX23" s="55">
        <f t="shared" ca="1" si="50"/>
        <v>53512.048477962409</v>
      </c>
      <c r="AY23" s="55">
        <f t="shared" ca="1" si="51"/>
        <v>562608.05756758037</v>
      </c>
      <c r="AZ23" s="55">
        <f t="shared" ca="1" si="52"/>
        <v>120867.06433745206</v>
      </c>
      <c r="BB23" s="39">
        <f t="shared" ca="1" si="42"/>
        <v>15460982</v>
      </c>
      <c r="BC23" s="39">
        <f t="shared" ca="1" si="42"/>
        <v>34159533</v>
      </c>
      <c r="BD23" s="39">
        <f t="shared" ca="1" si="42"/>
        <v>20383954</v>
      </c>
      <c r="BE23" s="39">
        <f t="shared" ca="1" si="42"/>
        <v>5424534</v>
      </c>
      <c r="BG23" s="56">
        <f t="shared" ca="1" si="43"/>
        <v>311347.59999999998</v>
      </c>
      <c r="BH23" s="51">
        <f t="shared" ca="1" si="44"/>
        <v>0.83170188326432481</v>
      </c>
      <c r="BI23" s="56">
        <f t="shared" ca="1" si="45"/>
        <v>70004469</v>
      </c>
      <c r="BJ23" s="58">
        <f t="shared" ca="1" si="53"/>
        <v>4.4475389135513613E-3</v>
      </c>
      <c r="BK23" s="58">
        <f t="shared" ca="1" si="54"/>
        <v>10.527716028858025</v>
      </c>
      <c r="BL23" s="58"/>
      <c r="BM23" s="60">
        <f t="shared" ca="1" si="55"/>
        <v>0.26611784936327859</v>
      </c>
      <c r="BO23">
        <f t="shared" ca="1" si="56"/>
        <v>0.10896566688832113</v>
      </c>
    </row>
    <row r="24" spans="1:67" ht="21" customHeight="1" x14ac:dyDescent="0.2">
      <c r="A24" s="22">
        <f t="shared" si="57"/>
        <v>1981</v>
      </c>
      <c r="B24" s="39">
        <f t="shared" ca="1" si="46"/>
        <v>3207</v>
      </c>
      <c r="C24" s="39">
        <f t="shared" ca="1" si="15"/>
        <v>6935.2</v>
      </c>
      <c r="D24" s="45">
        <f t="shared" ca="1" si="15"/>
        <v>0.46243000000000001</v>
      </c>
      <c r="E24" s="46"/>
      <c r="F24" s="39">
        <f t="shared" ca="1" si="47"/>
        <v>53224583</v>
      </c>
      <c r="G24" s="39">
        <f t="shared" ca="1" si="16"/>
        <v>427901.2</v>
      </c>
      <c r="H24" s="46">
        <f t="shared" ca="1" si="16"/>
        <v>8.0399999999999991</v>
      </c>
      <c r="I24" s="47">
        <f t="shared" ca="1" si="48"/>
        <v>5.7133095209640149E-5</v>
      </c>
      <c r="J24" s="39">
        <f t="shared" ca="1" si="17"/>
        <v>925331.83400730917</v>
      </c>
      <c r="K24" s="45">
        <f t="shared" ca="1" si="18"/>
        <v>17.386415241225698</v>
      </c>
      <c r="L24" s="48">
        <f t="shared" ca="1" si="19"/>
        <v>0.13342725288431556</v>
      </c>
      <c r="M24" s="46"/>
      <c r="N24" s="39">
        <f t="shared" ca="1" si="49"/>
        <v>3314852</v>
      </c>
      <c r="O24" s="39">
        <f t="shared" ca="1" si="20"/>
        <v>16169680</v>
      </c>
      <c r="P24" s="39">
        <f t="shared" ca="1" si="20"/>
        <v>29682416</v>
      </c>
      <c r="Q24" s="39">
        <f t="shared" ca="1" si="20"/>
        <v>7325911</v>
      </c>
      <c r="R24" s="46"/>
      <c r="S24" s="46">
        <f t="shared" ca="1" si="21"/>
        <v>2.0699999999999998</v>
      </c>
      <c r="T24" s="46">
        <f t="shared" ca="1" si="21"/>
        <v>3.6</v>
      </c>
      <c r="U24" s="46">
        <f t="shared" ca="1" si="21"/>
        <v>8.9499999999999993</v>
      </c>
      <c r="V24" s="46">
        <f t="shared" ca="1" si="21"/>
        <v>16.14</v>
      </c>
      <c r="W24" s="46"/>
      <c r="X24" s="45">
        <f t="shared" ca="1" si="22"/>
        <v>4.4763531777782575</v>
      </c>
      <c r="Y24" s="45">
        <f t="shared" ca="1" si="23"/>
        <v>7.7849620483100148</v>
      </c>
      <c r="Z24" s="45">
        <f t="shared" ca="1" si="24"/>
        <v>19.35428064788184</v>
      </c>
      <c r="AA24" s="45">
        <f t="shared" ca="1" si="25"/>
        <v>34.902579849923235</v>
      </c>
      <c r="AB24" s="46"/>
      <c r="AC24" s="48">
        <f t="shared" ca="1" si="26"/>
        <v>0.12825278810408919</v>
      </c>
      <c r="AD24" s="48">
        <f t="shared" ca="1" si="27"/>
        <v>0.22304832713754646</v>
      </c>
      <c r="AE24" s="48">
        <f t="shared" ca="1" si="28"/>
        <v>0.55452292441140016</v>
      </c>
      <c r="AF24" s="48">
        <f t="shared" ca="1" si="29"/>
        <v>1</v>
      </c>
      <c r="AG24" s="46"/>
      <c r="AH24" s="49">
        <f t="shared" ca="1" si="30"/>
        <v>360074.53153398755</v>
      </c>
      <c r="AI24" s="39">
        <f t="shared" ca="1" si="31"/>
        <v>3980025.4908054341</v>
      </c>
      <c r="AJ24" s="39">
        <f t="shared" ca="1" si="32"/>
        <v>14989622.715976952</v>
      </c>
      <c r="AK24" s="39">
        <f t="shared" ca="1" si="33"/>
        <v>7325911</v>
      </c>
      <c r="AL24" s="46"/>
      <c r="AM24" s="39">
        <f t="shared" ca="1" si="34"/>
        <v>26655633.738316372</v>
      </c>
      <c r="AN24" s="39">
        <f t="shared" ca="1" si="35"/>
        <v>448970418.38</v>
      </c>
      <c r="AO24" s="48">
        <f t="shared" ca="1" si="36"/>
        <v>4.9238512020999187E-2</v>
      </c>
      <c r="AP24" s="39">
        <f t="shared" ca="1" si="37"/>
        <v>970893796.63949144</v>
      </c>
      <c r="AQ24" s="45">
        <f t="shared" ca="1" si="38"/>
        <v>36.423587079975206</v>
      </c>
      <c r="AR24" s="48">
        <f t="shared" ca="1" si="39"/>
        <v>0.13999701227938885</v>
      </c>
      <c r="AT24" s="39">
        <f t="shared" ca="1" si="40"/>
        <v>26158.6</v>
      </c>
      <c r="AU24" s="39">
        <f t="shared" ca="1" si="40"/>
        <v>265109</v>
      </c>
      <c r="AV24" s="39">
        <f t="shared" ca="1" si="40"/>
        <v>60543.8</v>
      </c>
      <c r="AX24" s="55">
        <f t="shared" ca="1" si="50"/>
        <v>56567.696732478427</v>
      </c>
      <c r="AY24" s="55">
        <f t="shared" ca="1" si="51"/>
        <v>573295.41768483876</v>
      </c>
      <c r="AZ24" s="55">
        <f t="shared" ca="1" si="52"/>
        <v>130925.32923901996</v>
      </c>
      <c r="BB24" s="39">
        <f t="shared" ca="1" si="42"/>
        <v>15937724</v>
      </c>
      <c r="BC24" s="39">
        <f t="shared" ca="1" si="42"/>
        <v>31884079</v>
      </c>
      <c r="BD24" s="39">
        <f t="shared" ca="1" si="42"/>
        <v>19928435</v>
      </c>
      <c r="BE24" s="39">
        <f t="shared" ca="1" si="42"/>
        <v>5417152</v>
      </c>
      <c r="BG24" s="56">
        <f t="shared" ca="1" si="43"/>
        <v>351811.39999999997</v>
      </c>
      <c r="BH24" s="51">
        <f t="shared" ca="1" si="44"/>
        <v>0.8221790450692823</v>
      </c>
      <c r="BI24" s="56">
        <f t="shared" ca="1" si="45"/>
        <v>67750238</v>
      </c>
      <c r="BJ24" s="58">
        <f t="shared" ca="1" si="53"/>
        <v>5.1927699501217979E-3</v>
      </c>
      <c r="BK24" s="58">
        <f t="shared" ca="1" si="54"/>
        <v>11.2293102742508</v>
      </c>
      <c r="BL24" s="58"/>
      <c r="BM24" s="60">
        <f t="shared" ca="1" si="55"/>
        <v>0.27183027668755727</v>
      </c>
      <c r="BO24">
        <f t="shared" ca="1" si="56"/>
        <v>0.10970109136264421</v>
      </c>
    </row>
    <row r="25" spans="1:67" ht="21" customHeight="1" x14ac:dyDescent="0.2">
      <c r="A25" s="22">
        <f t="shared" si="57"/>
        <v>1982</v>
      </c>
      <c r="B25" s="39">
        <f t="shared" ca="1" si="46"/>
        <v>3343.8</v>
      </c>
      <c r="C25" s="39">
        <f t="shared" ca="1" si="15"/>
        <v>6810.1</v>
      </c>
      <c r="D25" s="45">
        <f t="shared" ca="1" si="15"/>
        <v>0.49099999999999999</v>
      </c>
      <c r="E25" s="46"/>
      <c r="F25" s="39">
        <f t="shared" ca="1" si="47"/>
        <v>50371098</v>
      </c>
      <c r="G25" s="39">
        <f t="shared" ca="1" si="16"/>
        <v>426482</v>
      </c>
      <c r="H25" s="46">
        <f t="shared" ca="1" si="16"/>
        <v>8.4700000000000006</v>
      </c>
      <c r="I25" s="47">
        <f t="shared" ca="1" si="48"/>
        <v>3.7797623346368911E-4</v>
      </c>
      <c r="J25" s="39">
        <f t="shared" ca="1" si="17"/>
        <v>868598.77800407331</v>
      </c>
      <c r="K25" s="45">
        <f t="shared" ca="1" si="18"/>
        <v>17.250509164969451</v>
      </c>
      <c r="L25" s="48">
        <f t="shared" ca="1" si="19"/>
        <v>0.12754411148992165</v>
      </c>
      <c r="M25" s="46"/>
      <c r="N25" s="39">
        <f t="shared" ca="1" si="49"/>
        <v>2731296</v>
      </c>
      <c r="O25" s="39">
        <f t="shared" ca="1" si="20"/>
        <v>15180176</v>
      </c>
      <c r="P25" s="39">
        <f t="shared" ca="1" si="20"/>
        <v>28611864</v>
      </c>
      <c r="Q25" s="39">
        <f t="shared" ca="1" si="20"/>
        <v>7118934</v>
      </c>
      <c r="R25" s="46"/>
      <c r="S25" s="46">
        <f t="shared" ca="1" si="21"/>
        <v>2.1</v>
      </c>
      <c r="T25" s="46">
        <f t="shared" ca="1" si="21"/>
        <v>4.45</v>
      </c>
      <c r="U25" s="46">
        <f t="shared" ca="1" si="21"/>
        <v>8.61</v>
      </c>
      <c r="V25" s="46">
        <f t="shared" ca="1" si="21"/>
        <v>18.16</v>
      </c>
      <c r="W25" s="46"/>
      <c r="X25" s="45">
        <f t="shared" ca="1" si="22"/>
        <v>4.2769857433808554</v>
      </c>
      <c r="Y25" s="45">
        <f t="shared" ca="1" si="23"/>
        <v>9.0631364562118133</v>
      </c>
      <c r="Z25" s="45">
        <f t="shared" ca="1" si="24"/>
        <v>17.535641547861506</v>
      </c>
      <c r="AA25" s="45">
        <f t="shared" ca="1" si="25"/>
        <v>36.985743380855396</v>
      </c>
      <c r="AB25" s="46"/>
      <c r="AC25" s="48">
        <f t="shared" ca="1" si="26"/>
        <v>0.11563876651982379</v>
      </c>
      <c r="AD25" s="48">
        <f t="shared" ca="1" si="27"/>
        <v>0.24504405286343614</v>
      </c>
      <c r="AE25" s="48">
        <f t="shared" ca="1" si="28"/>
        <v>0.47411894273127753</v>
      </c>
      <c r="AF25" s="48">
        <f t="shared" ca="1" si="29"/>
        <v>1</v>
      </c>
      <c r="AG25" s="46"/>
      <c r="AH25" s="49">
        <f t="shared" ca="1" si="30"/>
        <v>296685.98407429777</v>
      </c>
      <c r="AI25" s="39">
        <f t="shared" ca="1" si="31"/>
        <v>3736467.7244641124</v>
      </c>
      <c r="AJ25" s="39">
        <f t="shared" ca="1" si="32"/>
        <v>14448993.8609055</v>
      </c>
      <c r="AK25" s="39">
        <f t="shared" ca="1" si="33"/>
        <v>7118934</v>
      </c>
      <c r="AL25" s="46"/>
      <c r="AM25" s="39">
        <f t="shared" ca="1" si="34"/>
        <v>25601081.569443911</v>
      </c>
      <c r="AN25" s="39">
        <f t="shared" ca="1" si="35"/>
        <v>448915495.27999997</v>
      </c>
      <c r="AO25" s="48">
        <f t="shared" ca="1" si="36"/>
        <v>5.2601271050126318E-2</v>
      </c>
      <c r="AP25" s="39">
        <f t="shared" ca="1" si="37"/>
        <v>914288177.75967407</v>
      </c>
      <c r="AQ25" s="45">
        <f t="shared" ca="1" si="38"/>
        <v>35.712873117474842</v>
      </c>
      <c r="AR25" s="48">
        <f t="shared" ca="1" si="39"/>
        <v>0.13425309386925052</v>
      </c>
      <c r="AT25" s="39">
        <f t="shared" ca="1" si="40"/>
        <v>26348.9</v>
      </c>
      <c r="AU25" s="39">
        <f t="shared" ca="1" si="40"/>
        <v>242421.1</v>
      </c>
      <c r="AV25" s="39">
        <f t="shared" ca="1" si="40"/>
        <v>68291.5</v>
      </c>
      <c r="AX25" s="55">
        <f t="shared" ca="1" si="50"/>
        <v>53663.747454175158</v>
      </c>
      <c r="AY25" s="55">
        <f t="shared" ca="1" si="51"/>
        <v>493729.32790224033</v>
      </c>
      <c r="AZ25" s="55">
        <f t="shared" ca="1" si="52"/>
        <v>139086.55804480653</v>
      </c>
      <c r="BB25" s="39">
        <f t="shared" ca="1" si="42"/>
        <v>15269049</v>
      </c>
      <c r="BC25" s="39">
        <f t="shared" ca="1" si="42"/>
        <v>30179518</v>
      </c>
      <c r="BD25" s="39">
        <f t="shared" ca="1" si="42"/>
        <v>18515242</v>
      </c>
      <c r="BE25" s="39">
        <f t="shared" ca="1" si="42"/>
        <v>5980929</v>
      </c>
      <c r="BG25" s="56">
        <f t="shared" ca="1" si="43"/>
        <v>337061.5</v>
      </c>
      <c r="BH25" s="51">
        <f t="shared" ca="1" si="44"/>
        <v>0.79032995530878203</v>
      </c>
      <c r="BI25" s="56">
        <f t="shared" ca="1" si="45"/>
        <v>63963809</v>
      </c>
      <c r="BJ25" s="58">
        <f t="shared" ca="1" si="53"/>
        <v>5.2695657946198919E-3</v>
      </c>
      <c r="BK25" s="58">
        <f t="shared" ca="1" si="54"/>
        <v>10.732313227331757</v>
      </c>
      <c r="BL25" s="58"/>
      <c r="BM25" s="60">
        <f t="shared" ca="1" si="55"/>
        <v>0.32302731986975919</v>
      </c>
      <c r="BO25">
        <f t="shared" ca="1" si="56"/>
        <v>0.10080193193372808</v>
      </c>
    </row>
    <row r="26" spans="1:67" ht="21" customHeight="1" x14ac:dyDescent="0.2">
      <c r="A26" s="22">
        <f t="shared" si="57"/>
        <v>1983</v>
      </c>
      <c r="B26" s="39">
        <f t="shared" ca="1" si="46"/>
        <v>3634</v>
      </c>
      <c r="C26" s="39">
        <f t="shared" ca="1" si="15"/>
        <v>7122.3</v>
      </c>
      <c r="D26" s="45">
        <f t="shared" ca="1" si="15"/>
        <v>0.51022999999999996</v>
      </c>
      <c r="E26" s="46"/>
      <c r="F26" s="39">
        <f t="shared" ca="1" si="47"/>
        <v>49691706</v>
      </c>
      <c r="G26" s="39">
        <f t="shared" ca="1" si="16"/>
        <v>417621.5</v>
      </c>
      <c r="H26" s="46">
        <f t="shared" ca="1" si="16"/>
        <v>8.4</v>
      </c>
      <c r="I26" s="47">
        <f t="shared" ca="1" si="48"/>
        <v>5.0564829636396758E-4</v>
      </c>
      <c r="J26" s="39">
        <f t="shared" ca="1" si="17"/>
        <v>818496.56037473306</v>
      </c>
      <c r="K26" s="45">
        <f t="shared" ca="1" si="18"/>
        <v>16.4631636712855</v>
      </c>
      <c r="L26" s="48">
        <f t="shared" ca="1" si="19"/>
        <v>0.11492061089708311</v>
      </c>
      <c r="M26" s="46"/>
      <c r="N26" s="39">
        <f t="shared" ca="1" si="49"/>
        <v>2682078</v>
      </c>
      <c r="O26" s="39">
        <f t="shared" ca="1" si="20"/>
        <v>14355657</v>
      </c>
      <c r="P26" s="39">
        <f t="shared" ca="1" si="20"/>
        <v>28453547</v>
      </c>
      <c r="Q26" s="39">
        <f t="shared" ca="1" si="20"/>
        <v>7339057</v>
      </c>
      <c r="R26" s="46"/>
      <c r="S26" s="46">
        <f t="shared" ca="1" si="21"/>
        <v>1.91</v>
      </c>
      <c r="T26" s="46">
        <f t="shared" ca="1" si="21"/>
        <v>5.03</v>
      </c>
      <c r="U26" s="46">
        <f t="shared" ca="1" si="21"/>
        <v>7.97</v>
      </c>
      <c r="V26" s="46">
        <f t="shared" ca="1" si="21"/>
        <v>18.62</v>
      </c>
      <c r="W26" s="46"/>
      <c r="X26" s="45">
        <f t="shared" ca="1" si="22"/>
        <v>3.7434098347803935</v>
      </c>
      <c r="Y26" s="45">
        <f t="shared" ca="1" si="23"/>
        <v>9.8582991984007222</v>
      </c>
      <c r="Z26" s="45">
        <f t="shared" ca="1" si="24"/>
        <v>15.620406483350646</v>
      </c>
      <c r="AA26" s="45">
        <f t="shared" ca="1" si="25"/>
        <v>36.493346138016193</v>
      </c>
      <c r="AB26" s="46"/>
      <c r="AC26" s="48">
        <f t="shared" ca="1" si="26"/>
        <v>0.10257787325456498</v>
      </c>
      <c r="AD26" s="48">
        <f t="shared" ca="1" si="27"/>
        <v>0.27013963480128894</v>
      </c>
      <c r="AE26" s="48">
        <f t="shared" ca="1" si="28"/>
        <v>0.42803437164339414</v>
      </c>
      <c r="AF26" s="48">
        <f t="shared" ca="1" si="29"/>
        <v>1</v>
      </c>
      <c r="AG26" s="46"/>
      <c r="AH26" s="49">
        <f t="shared" ca="1" si="30"/>
        <v>291339.69763585652</v>
      </c>
      <c r="AI26" s="39">
        <f t="shared" ca="1" si="31"/>
        <v>3533519.5747386138</v>
      </c>
      <c r="AJ26" s="39">
        <f t="shared" ca="1" si="32"/>
        <v>14369043.761845998</v>
      </c>
      <c r="AK26" s="39">
        <f t="shared" ca="1" si="33"/>
        <v>7339057</v>
      </c>
      <c r="AL26" s="46"/>
      <c r="AM26" s="39">
        <f t="shared" ca="1" si="34"/>
        <v>25532960.034220468</v>
      </c>
      <c r="AN26" s="39">
        <f t="shared" ca="1" si="35"/>
        <v>440759734.62</v>
      </c>
      <c r="AO26" s="48">
        <f t="shared" ca="1" si="36"/>
        <v>5.5404797454154067E-2</v>
      </c>
      <c r="AP26" s="39">
        <f t="shared" ca="1" si="37"/>
        <v>863845196.51921678</v>
      </c>
      <c r="AQ26" s="45">
        <f t="shared" ca="1" si="38"/>
        <v>33.832551939197451</v>
      </c>
      <c r="AR26" s="48">
        <f t="shared" ca="1" si="39"/>
        <v>0.12128776406714364</v>
      </c>
      <c r="AT26" s="39">
        <f t="shared" ca="1" si="40"/>
        <v>26987.3</v>
      </c>
      <c r="AU26" s="39">
        <f t="shared" ca="1" si="40"/>
        <v>221591.7</v>
      </c>
      <c r="AV26" s="39">
        <f t="shared" ca="1" si="40"/>
        <v>71999.600000000006</v>
      </c>
      <c r="AX26" s="55">
        <f t="shared" ca="1" si="50"/>
        <v>52892.421065009898</v>
      </c>
      <c r="AY26" s="55">
        <f t="shared" ca="1" si="51"/>
        <v>434297.66967838042</v>
      </c>
      <c r="AZ26" s="55">
        <f t="shared" ca="1" si="52"/>
        <v>141112.04750798663</v>
      </c>
      <c r="BB26" s="39">
        <f t="shared" ca="1" si="42"/>
        <v>15867060</v>
      </c>
      <c r="BC26" s="39">
        <f t="shared" ca="1" si="42"/>
        <v>29997230</v>
      </c>
      <c r="BD26" s="39">
        <f t="shared" ca="1" si="42"/>
        <v>17347750</v>
      </c>
      <c r="BE26" s="39">
        <f t="shared" ca="1" si="42"/>
        <v>6495612</v>
      </c>
      <c r="BG26" s="56">
        <f t="shared" ca="1" si="43"/>
        <v>320578.59999999998</v>
      </c>
      <c r="BH26" s="51">
        <f t="shared" ca="1" si="44"/>
        <v>0.76762954014580187</v>
      </c>
      <c r="BI26" s="56">
        <f t="shared" ca="1" si="45"/>
        <v>63212040</v>
      </c>
      <c r="BJ26" s="58">
        <f t="shared" ca="1" si="53"/>
        <v>5.0714800534834813E-3</v>
      </c>
      <c r="BK26" s="58">
        <f t="shared" ca="1" si="54"/>
        <v>9.9395959733521781</v>
      </c>
      <c r="BL26" s="58"/>
      <c r="BM26" s="60">
        <f t="shared" ca="1" si="55"/>
        <v>0.37443541669668978</v>
      </c>
      <c r="BO26">
        <f t="shared" ca="1" si="56"/>
        <v>8.8216455696202525E-2</v>
      </c>
    </row>
    <row r="27" spans="1:67" ht="21" customHeight="1" x14ac:dyDescent="0.2">
      <c r="A27" s="22">
        <f t="shared" si="57"/>
        <v>1984</v>
      </c>
      <c r="B27" s="39">
        <f t="shared" ca="1" si="46"/>
        <v>4037.6</v>
      </c>
      <c r="C27" s="39">
        <f t="shared" ca="1" si="15"/>
        <v>7637.7</v>
      </c>
      <c r="D27" s="45">
        <f t="shared" ca="1" si="15"/>
        <v>0.52864</v>
      </c>
      <c r="E27" s="46"/>
      <c r="F27" s="39">
        <f t="shared" ca="1" si="47"/>
        <v>52455547</v>
      </c>
      <c r="G27" s="39">
        <f t="shared" ca="1" si="16"/>
        <v>435312.9</v>
      </c>
      <c r="H27" s="46">
        <f t="shared" ca="1" si="16"/>
        <v>8.3000000000000007</v>
      </c>
      <c r="I27" s="47">
        <f t="shared" ca="1" si="48"/>
        <v>1.5653131345296387E-4</v>
      </c>
      <c r="J27" s="39">
        <f t="shared" ca="1" si="17"/>
        <v>823458.11894673132</v>
      </c>
      <c r="K27" s="45">
        <f t="shared" ca="1" si="18"/>
        <v>15.700665859564166</v>
      </c>
      <c r="L27" s="48">
        <f t="shared" ca="1" si="19"/>
        <v>0.10781476619774123</v>
      </c>
      <c r="M27" s="46"/>
      <c r="N27" s="39">
        <f t="shared" ca="1" si="49"/>
        <v>3051952</v>
      </c>
      <c r="O27" s="39">
        <f t="shared" ca="1" si="20"/>
        <v>15287818</v>
      </c>
      <c r="P27" s="39">
        <f t="shared" ca="1" si="20"/>
        <v>29706968</v>
      </c>
      <c r="Q27" s="39">
        <f t="shared" ca="1" si="20"/>
        <v>7799137</v>
      </c>
      <c r="R27" s="46"/>
      <c r="S27" s="46">
        <f t="shared" ca="1" si="21"/>
        <v>1.9</v>
      </c>
      <c r="T27" s="46">
        <f t="shared" ca="1" si="21"/>
        <v>5.04</v>
      </c>
      <c r="U27" s="46">
        <f t="shared" ca="1" si="21"/>
        <v>7.83</v>
      </c>
      <c r="V27" s="46">
        <f t="shared" ca="1" si="21"/>
        <v>18.5</v>
      </c>
      <c r="W27" s="46"/>
      <c r="X27" s="45">
        <f t="shared" ca="1" si="22"/>
        <v>3.5941283292978206</v>
      </c>
      <c r="Y27" s="45">
        <f t="shared" ca="1" si="23"/>
        <v>9.5338983050847457</v>
      </c>
      <c r="Z27" s="45">
        <f t="shared" ca="1" si="24"/>
        <v>14.81159200968523</v>
      </c>
      <c r="AA27" s="45">
        <f t="shared" ca="1" si="25"/>
        <v>34.995460048426153</v>
      </c>
      <c r="AB27" s="46"/>
      <c r="AC27" s="48">
        <f t="shared" ca="1" si="26"/>
        <v>0.10270270270270268</v>
      </c>
      <c r="AD27" s="48">
        <f t="shared" ca="1" si="27"/>
        <v>0.27243243243243243</v>
      </c>
      <c r="AE27" s="48">
        <f t="shared" ca="1" si="28"/>
        <v>0.42324324324324319</v>
      </c>
      <c r="AF27" s="48">
        <f t="shared" ca="1" si="29"/>
        <v>1</v>
      </c>
      <c r="AG27" s="46"/>
      <c r="AH27" s="49">
        <f t="shared" ca="1" si="30"/>
        <v>331517.11951671337</v>
      </c>
      <c r="AI27" s="39">
        <f t="shared" ca="1" si="31"/>
        <v>3762962.8625176349</v>
      </c>
      <c r="AJ27" s="39">
        <f t="shared" ca="1" si="32"/>
        <v>15002021.478157317</v>
      </c>
      <c r="AK27" s="39">
        <f t="shared" ca="1" si="33"/>
        <v>7799137</v>
      </c>
      <c r="AL27" s="46"/>
      <c r="AM27" s="39">
        <f t="shared" ca="1" si="34"/>
        <v>26895638.460191667</v>
      </c>
      <c r="AN27" s="39">
        <f t="shared" ca="1" si="35"/>
        <v>459738905.45999998</v>
      </c>
      <c r="AO27" s="48">
        <f t="shared" ca="1" si="36"/>
        <v>5.6111375197013355E-2</v>
      </c>
      <c r="AP27" s="39">
        <f t="shared" ca="1" si="37"/>
        <v>869663486.41797829</v>
      </c>
      <c r="AQ27" s="45">
        <f t="shared" ca="1" si="38"/>
        <v>32.33474035967469</v>
      </c>
      <c r="AR27" s="48">
        <f t="shared" ca="1" si="39"/>
        <v>0.11386440099564098</v>
      </c>
      <c r="AT27" s="39">
        <f t="shared" ca="1" si="40"/>
        <v>28963.200000000001</v>
      </c>
      <c r="AU27" s="39">
        <f t="shared" ca="1" si="40"/>
        <v>225792</v>
      </c>
      <c r="AV27" s="39">
        <f t="shared" ca="1" si="40"/>
        <v>77168.7</v>
      </c>
      <c r="AX27" s="55">
        <f t="shared" ca="1" si="50"/>
        <v>54788.135593220337</v>
      </c>
      <c r="AY27" s="55">
        <f t="shared" ca="1" si="51"/>
        <v>427118.64406779659</v>
      </c>
      <c r="AZ27" s="55">
        <f t="shared" ca="1" si="52"/>
        <v>145975.9004237288</v>
      </c>
      <c r="BB27" s="39">
        <f t="shared" ca="1" si="42"/>
        <v>17013578</v>
      </c>
      <c r="BC27" s="39">
        <f t="shared" ca="1" si="42"/>
        <v>30993084</v>
      </c>
      <c r="BD27" s="39">
        <f t="shared" ca="1" si="42"/>
        <v>18502834</v>
      </c>
      <c r="BE27" s="39">
        <f t="shared" ca="1" si="42"/>
        <v>6438347</v>
      </c>
      <c r="BG27" s="56">
        <f t="shared" ca="1" si="43"/>
        <v>331923.90000000002</v>
      </c>
      <c r="BH27" s="51">
        <f t="shared" ca="1" si="44"/>
        <v>0.76249497775048702</v>
      </c>
      <c r="BI27" s="56">
        <f t="shared" ca="1" si="45"/>
        <v>66509496</v>
      </c>
      <c r="BJ27" s="58">
        <f t="shared" ca="1" si="53"/>
        <v>4.9906241959794739E-3</v>
      </c>
      <c r="BK27" s="58">
        <f t="shared" ca="1" si="54"/>
        <v>9.4404967387626257</v>
      </c>
      <c r="BL27" s="58"/>
      <c r="BM27" s="60">
        <f t="shared" ca="1" si="55"/>
        <v>0.34796545221126668</v>
      </c>
      <c r="BO27">
        <f t="shared" ca="1" si="56"/>
        <v>8.2208217753120677E-2</v>
      </c>
    </row>
    <row r="28" spans="1:67" ht="21" customHeight="1" x14ac:dyDescent="0.2">
      <c r="A28" s="22">
        <f t="shared" si="57"/>
        <v>1985</v>
      </c>
      <c r="B28" s="39">
        <f t="shared" ca="1" si="46"/>
        <v>4339</v>
      </c>
      <c r="C28" s="39">
        <f t="shared" ca="1" si="15"/>
        <v>7956.2</v>
      </c>
      <c r="D28" s="45">
        <f t="shared" ca="1" si="15"/>
        <v>0.54535999999999996</v>
      </c>
      <c r="E28" s="46"/>
      <c r="F28" s="39">
        <f t="shared" ca="1" si="47"/>
        <v>52320669</v>
      </c>
      <c r="G28" s="39">
        <f t="shared" ca="1" si="16"/>
        <v>438343.1</v>
      </c>
      <c r="H28" s="46">
        <f t="shared" ca="1" si="16"/>
        <v>8.3800000000000008</v>
      </c>
      <c r="I28" s="47">
        <f t="shared" ca="1" si="48"/>
        <v>2.3749939259925444E-4</v>
      </c>
      <c r="J28" s="39">
        <f t="shared" ca="1" si="17"/>
        <v>803768.336511662</v>
      </c>
      <c r="K28" s="45">
        <f t="shared" ca="1" si="18"/>
        <v>15.365996772773951</v>
      </c>
      <c r="L28" s="48">
        <f t="shared" ca="1" si="19"/>
        <v>0.10102399170315741</v>
      </c>
      <c r="M28" s="46"/>
      <c r="N28" s="39">
        <f t="shared" ca="1" si="49"/>
        <v>2953639</v>
      </c>
      <c r="O28" s="39">
        <f t="shared" ca="1" si="20"/>
        <v>14686135</v>
      </c>
      <c r="P28" s="39">
        <f t="shared" ca="1" si="20"/>
        <v>29776828</v>
      </c>
      <c r="Q28" s="39">
        <f t="shared" ca="1" si="20"/>
        <v>7929399</v>
      </c>
      <c r="R28" s="46"/>
      <c r="S28" s="46">
        <f t="shared" ca="1" si="21"/>
        <v>1.84</v>
      </c>
      <c r="T28" s="46">
        <f t="shared" ca="1" si="21"/>
        <v>4.91</v>
      </c>
      <c r="U28" s="46">
        <f t="shared" ca="1" si="21"/>
        <v>7.78</v>
      </c>
      <c r="V28" s="46">
        <f t="shared" ca="1" si="21"/>
        <v>19.05</v>
      </c>
      <c r="W28" s="46"/>
      <c r="X28" s="45">
        <f t="shared" ca="1" si="22"/>
        <v>3.3739181458119409</v>
      </c>
      <c r="Y28" s="45">
        <f t="shared" ca="1" si="23"/>
        <v>9.0032272260525161</v>
      </c>
      <c r="Z28" s="45">
        <f t="shared" ca="1" si="24"/>
        <v>14.265806073052664</v>
      </c>
      <c r="AA28" s="45">
        <f t="shared" ca="1" si="25"/>
        <v>34.931054716150804</v>
      </c>
      <c r="AB28" s="46"/>
      <c r="AC28" s="48">
        <f t="shared" ca="1" si="26"/>
        <v>9.658792650918635E-2</v>
      </c>
      <c r="AD28" s="48">
        <f t="shared" ca="1" si="27"/>
        <v>0.25774278215223095</v>
      </c>
      <c r="AE28" s="48">
        <f t="shared" ca="1" si="28"/>
        <v>0.40839895013123356</v>
      </c>
      <c r="AF28" s="48">
        <f t="shared" ca="1" si="29"/>
        <v>1</v>
      </c>
      <c r="AG28" s="46"/>
      <c r="AH28" s="49">
        <f t="shared" ca="1" si="30"/>
        <v>320837.90746781923</v>
      </c>
      <c r="AI28" s="39">
        <f t="shared" ca="1" si="31"/>
        <v>3614863.847732909</v>
      </c>
      <c r="AJ28" s="39">
        <f t="shared" ca="1" si="32"/>
        <v>15037300.784361305</v>
      </c>
      <c r="AK28" s="39">
        <f t="shared" ca="1" si="33"/>
        <v>7929399</v>
      </c>
      <c r="AL28" s="46"/>
      <c r="AM28" s="39">
        <f t="shared" ca="1" si="34"/>
        <v>26902401.539562032</v>
      </c>
      <c r="AN28" s="39">
        <f t="shared" ca="1" si="35"/>
        <v>460262391.4000001</v>
      </c>
      <c r="AO28" s="48">
        <f t="shared" ca="1" si="36"/>
        <v>5.0004873807754938E-2</v>
      </c>
      <c r="AP28" s="39">
        <f t="shared" ca="1" si="37"/>
        <v>843960670.74959671</v>
      </c>
      <c r="AQ28" s="45">
        <f t="shared" ca="1" si="38"/>
        <v>31.371201916991993</v>
      </c>
      <c r="AR28" s="48">
        <f t="shared" ca="1" si="39"/>
        <v>0.10607568365982947</v>
      </c>
      <c r="AT28" s="39">
        <f t="shared" ca="1" si="40"/>
        <v>29487</v>
      </c>
      <c r="AU28" s="39">
        <f t="shared" ca="1" si="40"/>
        <v>224287.7</v>
      </c>
      <c r="AV28" s="39">
        <f t="shared" ca="1" si="40"/>
        <v>72937.7</v>
      </c>
      <c r="AX28" s="55">
        <f t="shared" ca="1" si="50"/>
        <v>54068.871937802556</v>
      </c>
      <c r="AY28" s="55">
        <f t="shared" ca="1" si="51"/>
        <v>411265.40266979614</v>
      </c>
      <c r="AZ28" s="55">
        <f t="shared" ca="1" si="52"/>
        <v>133742.29866510196</v>
      </c>
      <c r="BB28" s="39">
        <f t="shared" ca="1" si="42"/>
        <v>17540071</v>
      </c>
      <c r="BC28" s="39">
        <f t="shared" ca="1" si="42"/>
        <v>30867287</v>
      </c>
      <c r="BD28" s="39">
        <f t="shared" ca="1" si="42"/>
        <v>17843043</v>
      </c>
      <c r="BE28" s="39">
        <f t="shared" ca="1" si="42"/>
        <v>6084017</v>
      </c>
      <c r="BG28" s="56">
        <f t="shared" ca="1" si="43"/>
        <v>326712.40000000002</v>
      </c>
      <c r="BH28" s="51">
        <f t="shared" ca="1" si="44"/>
        <v>0.74533487580847069</v>
      </c>
      <c r="BI28" s="56">
        <f t="shared" ca="1" si="45"/>
        <v>66250401</v>
      </c>
      <c r="BJ28" s="58">
        <f t="shared" ca="1" si="53"/>
        <v>4.9314780751289339E-3</v>
      </c>
      <c r="BK28" s="58">
        <f t="shared" ca="1" si="54"/>
        <v>9.0426105235604641</v>
      </c>
      <c r="BL28" s="58"/>
      <c r="BM28" s="60">
        <f t="shared" ca="1" si="55"/>
        <v>0.34097418248669803</v>
      </c>
      <c r="BO28">
        <f t="shared" ca="1" si="56"/>
        <v>7.5296704309748788E-2</v>
      </c>
    </row>
    <row r="29" spans="1:67" ht="21" customHeight="1" x14ac:dyDescent="0.2">
      <c r="A29" s="22">
        <f t="shared" si="57"/>
        <v>1986</v>
      </c>
      <c r="B29" s="39">
        <f t="shared" ca="1" si="46"/>
        <v>4579.6000000000004</v>
      </c>
      <c r="C29" s="39">
        <f t="shared" ca="1" si="46"/>
        <v>8231.7000000000007</v>
      </c>
      <c r="D29" s="45">
        <f t="shared" ca="1" si="46"/>
        <v>0.55633999999999995</v>
      </c>
      <c r="E29" s="46"/>
      <c r="F29" s="39">
        <f t="shared" ca="1" si="47"/>
        <v>52458385</v>
      </c>
      <c r="G29" s="39">
        <f t="shared" ca="1" si="47"/>
        <v>384090.9</v>
      </c>
      <c r="H29" s="46">
        <f t="shared" ca="1" si="47"/>
        <v>7.32</v>
      </c>
      <c r="I29" s="47">
        <f t="shared" ca="1" si="48"/>
        <v>2.4869581653729861E-4</v>
      </c>
      <c r="J29" s="39">
        <f t="shared" ca="1" si="17"/>
        <v>690388.79102706991</v>
      </c>
      <c r="K29" s="45">
        <f t="shared" ca="1" si="18"/>
        <v>13.157421720530612</v>
      </c>
      <c r="L29" s="48">
        <f t="shared" ca="1" si="19"/>
        <v>8.3869966809328331E-2</v>
      </c>
      <c r="M29" s="46"/>
      <c r="N29" s="39">
        <f t="shared" ca="1" si="49"/>
        <v>2822448</v>
      </c>
      <c r="O29" s="39">
        <f t="shared" ca="1" si="49"/>
        <v>14029887</v>
      </c>
      <c r="P29" s="39">
        <f t="shared" ca="1" si="49"/>
        <v>30699071</v>
      </c>
      <c r="Q29" s="39">
        <f t="shared" ca="1" si="49"/>
        <v>8082185</v>
      </c>
      <c r="R29" s="46"/>
      <c r="S29" s="46">
        <f t="shared" ref="S29:V64" ca="1" si="58">IF(ISERROR(VLOOKUP(S$2,INDIRECT(S$1),MATCH($A29,INDIRECT(S$1&amp;"_col"),),)),"",VLOOKUP(S$2,INDIRECT(S$1),MATCH($A29,INDIRECT(S$1&amp;"_col"),),))</f>
        <v>1.74</v>
      </c>
      <c r="T29" s="46">
        <f t="shared" ca="1" si="58"/>
        <v>4.46</v>
      </c>
      <c r="U29" s="46">
        <f t="shared" ca="1" si="58"/>
        <v>5.93</v>
      </c>
      <c r="V29" s="46">
        <f t="shared" ca="1" si="58"/>
        <v>19.05</v>
      </c>
      <c r="W29" s="46"/>
      <c r="X29" s="45">
        <f t="shared" ca="1" si="22"/>
        <v>3.1275838516015391</v>
      </c>
      <c r="Y29" s="45">
        <f t="shared" ca="1" si="23"/>
        <v>8.0166804472085431</v>
      </c>
      <c r="Z29" s="45">
        <f t="shared" ca="1" si="24"/>
        <v>10.658949563216739</v>
      </c>
      <c r="AA29" s="45">
        <f t="shared" ca="1" si="25"/>
        <v>34.241650789085817</v>
      </c>
      <c r="AB29" s="46"/>
      <c r="AC29" s="48">
        <f t="shared" ca="1" si="26"/>
        <v>9.1338582677165353E-2</v>
      </c>
      <c r="AD29" s="48">
        <f t="shared" ca="1" si="27"/>
        <v>0.23412073490813648</v>
      </c>
      <c r="AE29" s="48">
        <f t="shared" ca="1" si="28"/>
        <v>0.3112860892388451</v>
      </c>
      <c r="AF29" s="48">
        <f t="shared" ca="1" si="29"/>
        <v>1</v>
      </c>
      <c r="AG29" s="46"/>
      <c r="AH29" s="49">
        <f t="shared" ca="1" si="30"/>
        <v>306587.33523519</v>
      </c>
      <c r="AI29" s="39">
        <f t="shared" ca="1" si="31"/>
        <v>3453334.1348202177</v>
      </c>
      <c r="AJ29" s="39">
        <f t="shared" ca="1" si="32"/>
        <v>15503033.581262026</v>
      </c>
      <c r="AK29" s="39">
        <f t="shared" ca="1" si="33"/>
        <v>8082185</v>
      </c>
      <c r="AL29" s="46"/>
      <c r="AM29" s="39">
        <f t="shared" ca="1" si="34"/>
        <v>27345140.051317435</v>
      </c>
      <c r="AN29" s="39">
        <f t="shared" ca="1" si="35"/>
        <v>403495470.81999999</v>
      </c>
      <c r="AO29" s="48">
        <f t="shared" ca="1" si="36"/>
        <v>5.0520777295166228E-2</v>
      </c>
      <c r="AP29" s="39">
        <f t="shared" ca="1" si="37"/>
        <v>725267769.38562751</v>
      </c>
      <c r="AQ29" s="45">
        <f t="shared" ca="1" si="38"/>
        <v>26.522730109428917</v>
      </c>
      <c r="AR29" s="48">
        <f t="shared" ca="1" si="39"/>
        <v>8.8107142724255391E-2</v>
      </c>
      <c r="AT29" s="39">
        <f t="shared" ref="AT29:AV64" ca="1" si="59">IF(ISERROR(VLOOKUP(AT$2,INDIRECT(AT$1),MATCH($A29,INDIRECT(AT$1&amp;"_col"),),)),"",VLOOKUP(AT$2,INDIRECT(AT$1),MATCH($A29,INDIRECT(AT$1&amp;"_col"),),))</f>
        <v>27658.400000000001</v>
      </c>
      <c r="AU29" s="39">
        <f t="shared" ca="1" si="59"/>
        <v>175891.7</v>
      </c>
      <c r="AV29" s="39">
        <f t="shared" ca="1" si="59"/>
        <v>59701.599999999999</v>
      </c>
      <c r="AX29" s="55">
        <f t="shared" ca="1" si="50"/>
        <v>49714.92252938851</v>
      </c>
      <c r="AY29" s="55">
        <f t="shared" ca="1" si="51"/>
        <v>316158.64399467956</v>
      </c>
      <c r="AZ29" s="55">
        <f t="shared" ca="1" si="52"/>
        <v>107311.35636481289</v>
      </c>
      <c r="BB29" s="39">
        <f t="shared" ref="BB29:BE64" ca="1" si="60">IF(ISERROR(VLOOKUP(BB$2,INDIRECT(BB$1),MATCH($A29,INDIRECT(BB$1&amp;"_col"),),)),"",VLOOKUP(BB$2,INDIRECT(BB$1),MATCH($A29,INDIRECT(BB$1&amp;"_col"),),))</f>
        <v>17240884</v>
      </c>
      <c r="BC29" s="39">
        <f t="shared" ca="1" si="60"/>
        <v>32150914</v>
      </c>
      <c r="BD29" s="39">
        <f t="shared" ca="1" si="60"/>
        <v>16718431</v>
      </c>
      <c r="BE29" s="39">
        <f t="shared" ca="1" si="60"/>
        <v>6111140</v>
      </c>
      <c r="BG29" s="56">
        <f t="shared" ca="1" si="43"/>
        <v>263251.7</v>
      </c>
      <c r="BH29" s="51">
        <f t="shared" ca="1" si="44"/>
        <v>0.68538905764234459</v>
      </c>
      <c r="BI29" s="56">
        <f t="shared" ca="1" si="45"/>
        <v>66110229</v>
      </c>
      <c r="BJ29" s="58">
        <f t="shared" ca="1" si="53"/>
        <v>3.9820116188071294E-3</v>
      </c>
      <c r="BK29" s="58">
        <f t="shared" ca="1" si="54"/>
        <v>7.1575145033740695</v>
      </c>
      <c r="BL29" s="58"/>
      <c r="BM29" s="60">
        <f t="shared" ca="1" si="55"/>
        <v>0.36553310534941946</v>
      </c>
      <c r="BO29">
        <f t="shared" ca="1" si="56"/>
        <v>5.7483557515940253E-2</v>
      </c>
    </row>
    <row r="30" spans="1:67" ht="21" customHeight="1" x14ac:dyDescent="0.2">
      <c r="A30" s="22">
        <f t="shared" si="57"/>
        <v>1987</v>
      </c>
      <c r="B30" s="39">
        <f t="shared" ca="1" si="46"/>
        <v>4855.2</v>
      </c>
      <c r="C30" s="39">
        <f t="shared" ca="1" si="46"/>
        <v>8516.4</v>
      </c>
      <c r="D30" s="45">
        <f t="shared" ca="1" si="46"/>
        <v>0.57010000000000005</v>
      </c>
      <c r="E30" s="46"/>
      <c r="F30" s="39">
        <f t="shared" ca="1" si="47"/>
        <v>53995502</v>
      </c>
      <c r="G30" s="39">
        <f t="shared" ca="1" si="47"/>
        <v>397626.6</v>
      </c>
      <c r="H30" s="46">
        <f t="shared" ca="1" si="47"/>
        <v>7.36</v>
      </c>
      <c r="I30" s="47">
        <f t="shared" ca="1" si="48"/>
        <v>5.5254170621365996E-4</v>
      </c>
      <c r="J30" s="39">
        <f t="shared" ca="1" si="17"/>
        <v>697468.16348009114</v>
      </c>
      <c r="K30" s="45">
        <f t="shared" ca="1" si="18"/>
        <v>12.910015786704086</v>
      </c>
      <c r="L30" s="48">
        <f t="shared" ca="1" si="19"/>
        <v>8.189705882352942E-2</v>
      </c>
      <c r="M30" s="46"/>
      <c r="N30" s="39">
        <f t="shared" ca="1" si="49"/>
        <v>2835047</v>
      </c>
      <c r="O30" s="39">
        <f t="shared" ca="1" si="49"/>
        <v>14815978</v>
      </c>
      <c r="P30" s="39">
        <f t="shared" ca="1" si="49"/>
        <v>31561525</v>
      </c>
      <c r="Q30" s="39">
        <f t="shared" ca="1" si="49"/>
        <v>8384213</v>
      </c>
      <c r="R30" s="46"/>
      <c r="S30" s="46">
        <f t="shared" ca="1" si="58"/>
        <v>1.61</v>
      </c>
      <c r="T30" s="46">
        <f t="shared" ca="1" si="58"/>
        <v>4.13</v>
      </c>
      <c r="U30" s="46">
        <f t="shared" ca="1" si="58"/>
        <v>6.22</v>
      </c>
      <c r="V30" s="46">
        <f t="shared" ca="1" si="58"/>
        <v>18.739999999999998</v>
      </c>
      <c r="W30" s="46"/>
      <c r="X30" s="45">
        <f t="shared" ca="1" si="22"/>
        <v>2.8240659533415191</v>
      </c>
      <c r="Y30" s="45">
        <f t="shared" ca="1" si="23"/>
        <v>7.2443430977021563</v>
      </c>
      <c r="Z30" s="45">
        <f t="shared" ca="1" si="24"/>
        <v>10.910366602350463</v>
      </c>
      <c r="AA30" s="45">
        <f t="shared" ca="1" si="25"/>
        <v>32.87142606560252</v>
      </c>
      <c r="AB30" s="46"/>
      <c r="AC30" s="48">
        <f t="shared" ca="1" si="26"/>
        <v>8.5912486659551784E-2</v>
      </c>
      <c r="AD30" s="48">
        <f t="shared" ca="1" si="27"/>
        <v>0.22038420490928495</v>
      </c>
      <c r="AE30" s="48">
        <f t="shared" ca="1" si="28"/>
        <v>0.33191035218783349</v>
      </c>
      <c r="AF30" s="48">
        <f t="shared" ca="1" si="29"/>
        <v>1</v>
      </c>
      <c r="AG30" s="46"/>
      <c r="AH30" s="49">
        <f t="shared" ca="1" si="30"/>
        <v>307955.89679473982</v>
      </c>
      <c r="AI30" s="39">
        <f t="shared" ca="1" si="31"/>
        <v>3646823.5680120145</v>
      </c>
      <c r="AJ30" s="39">
        <f t="shared" ca="1" si="32"/>
        <v>15938572.927853126</v>
      </c>
      <c r="AK30" s="39">
        <f t="shared" ca="1" si="33"/>
        <v>8384213</v>
      </c>
      <c r="AL30" s="46"/>
      <c r="AM30" s="39">
        <f t="shared" ca="1" si="34"/>
        <v>28277565.39265988</v>
      </c>
      <c r="AN30" s="39">
        <f t="shared" ca="1" si="35"/>
        <v>419187251.92999995</v>
      </c>
      <c r="AO30" s="48">
        <f t="shared" ca="1" si="36"/>
        <v>5.4223364156220921E-2</v>
      </c>
      <c r="AP30" s="39">
        <f t="shared" ca="1" si="37"/>
        <v>735287233.69584274</v>
      </c>
      <c r="AQ30" s="45">
        <f t="shared" ca="1" si="38"/>
        <v>26.002494326711172</v>
      </c>
      <c r="AR30" s="48">
        <f t="shared" ca="1" si="39"/>
        <v>8.6337792867441074E-2</v>
      </c>
      <c r="AT30" s="39">
        <f t="shared" ca="1" si="59"/>
        <v>27336.1</v>
      </c>
      <c r="AU30" s="39">
        <f t="shared" ca="1" si="59"/>
        <v>188994.3</v>
      </c>
      <c r="AV30" s="39">
        <f t="shared" ca="1" si="59"/>
        <v>58018.7</v>
      </c>
      <c r="AX30" s="55">
        <f t="shared" ca="1" si="50"/>
        <v>47949.657954744776</v>
      </c>
      <c r="AY30" s="55">
        <f t="shared" ca="1" si="51"/>
        <v>331510.78758112609</v>
      </c>
      <c r="AZ30" s="55">
        <f t="shared" ca="1" si="52"/>
        <v>101769.33871250656</v>
      </c>
      <c r="BB30" s="39">
        <f t="shared" ca="1" si="60"/>
        <v>17949877</v>
      </c>
      <c r="BC30" s="39">
        <f t="shared" ca="1" si="60"/>
        <v>32818384</v>
      </c>
      <c r="BD30" s="39">
        <f t="shared" ca="1" si="60"/>
        <v>17749685</v>
      </c>
      <c r="BE30" s="39">
        <f t="shared" ca="1" si="60"/>
        <v>5624499</v>
      </c>
      <c r="BG30" s="56">
        <f t="shared" ca="1" si="43"/>
        <v>274349.09999999998</v>
      </c>
      <c r="BH30" s="51">
        <f t="shared" ca="1" si="44"/>
        <v>0.68996666721994959</v>
      </c>
      <c r="BI30" s="56">
        <f t="shared" ca="1" si="45"/>
        <v>68517946</v>
      </c>
      <c r="BJ30" s="58">
        <f t="shared" ca="1" si="53"/>
        <v>4.0040473484129245E-3</v>
      </c>
      <c r="BK30" s="58">
        <f t="shared" ca="1" si="54"/>
        <v>7.0234122933045509</v>
      </c>
      <c r="BL30" s="58"/>
      <c r="BM30" s="60">
        <f t="shared" ca="1" si="55"/>
        <v>0.31687880658163792</v>
      </c>
      <c r="BO30">
        <f t="shared" ca="1" si="56"/>
        <v>5.6506240731586749E-2</v>
      </c>
    </row>
    <row r="31" spans="1:67" ht="21" customHeight="1" x14ac:dyDescent="0.2">
      <c r="A31" s="22">
        <f t="shared" si="57"/>
        <v>1988</v>
      </c>
      <c r="B31" s="39">
        <f t="shared" ca="1" si="46"/>
        <v>5236.3999999999996</v>
      </c>
      <c r="C31" s="39">
        <f t="shared" ca="1" si="46"/>
        <v>8872.2000000000007</v>
      </c>
      <c r="D31" s="45">
        <f t="shared" ca="1" si="46"/>
        <v>0.59021000000000001</v>
      </c>
      <c r="E31" s="46"/>
      <c r="F31" s="39">
        <f t="shared" ca="1" si="47"/>
        <v>56464487</v>
      </c>
      <c r="G31" s="39">
        <f t="shared" ca="1" si="47"/>
        <v>411568.4</v>
      </c>
      <c r="H31" s="46">
        <f t="shared" ca="1" si="47"/>
        <v>7.29</v>
      </c>
      <c r="I31" s="47">
        <f t="shared" ca="1" si="48"/>
        <v>1.4022026472384141E-4</v>
      </c>
      <c r="J31" s="39">
        <f t="shared" ca="1" si="17"/>
        <v>697325.35877060704</v>
      </c>
      <c r="K31" s="45">
        <f t="shared" ca="1" si="18"/>
        <v>12.351535894003829</v>
      </c>
      <c r="L31" s="48">
        <f t="shared" ca="1" si="19"/>
        <v>7.8597586127874111E-2</v>
      </c>
      <c r="M31" s="46"/>
      <c r="N31" s="39">
        <f t="shared" ca="1" si="49"/>
        <v>2999509</v>
      </c>
      <c r="O31" s="39">
        <f t="shared" ca="1" si="49"/>
        <v>15854980</v>
      </c>
      <c r="P31" s="39">
        <f t="shared" ca="1" si="49"/>
        <v>32610183</v>
      </c>
      <c r="Q31" s="39">
        <f t="shared" ca="1" si="49"/>
        <v>8796349</v>
      </c>
      <c r="R31" s="46"/>
      <c r="S31" s="46">
        <f t="shared" ca="1" si="58"/>
        <v>1.63</v>
      </c>
      <c r="T31" s="46">
        <f t="shared" ca="1" si="58"/>
        <v>4.08</v>
      </c>
      <c r="U31" s="46">
        <f t="shared" ca="1" si="58"/>
        <v>6.14</v>
      </c>
      <c r="V31" s="46">
        <f t="shared" ca="1" si="58"/>
        <v>18.68</v>
      </c>
      <c r="W31" s="46"/>
      <c r="X31" s="45">
        <f t="shared" ca="1" si="22"/>
        <v>2.7617288761627217</v>
      </c>
      <c r="Y31" s="45">
        <f t="shared" ca="1" si="23"/>
        <v>6.9127937513766282</v>
      </c>
      <c r="Z31" s="45">
        <f t="shared" ca="1" si="24"/>
        <v>10.40307687094424</v>
      </c>
      <c r="AA31" s="45">
        <f t="shared" ca="1" si="25"/>
        <v>31.649751783263582</v>
      </c>
      <c r="AB31" s="46"/>
      <c r="AC31" s="48">
        <f t="shared" ca="1" si="26"/>
        <v>8.7259100642398293E-2</v>
      </c>
      <c r="AD31" s="48">
        <f t="shared" ca="1" si="27"/>
        <v>0.21841541755888652</v>
      </c>
      <c r="AE31" s="48">
        <f t="shared" ca="1" si="28"/>
        <v>0.32869379014989292</v>
      </c>
      <c r="AF31" s="48">
        <f t="shared" ca="1" si="29"/>
        <v>1</v>
      </c>
      <c r="AG31" s="46"/>
      <c r="AH31" s="49">
        <f t="shared" ca="1" si="30"/>
        <v>325820.51868589595</v>
      </c>
      <c r="AI31" s="39">
        <f t="shared" ca="1" si="31"/>
        <v>3902564.8346912456</v>
      </c>
      <c r="AJ31" s="39">
        <f t="shared" ca="1" si="32"/>
        <v>16468145.310980259</v>
      </c>
      <c r="AK31" s="39">
        <f t="shared" ca="1" si="33"/>
        <v>8796349</v>
      </c>
      <c r="AL31" s="46"/>
      <c r="AM31" s="39">
        <f t="shared" ca="1" si="34"/>
        <v>29492879.664357401</v>
      </c>
      <c r="AN31" s="39">
        <f t="shared" ca="1" si="35"/>
        <v>434119841.00999993</v>
      </c>
      <c r="AO31" s="48">
        <f t="shared" ca="1" si="36"/>
        <v>5.4793907914212785E-2</v>
      </c>
      <c r="AP31" s="39">
        <f t="shared" ca="1" si="37"/>
        <v>735534540.26532912</v>
      </c>
      <c r="AQ31" s="45">
        <f t="shared" ca="1" si="38"/>
        <v>24.939393800675013</v>
      </c>
      <c r="AR31" s="48">
        <f t="shared" ca="1" si="39"/>
        <v>8.2904255024444262E-2</v>
      </c>
      <c r="AT31" s="39">
        <f t="shared" ca="1" si="59"/>
        <v>28159.1</v>
      </c>
      <c r="AU31" s="39">
        <f t="shared" ca="1" si="59"/>
        <v>191586.7</v>
      </c>
      <c r="AV31" s="39">
        <f t="shared" ca="1" si="59"/>
        <v>61089.3</v>
      </c>
      <c r="AX31" s="55">
        <f t="shared" ca="1" si="50"/>
        <v>47710.306501075887</v>
      </c>
      <c r="AY31" s="55">
        <f t="shared" ca="1" si="51"/>
        <v>324607.68201148743</v>
      </c>
      <c r="AZ31" s="55">
        <f t="shared" ca="1" si="52"/>
        <v>103504.34591077753</v>
      </c>
      <c r="BB31" s="39">
        <f t="shared" ca="1" si="60"/>
        <v>18885663</v>
      </c>
      <c r="BC31" s="39">
        <f t="shared" ca="1" si="60"/>
        <v>34173609</v>
      </c>
      <c r="BD31" s="39">
        <f t="shared" ca="1" si="60"/>
        <v>18562882</v>
      </c>
      <c r="BE31" s="39">
        <f t="shared" ca="1" si="60"/>
        <v>5456754</v>
      </c>
      <c r="BG31" s="56">
        <f t="shared" ca="1" si="43"/>
        <v>280835.10000000003</v>
      </c>
      <c r="BH31" s="51">
        <f t="shared" ca="1" si="44"/>
        <v>0.68235340711288817</v>
      </c>
      <c r="BI31" s="56">
        <f t="shared" ca="1" si="45"/>
        <v>71622154</v>
      </c>
      <c r="BJ31" s="58">
        <f t="shared" ca="1" si="53"/>
        <v>3.9210647029688612E-3</v>
      </c>
      <c r="BK31" s="58">
        <f t="shared" ca="1" si="54"/>
        <v>6.6435077395653428</v>
      </c>
      <c r="BL31" s="58"/>
      <c r="BM31" s="60">
        <f t="shared" ca="1" si="55"/>
        <v>0.29396049600487684</v>
      </c>
      <c r="BO31">
        <f t="shared" ca="1" si="56"/>
        <v>5.3631330685203586E-2</v>
      </c>
    </row>
    <row r="32" spans="1:67" ht="21" customHeight="1" x14ac:dyDescent="0.2">
      <c r="A32" s="22">
        <f t="shared" si="57"/>
        <v>1989</v>
      </c>
      <c r="B32" s="39">
        <f t="shared" ca="1" si="46"/>
        <v>5641.6</v>
      </c>
      <c r="C32" s="39">
        <f t="shared" ca="1" si="46"/>
        <v>9198</v>
      </c>
      <c r="D32" s="45">
        <f t="shared" ca="1" si="46"/>
        <v>0.61334999999999995</v>
      </c>
      <c r="E32" s="46"/>
      <c r="F32" s="39">
        <f t="shared" ca="1" si="47"/>
        <v>57879098</v>
      </c>
      <c r="G32" s="39">
        <f t="shared" ca="1" si="47"/>
        <v>439051.3</v>
      </c>
      <c r="H32" s="46">
        <f t="shared" ca="1" si="47"/>
        <v>7.59</v>
      </c>
      <c r="I32" s="47">
        <f t="shared" ca="1" si="48"/>
        <v>5.7180976346051155E-4</v>
      </c>
      <c r="J32" s="39">
        <f t="shared" ca="1" si="17"/>
        <v>715825.05910165492</v>
      </c>
      <c r="K32" s="45">
        <f t="shared" ca="1" si="18"/>
        <v>12.374663731963807</v>
      </c>
      <c r="L32" s="48">
        <f t="shared" ca="1" si="19"/>
        <v>7.7823897475893355E-2</v>
      </c>
      <c r="M32" s="46"/>
      <c r="N32" s="39">
        <f t="shared" ca="1" si="49"/>
        <v>2919887</v>
      </c>
      <c r="O32" s="39">
        <f t="shared" ca="1" si="49"/>
        <v>16524979</v>
      </c>
      <c r="P32" s="39">
        <f t="shared" ca="1" si="49"/>
        <v>32461650</v>
      </c>
      <c r="Q32" s="39">
        <f t="shared" ca="1" si="49"/>
        <v>9030913</v>
      </c>
      <c r="R32" s="46"/>
      <c r="S32" s="46">
        <f t="shared" ca="1" si="58"/>
        <v>1.62</v>
      </c>
      <c r="T32" s="46">
        <f t="shared" ca="1" si="58"/>
        <v>4.1500000000000004</v>
      </c>
      <c r="U32" s="46">
        <f t="shared" ca="1" si="58"/>
        <v>6.69</v>
      </c>
      <c r="V32" s="46">
        <f t="shared" ca="1" si="58"/>
        <v>18.98</v>
      </c>
      <c r="W32" s="46"/>
      <c r="X32" s="45">
        <f t="shared" ca="1" si="22"/>
        <v>2.6412325752017614</v>
      </c>
      <c r="Y32" s="45">
        <f t="shared" ca="1" si="23"/>
        <v>6.7661204858563639</v>
      </c>
      <c r="Z32" s="45">
        <f t="shared" ca="1" si="24"/>
        <v>10.907312301296162</v>
      </c>
      <c r="AA32" s="45">
        <f t="shared" ca="1" si="25"/>
        <v>30.944811282302116</v>
      </c>
      <c r="AB32" s="46"/>
      <c r="AC32" s="48">
        <f t="shared" ca="1" si="26"/>
        <v>8.5353003161222352E-2</v>
      </c>
      <c r="AD32" s="48">
        <f t="shared" ca="1" si="27"/>
        <v>0.21865121180189676</v>
      </c>
      <c r="AE32" s="48">
        <f t="shared" ca="1" si="28"/>
        <v>0.35247629083245524</v>
      </c>
      <c r="AF32" s="48">
        <f t="shared" ca="1" si="29"/>
        <v>1</v>
      </c>
      <c r="AG32" s="46"/>
      <c r="AH32" s="49">
        <f t="shared" ca="1" si="30"/>
        <v>317171.60936813476</v>
      </c>
      <c r="AI32" s="39">
        <f t="shared" ca="1" si="31"/>
        <v>4067479.2361397683</v>
      </c>
      <c r="AJ32" s="39">
        <f t="shared" ca="1" si="32"/>
        <v>16393136.132789636</v>
      </c>
      <c r="AK32" s="39">
        <f t="shared" ca="1" si="33"/>
        <v>9030913</v>
      </c>
      <c r="AL32" s="46"/>
      <c r="AM32" s="39">
        <f t="shared" ca="1" si="34"/>
        <v>29808699.978297539</v>
      </c>
      <c r="AN32" s="39">
        <f t="shared" ca="1" si="35"/>
        <v>461884047.03000003</v>
      </c>
      <c r="AO32" s="48">
        <f t="shared" ca="1" si="36"/>
        <v>5.2004736189142427E-2</v>
      </c>
      <c r="AP32" s="39">
        <f t="shared" ca="1" si="37"/>
        <v>753051352.45781374</v>
      </c>
      <c r="AQ32" s="45">
        <f t="shared" ca="1" si="38"/>
        <v>25.262804248628044</v>
      </c>
      <c r="AR32" s="48">
        <f t="shared" ca="1" si="39"/>
        <v>8.1871108733338055E-2</v>
      </c>
      <c r="AT32" s="39">
        <f t="shared" ca="1" si="59"/>
        <v>28094.7</v>
      </c>
      <c r="AU32" s="39">
        <f t="shared" ca="1" si="59"/>
        <v>208557.7</v>
      </c>
      <c r="AV32" s="39">
        <f t="shared" ca="1" si="59"/>
        <v>66197.899999999994</v>
      </c>
      <c r="AX32" s="55">
        <f t="shared" ca="1" si="50"/>
        <v>45805.331376864764</v>
      </c>
      <c r="AY32" s="55">
        <f t="shared" ca="1" si="51"/>
        <v>340030.48830194835</v>
      </c>
      <c r="AZ32" s="55">
        <f t="shared" ca="1" si="52"/>
        <v>107928.42585799299</v>
      </c>
      <c r="BB32" s="39">
        <f t="shared" ca="1" si="60"/>
        <v>19055165</v>
      </c>
      <c r="BC32" s="39">
        <f t="shared" ca="1" si="60"/>
        <v>34164741</v>
      </c>
      <c r="BD32" s="39">
        <f t="shared" ca="1" si="60"/>
        <v>19715929</v>
      </c>
      <c r="BE32" s="39">
        <f t="shared" ca="1" si="60"/>
        <v>6234646</v>
      </c>
      <c r="BG32" s="56">
        <f t="shared" ca="1" si="43"/>
        <v>302850.30000000005</v>
      </c>
      <c r="BH32" s="51">
        <f t="shared" ca="1" si="44"/>
        <v>0.6897834034428324</v>
      </c>
      <c r="BI32" s="56">
        <f t="shared" ca="1" si="45"/>
        <v>72935835</v>
      </c>
      <c r="BJ32" s="58">
        <f t="shared" ca="1" si="53"/>
        <v>4.1522839904417361E-3</v>
      </c>
      <c r="BK32" s="58">
        <f t="shared" ca="1" si="54"/>
        <v>6.7698442821255993</v>
      </c>
      <c r="BL32" s="58"/>
      <c r="BM32" s="60">
        <f t="shared" ca="1" si="55"/>
        <v>0.31622380056247923</v>
      </c>
      <c r="BO32">
        <f t="shared" ca="1" si="56"/>
        <v>5.3681632870107777E-2</v>
      </c>
    </row>
    <row r="33" spans="1:67" ht="21" customHeight="1" x14ac:dyDescent="0.2">
      <c r="A33" s="22">
        <f t="shared" si="57"/>
        <v>1990</v>
      </c>
      <c r="B33" s="39">
        <f t="shared" ca="1" si="46"/>
        <v>5963.1</v>
      </c>
      <c r="C33" s="39">
        <f t="shared" ca="1" si="46"/>
        <v>9371.5</v>
      </c>
      <c r="D33" s="45">
        <f t="shared" ca="1" si="46"/>
        <v>0.63631000000000004</v>
      </c>
      <c r="E33" s="46"/>
      <c r="F33" s="39">
        <f t="shared" ca="1" si="47"/>
        <v>57254874</v>
      </c>
      <c r="G33" s="39">
        <f t="shared" ca="1" si="47"/>
        <v>474652.2</v>
      </c>
      <c r="H33" s="46">
        <f t="shared" ca="1" si="47"/>
        <v>8.2899999999999991</v>
      </c>
      <c r="I33" s="47">
        <f t="shared" ca="1" si="48"/>
        <v>1.9581790624865328E-5</v>
      </c>
      <c r="J33" s="39">
        <f t="shared" ca="1" si="17"/>
        <v>745944.90107023309</v>
      </c>
      <c r="K33" s="45">
        <f t="shared" ca="1" si="18"/>
        <v>13.028240951737358</v>
      </c>
      <c r="L33" s="48">
        <f t="shared" ca="1" si="19"/>
        <v>7.9598229109020466E-2</v>
      </c>
      <c r="M33" s="46"/>
      <c r="N33" s="39">
        <f t="shared" ca="1" si="49"/>
        <v>2908687</v>
      </c>
      <c r="O33" s="39">
        <f t="shared" ca="1" si="49"/>
        <v>16419468</v>
      </c>
      <c r="P33" s="39">
        <f t="shared" ca="1" si="49"/>
        <v>32211463</v>
      </c>
      <c r="Q33" s="39">
        <f t="shared" ca="1" si="49"/>
        <v>9255237</v>
      </c>
      <c r="R33" s="46"/>
      <c r="S33" s="46">
        <f t="shared" ca="1" si="58"/>
        <v>1.63</v>
      </c>
      <c r="T33" s="46">
        <f t="shared" ca="1" si="58"/>
        <v>4.17</v>
      </c>
      <c r="U33" s="46">
        <f t="shared" ca="1" si="58"/>
        <v>7.73</v>
      </c>
      <c r="V33" s="46">
        <f t="shared" ca="1" si="58"/>
        <v>19.32</v>
      </c>
      <c r="W33" s="46"/>
      <c r="X33" s="45">
        <f t="shared" ca="1" si="22"/>
        <v>2.5616444814634374</v>
      </c>
      <c r="Y33" s="45">
        <f t="shared" ca="1" si="23"/>
        <v>6.5534095016579963</v>
      </c>
      <c r="Z33" s="45">
        <f t="shared" ca="1" si="24"/>
        <v>12.148166774056671</v>
      </c>
      <c r="AA33" s="45">
        <f t="shared" ca="1" si="25"/>
        <v>30.362559129983811</v>
      </c>
      <c r="AB33" s="46"/>
      <c r="AC33" s="48">
        <f t="shared" ca="1" si="26"/>
        <v>8.4368530020703936E-2</v>
      </c>
      <c r="AD33" s="48">
        <f t="shared" ca="1" si="27"/>
        <v>0.21583850931677018</v>
      </c>
      <c r="AE33" s="48">
        <f t="shared" ca="1" si="28"/>
        <v>0.40010351966873708</v>
      </c>
      <c r="AF33" s="48">
        <f t="shared" ca="1" si="29"/>
        <v>1</v>
      </c>
      <c r="AG33" s="46"/>
      <c r="AH33" s="49">
        <f t="shared" ca="1" si="30"/>
        <v>315955.01364887471</v>
      </c>
      <c r="AI33" s="39">
        <f t="shared" ca="1" si="31"/>
        <v>4041508.6251220875</v>
      </c>
      <c r="AJ33" s="39">
        <f t="shared" ca="1" si="32"/>
        <v>16266791.675571527</v>
      </c>
      <c r="AK33" s="39">
        <f t="shared" ca="1" si="33"/>
        <v>9255237</v>
      </c>
      <c r="AL33" s="46"/>
      <c r="AM33" s="39">
        <f t="shared" ca="1" si="34"/>
        <v>29879492.314342491</v>
      </c>
      <c r="AN33" s="39">
        <f t="shared" ca="1" si="35"/>
        <v>501016129.20000005</v>
      </c>
      <c r="AO33" s="48">
        <f t="shared" ca="1" si="36"/>
        <v>5.5543678508179276E-2</v>
      </c>
      <c r="AP33" s="39">
        <f t="shared" ca="1" si="37"/>
        <v>787377424.84009361</v>
      </c>
      <c r="AQ33" s="45">
        <f t="shared" ca="1" si="38"/>
        <v>26.35176717718673</v>
      </c>
      <c r="AR33" s="48">
        <f t="shared" ca="1" si="39"/>
        <v>8.4019407556472303E-2</v>
      </c>
      <c r="AT33" s="39">
        <f t="shared" ca="1" si="59"/>
        <v>28418.799999999999</v>
      </c>
      <c r="AU33" s="39">
        <f t="shared" ca="1" si="59"/>
        <v>237676.5</v>
      </c>
      <c r="AV33" s="39">
        <f t="shared" ca="1" si="59"/>
        <v>65278</v>
      </c>
      <c r="AX33" s="55">
        <f t="shared" ca="1" si="50"/>
        <v>44661.878644057135</v>
      </c>
      <c r="AY33" s="55">
        <f t="shared" ca="1" si="51"/>
        <v>373523.12552057958</v>
      </c>
      <c r="AZ33" s="55">
        <f t="shared" ca="1" si="52"/>
        <v>102588.36101900016</v>
      </c>
      <c r="BB33" s="39">
        <f t="shared" ca="1" si="60"/>
        <v>19167682</v>
      </c>
      <c r="BC33" s="39">
        <f t="shared" ca="1" si="60"/>
        <v>33500896</v>
      </c>
      <c r="BD33" s="39">
        <f t="shared" ca="1" si="60"/>
        <v>19752485</v>
      </c>
      <c r="BE33" s="39">
        <f t="shared" ca="1" si="60"/>
        <v>6041875</v>
      </c>
      <c r="BG33" s="56">
        <f t="shared" ca="1" si="43"/>
        <v>331373.3</v>
      </c>
      <c r="BH33" s="51">
        <f t="shared" ca="1" si="44"/>
        <v>0.69813918485998794</v>
      </c>
      <c r="BI33" s="56">
        <f t="shared" ca="1" si="45"/>
        <v>72421063</v>
      </c>
      <c r="BJ33" s="58">
        <f t="shared" ca="1" si="53"/>
        <v>4.5756481094457284E-3</v>
      </c>
      <c r="BK33" s="58">
        <f t="shared" ca="1" si="54"/>
        <v>7.1909102629940254</v>
      </c>
      <c r="BL33" s="58"/>
      <c r="BM33" s="60">
        <f t="shared" ca="1" si="55"/>
        <v>0.30587923494183139</v>
      </c>
      <c r="BO33">
        <f t="shared" ca="1" si="56"/>
        <v>5.5570642786470115E-2</v>
      </c>
    </row>
    <row r="34" spans="1:67" ht="21" customHeight="1" x14ac:dyDescent="0.2">
      <c r="A34" s="22">
        <f t="shared" si="57"/>
        <v>1991</v>
      </c>
      <c r="B34" s="39">
        <f t="shared" ca="1" si="46"/>
        <v>6158.1</v>
      </c>
      <c r="C34" s="39">
        <f t="shared" ca="1" si="46"/>
        <v>9361.2999999999993</v>
      </c>
      <c r="D34" s="45">
        <f t="shared" ca="1" si="46"/>
        <v>0.65783000000000003</v>
      </c>
      <c r="E34" s="46"/>
      <c r="F34" s="39">
        <f t="shared" ca="1" si="47"/>
        <v>57296246</v>
      </c>
      <c r="G34" s="39">
        <f t="shared" ca="1" si="47"/>
        <v>472439.6</v>
      </c>
      <c r="H34" s="46">
        <f t="shared" ca="1" si="47"/>
        <v>8.25</v>
      </c>
      <c r="I34" s="47">
        <f t="shared" ca="1" si="48"/>
        <v>5.3854397472190621E-4</v>
      </c>
      <c r="J34" s="39">
        <f t="shared" ca="1" si="17"/>
        <v>718178.8607999027</v>
      </c>
      <c r="K34" s="45">
        <f t="shared" ca="1" si="18"/>
        <v>12.54123405743125</v>
      </c>
      <c r="L34" s="48">
        <f t="shared" ca="1" si="19"/>
        <v>7.6718403403647217E-2</v>
      </c>
      <c r="M34" s="46"/>
      <c r="N34" s="39">
        <f t="shared" ca="1" si="49"/>
        <v>2741205</v>
      </c>
      <c r="O34" s="39">
        <f t="shared" ca="1" si="49"/>
        <v>16748668</v>
      </c>
      <c r="P34" s="39">
        <f t="shared" ca="1" si="49"/>
        <v>31591990</v>
      </c>
      <c r="Q34" s="39">
        <f t="shared" ca="1" si="49"/>
        <v>9423954</v>
      </c>
      <c r="R34" s="46"/>
      <c r="S34" s="46">
        <f t="shared" ca="1" si="58"/>
        <v>1.64</v>
      </c>
      <c r="T34" s="46">
        <f t="shared" ca="1" si="58"/>
        <v>4.12</v>
      </c>
      <c r="U34" s="46">
        <f t="shared" ca="1" si="58"/>
        <v>7.46</v>
      </c>
      <c r="V34" s="46">
        <f t="shared" ca="1" si="58"/>
        <v>19.84</v>
      </c>
      <c r="W34" s="46"/>
      <c r="X34" s="45">
        <f t="shared" ca="1" si="22"/>
        <v>2.4930453156590606</v>
      </c>
      <c r="Y34" s="45">
        <f t="shared" ca="1" si="23"/>
        <v>6.2630162808020309</v>
      </c>
      <c r="Z34" s="45">
        <f t="shared" ca="1" si="24"/>
        <v>11.340315887083289</v>
      </c>
      <c r="AA34" s="45">
        <f t="shared" ca="1" si="25"/>
        <v>30.159767721143758</v>
      </c>
      <c r="AB34" s="46"/>
      <c r="AC34" s="48">
        <f t="shared" ca="1" si="26"/>
        <v>8.2661290322580641E-2</v>
      </c>
      <c r="AD34" s="48">
        <f t="shared" ca="1" si="27"/>
        <v>0.20766129032258066</v>
      </c>
      <c r="AE34" s="48">
        <f t="shared" ca="1" si="28"/>
        <v>0.37600806451612906</v>
      </c>
      <c r="AF34" s="48">
        <f t="shared" ca="1" si="29"/>
        <v>1</v>
      </c>
      <c r="AG34" s="46"/>
      <c r="AH34" s="49">
        <f t="shared" ca="1" si="30"/>
        <v>297762.34541198955</v>
      </c>
      <c r="AI34" s="39">
        <f t="shared" ca="1" si="31"/>
        <v>4122538.3295796374</v>
      </c>
      <c r="AJ34" s="39">
        <f t="shared" ca="1" si="32"/>
        <v>15953957.755558601</v>
      </c>
      <c r="AK34" s="39">
        <f t="shared" ca="1" si="33"/>
        <v>9423954</v>
      </c>
      <c r="AL34" s="46"/>
      <c r="AM34" s="39">
        <f t="shared" ca="1" si="34"/>
        <v>29798212.430550229</v>
      </c>
      <c r="AN34" s="39">
        <f t="shared" ca="1" si="35"/>
        <v>496147581.12</v>
      </c>
      <c r="AO34" s="48">
        <f t="shared" ca="1" si="36"/>
        <v>5.0182036222196469E-2</v>
      </c>
      <c r="AP34" s="39">
        <f t="shared" ca="1" si="37"/>
        <v>754218538.40657926</v>
      </c>
      <c r="AQ34" s="45">
        <f t="shared" ca="1" si="38"/>
        <v>25.3108652126168</v>
      </c>
      <c r="AR34" s="48">
        <f t="shared" ca="1" si="39"/>
        <v>8.056828910215813E-2</v>
      </c>
      <c r="AT34" s="39">
        <f t="shared" ca="1" si="59"/>
        <v>28021</v>
      </c>
      <c r="AU34" s="39">
        <f t="shared" ca="1" si="59"/>
        <v>224989</v>
      </c>
      <c r="AV34" s="39">
        <f t="shared" ca="1" si="59"/>
        <v>65956.100000000006</v>
      </c>
      <c r="AX34" s="55">
        <f t="shared" ca="1" si="50"/>
        <v>42596.111457367406</v>
      </c>
      <c r="AY34" s="55">
        <f t="shared" ca="1" si="51"/>
        <v>342016.93446635146</v>
      </c>
      <c r="AZ34" s="55">
        <f t="shared" ca="1" si="52"/>
        <v>100263.13789276866</v>
      </c>
      <c r="BB34" s="39">
        <f t="shared" ca="1" si="60"/>
        <v>18989140</v>
      </c>
      <c r="BC34" s="39">
        <f t="shared" ca="1" si="60"/>
        <v>32790251</v>
      </c>
      <c r="BD34" s="39">
        <f t="shared" ca="1" si="60"/>
        <v>20147768</v>
      </c>
      <c r="BE34" s="39">
        <f t="shared" ca="1" si="60"/>
        <v>6067765</v>
      </c>
      <c r="BG34" s="56">
        <f t="shared" ca="1" si="43"/>
        <v>318966.09999999998</v>
      </c>
      <c r="BH34" s="51">
        <f t="shared" ca="1" si="44"/>
        <v>0.67514683358465288</v>
      </c>
      <c r="BI34" s="56">
        <f t="shared" ca="1" si="45"/>
        <v>71927159</v>
      </c>
      <c r="BJ34" s="58">
        <f t="shared" ca="1" si="53"/>
        <v>4.4345710915677898E-3</v>
      </c>
      <c r="BK34" s="58">
        <f t="shared" ca="1" si="54"/>
        <v>6.7412113943842478</v>
      </c>
      <c r="BL34" s="58"/>
      <c r="BM34" s="60">
        <f t="shared" ca="1" si="55"/>
        <v>0.3011631362838802</v>
      </c>
      <c r="BO34">
        <f t="shared" ca="1" si="56"/>
        <v>5.1796187135642484E-2</v>
      </c>
    </row>
    <row r="35" spans="1:67" ht="21" customHeight="1" x14ac:dyDescent="0.2">
      <c r="A35" s="22">
        <f t="shared" si="57"/>
        <v>1992</v>
      </c>
      <c r="B35" s="39">
        <f t="shared" ca="1" si="46"/>
        <v>6520.3</v>
      </c>
      <c r="C35" s="39">
        <f t="shared" ca="1" si="46"/>
        <v>9691.1</v>
      </c>
      <c r="D35" s="45">
        <f t="shared" ca="1" si="46"/>
        <v>0.67281999999999997</v>
      </c>
      <c r="E35" s="46"/>
      <c r="F35" s="39">
        <f t="shared" ca="1" si="47"/>
        <v>58446341</v>
      </c>
      <c r="G35" s="39">
        <f t="shared" ca="1" si="47"/>
        <v>476845</v>
      </c>
      <c r="H35" s="46">
        <f t="shared" ca="1" si="47"/>
        <v>8.16</v>
      </c>
      <c r="I35" s="47">
        <f t="shared" ca="1" si="48"/>
        <v>1.6177701349496694E-4</v>
      </c>
      <c r="J35" s="39">
        <f t="shared" ca="1" si="17"/>
        <v>708725.95939478616</v>
      </c>
      <c r="K35" s="45">
        <f t="shared" ca="1" si="18"/>
        <v>12.12805802443447</v>
      </c>
      <c r="L35" s="48">
        <f t="shared" ca="1" si="19"/>
        <v>7.3132371209913657E-2</v>
      </c>
      <c r="M35" s="46"/>
      <c r="N35" s="39">
        <f t="shared" ca="1" si="49"/>
        <v>2654180</v>
      </c>
      <c r="O35" s="39">
        <f t="shared" ca="1" si="49"/>
        <v>17308847</v>
      </c>
      <c r="P35" s="39">
        <f t="shared" ca="1" si="49"/>
        <v>32478219</v>
      </c>
      <c r="Q35" s="39">
        <f t="shared" ca="1" si="49"/>
        <v>9428603</v>
      </c>
      <c r="R35" s="46"/>
      <c r="S35" s="46">
        <f t="shared" ca="1" si="58"/>
        <v>1.63</v>
      </c>
      <c r="T35" s="46">
        <f t="shared" ca="1" si="58"/>
        <v>4.1900000000000004</v>
      </c>
      <c r="U35" s="46">
        <f t="shared" ca="1" si="58"/>
        <v>7.28</v>
      </c>
      <c r="V35" s="46">
        <f t="shared" ca="1" si="58"/>
        <v>20.059999999999999</v>
      </c>
      <c r="W35" s="46"/>
      <c r="X35" s="45">
        <f t="shared" ca="1" si="22"/>
        <v>2.4226390416456112</v>
      </c>
      <c r="Y35" s="45">
        <f t="shared" ca="1" si="23"/>
        <v>6.2275199904877985</v>
      </c>
      <c r="Z35" s="45">
        <f t="shared" ca="1" si="24"/>
        <v>10.820130198269968</v>
      </c>
      <c r="AA35" s="45">
        <f t="shared" ca="1" si="25"/>
        <v>29.814809310068071</v>
      </c>
      <c r="AB35" s="46"/>
      <c r="AC35" s="48">
        <f t="shared" ca="1" si="26"/>
        <v>8.1256231306081755E-2</v>
      </c>
      <c r="AD35" s="48">
        <f t="shared" ca="1" si="27"/>
        <v>0.20887337986041879</v>
      </c>
      <c r="AE35" s="48">
        <f t="shared" ca="1" si="28"/>
        <v>0.3629112662013958</v>
      </c>
      <c r="AF35" s="48">
        <f t="shared" ca="1" si="29"/>
        <v>1</v>
      </c>
      <c r="AG35" s="46"/>
      <c r="AH35" s="49">
        <f t="shared" ca="1" si="30"/>
        <v>288309.28804872104</v>
      </c>
      <c r="AI35" s="39">
        <f t="shared" ca="1" si="31"/>
        <v>4260421.4972993387</v>
      </c>
      <c r="AJ35" s="39">
        <f t="shared" ca="1" si="32"/>
        <v>16401503.479261063</v>
      </c>
      <c r="AK35" s="39">
        <f t="shared" ca="1" si="33"/>
        <v>9428603</v>
      </c>
      <c r="AL35" s="46"/>
      <c r="AM35" s="39">
        <f t="shared" ca="1" si="34"/>
        <v>30378837.264609121</v>
      </c>
      <c r="AN35" s="39">
        <f t="shared" ca="1" si="35"/>
        <v>502429592.83000004</v>
      </c>
      <c r="AO35" s="48">
        <f t="shared" ca="1" si="36"/>
        <v>5.3653897660665494E-2</v>
      </c>
      <c r="AP35" s="39">
        <f t="shared" ca="1" si="37"/>
        <v>746751869.48961091</v>
      </c>
      <c r="AQ35" s="45">
        <f t="shared" ca="1" si="38"/>
        <v>24.581318336352702</v>
      </c>
      <c r="AR35" s="48">
        <f t="shared" ca="1" si="39"/>
        <v>7.705620797049216E-2</v>
      </c>
      <c r="AT35" s="39">
        <f t="shared" ca="1" si="59"/>
        <v>27592.400000000001</v>
      </c>
      <c r="AU35" s="39">
        <f t="shared" ca="1" si="59"/>
        <v>223444.8</v>
      </c>
      <c r="AV35" s="39">
        <f t="shared" ca="1" si="59"/>
        <v>70086</v>
      </c>
      <c r="AX35" s="55">
        <f t="shared" ca="1" si="50"/>
        <v>41010.076989387955</v>
      </c>
      <c r="AY35" s="55">
        <f t="shared" ca="1" si="51"/>
        <v>332101.89946791116</v>
      </c>
      <c r="AZ35" s="55">
        <f t="shared" ca="1" si="52"/>
        <v>104167.53366427872</v>
      </c>
      <c r="BB35" s="39">
        <f t="shared" ca="1" si="60"/>
        <v>19117802</v>
      </c>
      <c r="BC35" s="39">
        <f t="shared" ca="1" si="60"/>
        <v>33468926</v>
      </c>
      <c r="BD35" s="39">
        <f t="shared" ca="1" si="60"/>
        <v>20843610</v>
      </c>
      <c r="BE35" s="39">
        <f t="shared" ca="1" si="60"/>
        <v>5820528</v>
      </c>
      <c r="BG35" s="56">
        <f t="shared" ca="1" si="43"/>
        <v>321123.19999999995</v>
      </c>
      <c r="BH35" s="51">
        <f t="shared" ca="1" si="44"/>
        <v>0.67343308622298637</v>
      </c>
      <c r="BI35" s="56">
        <f t="shared" ca="1" si="45"/>
        <v>73430338</v>
      </c>
      <c r="BJ35" s="58">
        <f t="shared" ca="1" si="53"/>
        <v>4.3731679404771353E-3</v>
      </c>
      <c r="BK35" s="58">
        <f t="shared" ca="1" si="54"/>
        <v>6.4997591339097163</v>
      </c>
      <c r="BL35" s="58"/>
      <c r="BM35" s="60">
        <f t="shared" ca="1" si="55"/>
        <v>0.27924759674547739</v>
      </c>
      <c r="BO35">
        <f t="shared" ca="1" si="56"/>
        <v>4.9249758446697225E-2</v>
      </c>
    </row>
    <row r="36" spans="1:67" ht="21" customHeight="1" x14ac:dyDescent="0.2">
      <c r="A36" s="22">
        <f t="shared" si="57"/>
        <v>1993</v>
      </c>
      <c r="B36" s="39">
        <f t="shared" ca="1" si="46"/>
        <v>6858.6</v>
      </c>
      <c r="C36" s="39">
        <f t="shared" ca="1" si="46"/>
        <v>9957.7000000000007</v>
      </c>
      <c r="D36" s="45">
        <f t="shared" ca="1" si="46"/>
        <v>0.68876999999999999</v>
      </c>
      <c r="E36" s="46"/>
      <c r="F36" s="39">
        <f t="shared" ca="1" si="47"/>
        <v>59375400</v>
      </c>
      <c r="G36" s="39">
        <f t="shared" ca="1" si="47"/>
        <v>492274.6</v>
      </c>
      <c r="H36" s="46">
        <f t="shared" ca="1" si="47"/>
        <v>8.2899999999999991</v>
      </c>
      <c r="I36" s="47">
        <f t="shared" ca="1" si="48"/>
        <v>1.0671686087407985E-4</v>
      </c>
      <c r="J36" s="39">
        <f t="shared" ca="1" si="17"/>
        <v>714715.50735368847</v>
      </c>
      <c r="K36" s="45">
        <f t="shared" ca="1" si="18"/>
        <v>12.035948139436966</v>
      </c>
      <c r="L36" s="48">
        <f t="shared" ca="1" si="19"/>
        <v>7.1774793689674266E-2</v>
      </c>
      <c r="M36" s="46"/>
      <c r="N36" s="39">
        <f t="shared" ca="1" si="49"/>
        <v>2641704</v>
      </c>
      <c r="O36" s="39">
        <f t="shared" ca="1" si="49"/>
        <v>17816991</v>
      </c>
      <c r="P36" s="39">
        <f t="shared" ca="1" si="49"/>
        <v>32562763</v>
      </c>
      <c r="Q36" s="39">
        <f t="shared" ca="1" si="49"/>
        <v>9763310</v>
      </c>
      <c r="R36" s="46"/>
      <c r="S36" s="46">
        <f t="shared" ca="1" si="58"/>
        <v>1.59</v>
      </c>
      <c r="T36" s="46">
        <f t="shared" ca="1" si="58"/>
        <v>4.46</v>
      </c>
      <c r="U36" s="46">
        <f t="shared" ca="1" si="58"/>
        <v>7.25</v>
      </c>
      <c r="V36" s="46">
        <f t="shared" ca="1" si="58"/>
        <v>20.38</v>
      </c>
      <c r="W36" s="46"/>
      <c r="X36" s="45">
        <f t="shared" ca="1" si="22"/>
        <v>2.3084629121477418</v>
      </c>
      <c r="Y36" s="45">
        <f t="shared" ca="1" si="23"/>
        <v>6.4753110617477532</v>
      </c>
      <c r="Z36" s="45">
        <f t="shared" ca="1" si="24"/>
        <v>10.526010134006999</v>
      </c>
      <c r="AA36" s="45">
        <f t="shared" ca="1" si="25"/>
        <v>29.588977452560361</v>
      </c>
      <c r="AB36" s="46"/>
      <c r="AC36" s="48">
        <f t="shared" ca="1" si="26"/>
        <v>7.8017664376840046E-2</v>
      </c>
      <c r="AD36" s="48">
        <f t="shared" ca="1" si="27"/>
        <v>0.21884200196270853</v>
      </c>
      <c r="AE36" s="48">
        <f t="shared" ca="1" si="28"/>
        <v>0.35574092247301281</v>
      </c>
      <c r="AF36" s="48">
        <f t="shared" ca="1" si="29"/>
        <v>1</v>
      </c>
      <c r="AG36" s="46"/>
      <c r="AH36" s="49">
        <f t="shared" ca="1" si="30"/>
        <v>286954.08731715957</v>
      </c>
      <c r="AI36" s="39">
        <f t="shared" ca="1" si="31"/>
        <v>4385496.7042916743</v>
      </c>
      <c r="AJ36" s="39">
        <f t="shared" ca="1" si="32"/>
        <v>16444198.206769079</v>
      </c>
      <c r="AK36" s="39">
        <f t="shared" ca="1" si="33"/>
        <v>9763310</v>
      </c>
      <c r="AL36" s="46"/>
      <c r="AM36" s="39">
        <f t="shared" ca="1" si="34"/>
        <v>30879958.998377912</v>
      </c>
      <c r="AN36" s="39">
        <f t="shared" ca="1" si="35"/>
        <v>518720378.76999998</v>
      </c>
      <c r="AO36" s="48">
        <f t="shared" ca="1" si="36"/>
        <v>5.3721599225310376E-2</v>
      </c>
      <c r="AP36" s="39">
        <f t="shared" ca="1" si="37"/>
        <v>753111167.39985776</v>
      </c>
      <c r="AQ36" s="45">
        <f t="shared" ca="1" si="38"/>
        <v>24.388347388654818</v>
      </c>
      <c r="AR36" s="48">
        <f t="shared" ca="1" si="39"/>
        <v>7.5630650390750287E-2</v>
      </c>
      <c r="AT36" s="39">
        <f t="shared" ca="1" si="59"/>
        <v>28112.1</v>
      </c>
      <c r="AU36" s="39">
        <f t="shared" ca="1" si="59"/>
        <v>224302.3</v>
      </c>
      <c r="AV36" s="39">
        <f t="shared" ca="1" si="59"/>
        <v>77052.2</v>
      </c>
      <c r="AX36" s="55">
        <f t="shared" ca="1" si="50"/>
        <v>40814.930963892155</v>
      </c>
      <c r="AY36" s="55">
        <f t="shared" ca="1" si="51"/>
        <v>325656.31488014868</v>
      </c>
      <c r="AZ36" s="55">
        <f t="shared" ca="1" si="52"/>
        <v>111869.27421345297</v>
      </c>
      <c r="BB36" s="39">
        <f t="shared" ca="1" si="60"/>
        <v>19836126</v>
      </c>
      <c r="BC36" s="39">
        <f t="shared" ca="1" si="60"/>
        <v>33686553</v>
      </c>
      <c r="BD36" s="39">
        <f t="shared" ca="1" si="60"/>
        <v>21376406</v>
      </c>
      <c r="BE36" s="39">
        <f t="shared" ca="1" si="60"/>
        <v>6079341</v>
      </c>
      <c r="BG36" s="56">
        <f t="shared" ca="1" si="43"/>
        <v>329466.59999999998</v>
      </c>
      <c r="BH36" s="51">
        <f t="shared" ca="1" si="44"/>
        <v>0.66927401901296546</v>
      </c>
      <c r="BI36" s="56">
        <f t="shared" ca="1" si="45"/>
        <v>74899085</v>
      </c>
      <c r="BJ36" s="58">
        <f t="shared" ca="1" si="53"/>
        <v>4.3988067410970369E-3</v>
      </c>
      <c r="BK36" s="58">
        <f t="shared" ca="1" si="54"/>
        <v>6.3864668047345807</v>
      </c>
      <c r="BL36" s="58"/>
      <c r="BM36" s="60">
        <f t="shared" ca="1" si="55"/>
        <v>0.28439490717008276</v>
      </c>
      <c r="BO36">
        <f t="shared" ca="1" si="56"/>
        <v>4.8037004636514738E-2</v>
      </c>
    </row>
    <row r="37" spans="1:67" ht="21" customHeight="1" x14ac:dyDescent="0.2">
      <c r="A37" s="22">
        <f t="shared" si="57"/>
        <v>1994</v>
      </c>
      <c r="B37" s="39">
        <f t="shared" ca="1" si="46"/>
        <v>7287.2</v>
      </c>
      <c r="C37" s="39">
        <f t="shared" ca="1" si="46"/>
        <v>10358.9</v>
      </c>
      <c r="D37" s="45">
        <f t="shared" ca="1" si="46"/>
        <v>0.70347000000000004</v>
      </c>
      <c r="E37" s="46"/>
      <c r="F37" s="39">
        <f t="shared" ca="1" si="47"/>
        <v>60606373</v>
      </c>
      <c r="G37" s="39">
        <f t="shared" ca="1" si="47"/>
        <v>504856.4</v>
      </c>
      <c r="H37" s="46">
        <f t="shared" ca="1" si="47"/>
        <v>8.33</v>
      </c>
      <c r="I37" s="47">
        <f t="shared" ca="1" si="48"/>
        <v>1.05236063165263E-5</v>
      </c>
      <c r="J37" s="39">
        <f t="shared" ca="1" si="17"/>
        <v>717665.85639757197</v>
      </c>
      <c r="K37" s="45">
        <f t="shared" ca="1" si="18"/>
        <v>11.841300979430537</v>
      </c>
      <c r="L37" s="48">
        <f t="shared" ca="1" si="19"/>
        <v>6.9279888022834565E-2</v>
      </c>
      <c r="M37" s="46"/>
      <c r="N37" s="39">
        <f t="shared" ca="1" si="49"/>
        <v>2644480</v>
      </c>
      <c r="O37" s="39">
        <f t="shared" ca="1" si="49"/>
        <v>17870420</v>
      </c>
      <c r="P37" s="39">
        <f t="shared" ca="1" si="49"/>
        <v>33505437</v>
      </c>
      <c r="Q37" s="39">
        <f t="shared" ca="1" si="49"/>
        <v>10012728</v>
      </c>
      <c r="R37" s="46"/>
      <c r="S37" s="46">
        <f t="shared" ca="1" si="58"/>
        <v>1.58</v>
      </c>
      <c r="T37" s="46">
        <f t="shared" ca="1" si="58"/>
        <v>4.55</v>
      </c>
      <c r="U37" s="46">
        <f t="shared" ca="1" si="58"/>
        <v>7.27</v>
      </c>
      <c r="V37" s="46">
        <f t="shared" ca="1" si="58"/>
        <v>20.329999999999998</v>
      </c>
      <c r="W37" s="46"/>
      <c r="X37" s="45">
        <f t="shared" ca="1" si="22"/>
        <v>2.2460090693277608</v>
      </c>
      <c r="Y37" s="45">
        <f t="shared" ca="1" si="23"/>
        <v>6.4679375097729821</v>
      </c>
      <c r="Z37" s="45">
        <f t="shared" ca="1" si="24"/>
        <v>10.334484768362545</v>
      </c>
      <c r="AA37" s="45">
        <f t="shared" ca="1" si="25"/>
        <v>28.899597708502135</v>
      </c>
      <c r="AB37" s="46"/>
      <c r="AC37" s="48">
        <f t="shared" ca="1" si="26"/>
        <v>7.7717658632562719E-2</v>
      </c>
      <c r="AD37" s="48">
        <f t="shared" ca="1" si="27"/>
        <v>0.22380718150516479</v>
      </c>
      <c r="AE37" s="48">
        <f t="shared" ca="1" si="28"/>
        <v>0.35759960649286771</v>
      </c>
      <c r="AF37" s="48">
        <f t="shared" ca="1" si="29"/>
        <v>1</v>
      </c>
      <c r="AG37" s="46"/>
      <c r="AH37" s="49">
        <f t="shared" ca="1" si="30"/>
        <v>287255.6292561476</v>
      </c>
      <c r="AI37" s="39">
        <f t="shared" ca="1" si="31"/>
        <v>4398647.7859425321</v>
      </c>
      <c r="AJ37" s="39">
        <f t="shared" ca="1" si="32"/>
        <v>16920248.660484195</v>
      </c>
      <c r="AK37" s="39">
        <f t="shared" ca="1" si="33"/>
        <v>10012728</v>
      </c>
      <c r="AL37" s="46"/>
      <c r="AM37" s="39">
        <f t="shared" ca="1" si="34"/>
        <v>31618880.075682875</v>
      </c>
      <c r="AN37" s="39">
        <f t="shared" ca="1" si="35"/>
        <v>532631976.63</v>
      </c>
      <c r="AO37" s="48">
        <f t="shared" ca="1" si="36"/>
        <v>5.5016786218813951E-2</v>
      </c>
      <c r="AP37" s="39">
        <f t="shared" ca="1" si="37"/>
        <v>757149525.39553916</v>
      </c>
      <c r="AQ37" s="45">
        <f t="shared" ca="1" si="38"/>
        <v>23.946120912038246</v>
      </c>
      <c r="AR37" s="48">
        <f t="shared" ca="1" si="39"/>
        <v>7.3091444811450218E-2</v>
      </c>
      <c r="AT37" s="39">
        <f t="shared" ca="1" si="59"/>
        <v>27580.3</v>
      </c>
      <c r="AU37" s="39">
        <f t="shared" ca="1" si="59"/>
        <v>230687.6</v>
      </c>
      <c r="AV37" s="39">
        <f t="shared" ca="1" si="59"/>
        <v>78581.2</v>
      </c>
      <c r="AX37" s="55">
        <f t="shared" ca="1" si="50"/>
        <v>39206.078439734454</v>
      </c>
      <c r="AY37" s="55">
        <f t="shared" ca="1" si="51"/>
        <v>327928.12770978152</v>
      </c>
      <c r="AZ37" s="55">
        <f t="shared" ca="1" si="52"/>
        <v>111705.11891054343</v>
      </c>
      <c r="BB37" s="39">
        <f t="shared" ca="1" si="60"/>
        <v>19903559</v>
      </c>
      <c r="BC37" s="39">
        <f t="shared" ca="1" si="60"/>
        <v>34564117</v>
      </c>
      <c r="BD37" s="39">
        <f t="shared" ca="1" si="60"/>
        <v>21870095</v>
      </c>
      <c r="BE37" s="39">
        <f t="shared" ca="1" si="60"/>
        <v>5987124</v>
      </c>
      <c r="BG37" s="56">
        <f t="shared" ca="1" si="43"/>
        <v>336849.1</v>
      </c>
      <c r="BH37" s="51">
        <f t="shared" ca="1" si="44"/>
        <v>0.66721764842438358</v>
      </c>
      <c r="BI37" s="56">
        <f t="shared" ca="1" si="45"/>
        <v>76337771</v>
      </c>
      <c r="BJ37" s="58">
        <f t="shared" ca="1" si="53"/>
        <v>4.412613776737075E-3</v>
      </c>
      <c r="BK37" s="58">
        <f t="shared" ca="1" si="54"/>
        <v>6.2726395961975276</v>
      </c>
      <c r="BL37" s="58"/>
      <c r="BM37" s="60">
        <f t="shared" ca="1" si="55"/>
        <v>0.27375848161610639</v>
      </c>
      <c r="BO37">
        <f t="shared" ca="1" si="56"/>
        <v>4.6224763969700294E-2</v>
      </c>
    </row>
    <row r="38" spans="1:67" ht="21" customHeight="1" x14ac:dyDescent="0.2">
      <c r="A38" s="22">
        <f t="shared" si="57"/>
        <v>1995</v>
      </c>
      <c r="B38" s="39">
        <f t="shared" ca="1" si="46"/>
        <v>7639.7</v>
      </c>
      <c r="C38" s="39">
        <f t="shared" ca="1" si="46"/>
        <v>10637</v>
      </c>
      <c r="D38" s="45">
        <f t="shared" ca="1" si="46"/>
        <v>0.71823000000000004</v>
      </c>
      <c r="E38" s="46"/>
      <c r="F38" s="39">
        <f t="shared" ca="1" si="47"/>
        <v>61958913</v>
      </c>
      <c r="G38" s="39">
        <f t="shared" ca="1" si="47"/>
        <v>514623.5</v>
      </c>
      <c r="H38" s="46">
        <f t="shared" ca="1" si="47"/>
        <v>8.31</v>
      </c>
      <c r="I38" s="47">
        <f t="shared" ca="1" si="48"/>
        <v>4.9563813156615409E-4</v>
      </c>
      <c r="J38" s="39">
        <f t="shared" ca="1" si="17"/>
        <v>716516.2970079222</v>
      </c>
      <c r="K38" s="45">
        <f t="shared" ca="1" si="18"/>
        <v>11.570109853389583</v>
      </c>
      <c r="L38" s="48">
        <f t="shared" ca="1" si="19"/>
        <v>6.7361741953218063E-2</v>
      </c>
      <c r="M38" s="46"/>
      <c r="N38" s="39">
        <f t="shared" ca="1" si="49"/>
        <v>2633778</v>
      </c>
      <c r="O38" s="39">
        <f t="shared" ca="1" si="49"/>
        <v>18506020</v>
      </c>
      <c r="P38" s="39">
        <f t="shared" ca="1" si="49"/>
        <v>33705253</v>
      </c>
      <c r="Q38" s="39">
        <f t="shared" ca="1" si="49"/>
        <v>10281334</v>
      </c>
      <c r="R38" s="46"/>
      <c r="S38" s="46">
        <f t="shared" ca="1" si="58"/>
        <v>1.58</v>
      </c>
      <c r="T38" s="46">
        <f t="shared" ca="1" si="58"/>
        <v>4.2</v>
      </c>
      <c r="U38" s="46">
        <f t="shared" ca="1" si="58"/>
        <v>7.44</v>
      </c>
      <c r="V38" s="46">
        <f t="shared" ca="1" si="58"/>
        <v>20.29</v>
      </c>
      <c r="W38" s="46"/>
      <c r="X38" s="45">
        <f t="shared" ca="1" si="22"/>
        <v>2.1998524149645657</v>
      </c>
      <c r="Y38" s="45">
        <f t="shared" ca="1" si="23"/>
        <v>5.8477089511716303</v>
      </c>
      <c r="Z38" s="45">
        <f t="shared" ca="1" si="24"/>
        <v>10.358798713504031</v>
      </c>
      <c r="AA38" s="45">
        <f t="shared" ca="1" si="25"/>
        <v>28.250003480779135</v>
      </c>
      <c r="AB38" s="46"/>
      <c r="AC38" s="48">
        <f t="shared" ca="1" si="26"/>
        <v>7.7870872350911793E-2</v>
      </c>
      <c r="AD38" s="48">
        <f t="shared" ca="1" si="27"/>
        <v>0.20699852143913258</v>
      </c>
      <c r="AE38" s="48">
        <f t="shared" ca="1" si="28"/>
        <v>0.3666830951207492</v>
      </c>
      <c r="AF38" s="48">
        <f t="shared" ca="1" si="29"/>
        <v>1</v>
      </c>
      <c r="AG38" s="46"/>
      <c r="AH38" s="49">
        <f t="shared" ca="1" si="30"/>
        <v>286093.12859654753</v>
      </c>
      <c r="AI38" s="39">
        <f t="shared" ca="1" si="31"/>
        <v>4555095.1740142778</v>
      </c>
      <c r="AJ38" s="39">
        <f t="shared" ca="1" si="32"/>
        <v>17021155.758229058</v>
      </c>
      <c r="AK38" s="39">
        <f t="shared" ca="1" si="33"/>
        <v>10281334</v>
      </c>
      <c r="AL38" s="46"/>
      <c r="AM38" s="39">
        <f t="shared" ca="1" si="34"/>
        <v>32143678.060839884</v>
      </c>
      <c r="AN38" s="39">
        <f t="shared" ca="1" si="35"/>
        <v>541262002.41999996</v>
      </c>
      <c r="AO38" s="48">
        <f t="shared" ca="1" si="36"/>
        <v>5.1763089753965603E-2</v>
      </c>
      <c r="AP38" s="39">
        <f t="shared" ca="1" si="37"/>
        <v>753605394.40012252</v>
      </c>
      <c r="AQ38" s="45">
        <f t="shared" ca="1" si="38"/>
        <v>23.444902384031391</v>
      </c>
      <c r="AR38" s="48">
        <f t="shared" ca="1" si="39"/>
        <v>7.0848593847925967E-2</v>
      </c>
      <c r="AT38" s="39">
        <f t="shared" ca="1" si="59"/>
        <v>27298.1</v>
      </c>
      <c r="AU38" s="39">
        <f t="shared" ca="1" si="59"/>
        <v>237612.5</v>
      </c>
      <c r="AV38" s="39">
        <f t="shared" ca="1" si="59"/>
        <v>75019.7</v>
      </c>
      <c r="AX38" s="55">
        <f t="shared" ca="1" si="50"/>
        <v>38007.462790471014</v>
      </c>
      <c r="AY38" s="55">
        <f t="shared" ca="1" si="51"/>
        <v>330830.65313339734</v>
      </c>
      <c r="AZ38" s="55">
        <f t="shared" ca="1" si="52"/>
        <v>104450.80266766912</v>
      </c>
      <c r="BB38" s="39">
        <f t="shared" ca="1" si="60"/>
        <v>20098843</v>
      </c>
      <c r="BC38" s="39">
        <f t="shared" ca="1" si="60"/>
        <v>34459757</v>
      </c>
      <c r="BD38" s="39">
        <f t="shared" ca="1" si="60"/>
        <v>22832593</v>
      </c>
      <c r="BE38" s="39">
        <f t="shared" ca="1" si="60"/>
        <v>6559334</v>
      </c>
      <c r="BG38" s="56">
        <f t="shared" ca="1" si="43"/>
        <v>339930.3</v>
      </c>
      <c r="BH38" s="51">
        <f t="shared" ca="1" si="44"/>
        <v>0.66054173585154974</v>
      </c>
      <c r="BI38" s="56">
        <f t="shared" ca="1" si="45"/>
        <v>77391193</v>
      </c>
      <c r="BJ38" s="58">
        <f t="shared" ca="1" si="53"/>
        <v>4.3923641285643442E-3</v>
      </c>
      <c r="BK38" s="58">
        <f t="shared" ca="1" si="54"/>
        <v>6.1155397693835454</v>
      </c>
      <c r="BL38" s="58"/>
      <c r="BM38" s="60">
        <f t="shared" ca="1" si="55"/>
        <v>0.28727941675305996</v>
      </c>
      <c r="BO38">
        <f t="shared" ca="1" si="56"/>
        <v>4.4495241959762816E-2</v>
      </c>
    </row>
    <row r="39" spans="1:67" ht="21" customHeight="1" x14ac:dyDescent="0.2">
      <c r="A39" s="22">
        <f t="shared" si="57"/>
        <v>1996</v>
      </c>
      <c r="B39" s="39">
        <f t="shared" ca="1" si="46"/>
        <v>8073.1</v>
      </c>
      <c r="C39" s="39">
        <f t="shared" ca="1" si="46"/>
        <v>11038.3</v>
      </c>
      <c r="D39" s="45">
        <f t="shared" ca="1" si="46"/>
        <v>0.73138000000000003</v>
      </c>
      <c r="E39" s="46"/>
      <c r="F39" s="39">
        <f t="shared" ca="1" si="47"/>
        <v>63884448</v>
      </c>
      <c r="G39" s="39">
        <f t="shared" ca="1" si="47"/>
        <v>560292.9</v>
      </c>
      <c r="H39" s="46">
        <f t="shared" ca="1" si="47"/>
        <v>8.77</v>
      </c>
      <c r="I39" s="47">
        <f t="shared" ca="1" si="48"/>
        <v>4.6923742921169446E-5</v>
      </c>
      <c r="J39" s="39">
        <f t="shared" ca="1" si="17"/>
        <v>766076.32147447288</v>
      </c>
      <c r="K39" s="45">
        <f t="shared" ca="1" si="18"/>
        <v>11.991030654379392</v>
      </c>
      <c r="L39" s="48">
        <f t="shared" ca="1" si="19"/>
        <v>6.9402447634737588E-2</v>
      </c>
      <c r="M39" s="46"/>
      <c r="N39" s="39">
        <f t="shared" ca="1" si="49"/>
        <v>2574580</v>
      </c>
      <c r="O39" s="39">
        <f t="shared" ca="1" si="49"/>
        <v>19380605</v>
      </c>
      <c r="P39" s="39">
        <f t="shared" ca="1" si="49"/>
        <v>34857196</v>
      </c>
      <c r="Q39" s="39">
        <f t="shared" ca="1" si="49"/>
        <v>10581045</v>
      </c>
      <c r="R39" s="46"/>
      <c r="S39" s="46">
        <f t="shared" ca="1" si="58"/>
        <v>1.57</v>
      </c>
      <c r="T39" s="46">
        <f t="shared" ca="1" si="58"/>
        <v>4.62</v>
      </c>
      <c r="U39" s="46">
        <f t="shared" ca="1" si="58"/>
        <v>8.18</v>
      </c>
      <c r="V39" s="46">
        <f t="shared" ca="1" si="58"/>
        <v>20.16</v>
      </c>
      <c r="W39" s="46"/>
      <c r="X39" s="45">
        <f t="shared" ca="1" si="22"/>
        <v>2.1466269244442016</v>
      </c>
      <c r="Y39" s="45">
        <f t="shared" ca="1" si="23"/>
        <v>6.316825726708414</v>
      </c>
      <c r="Z39" s="45">
        <f t="shared" ca="1" si="24"/>
        <v>11.184336459843035</v>
      </c>
      <c r="AA39" s="45">
        <f t="shared" ca="1" si="25"/>
        <v>27.564330443818534</v>
      </c>
      <c r="AB39" s="46"/>
      <c r="AC39" s="48">
        <f t="shared" ca="1" si="26"/>
        <v>7.7876984126984142E-2</v>
      </c>
      <c r="AD39" s="48">
        <f t="shared" ca="1" si="27"/>
        <v>0.22916666666666666</v>
      </c>
      <c r="AE39" s="48">
        <f t="shared" ca="1" si="28"/>
        <v>0.4057539682539682</v>
      </c>
      <c r="AF39" s="48">
        <f t="shared" ca="1" si="29"/>
        <v>1</v>
      </c>
      <c r="AG39" s="46"/>
      <c r="AH39" s="49">
        <f t="shared" ca="1" si="30"/>
        <v>279662.76847255131</v>
      </c>
      <c r="AI39" s="39">
        <f t="shared" ca="1" si="31"/>
        <v>4770366.6323162392</v>
      </c>
      <c r="AJ39" s="39">
        <f t="shared" ca="1" si="32"/>
        <v>17602887.075528521</v>
      </c>
      <c r="AK39" s="39">
        <f t="shared" ca="1" si="33"/>
        <v>10581045</v>
      </c>
      <c r="AL39" s="46"/>
      <c r="AM39" s="39">
        <f t="shared" ca="1" si="34"/>
        <v>33233961.476317313</v>
      </c>
      <c r="AN39" s="39">
        <f t="shared" ca="1" si="35"/>
        <v>592026216.17999995</v>
      </c>
      <c r="AO39" s="48">
        <f t="shared" ca="1" si="36"/>
        <v>5.6637012855240469E-2</v>
      </c>
      <c r="AP39" s="39">
        <f t="shared" ca="1" si="37"/>
        <v>809464595.9419179</v>
      </c>
      <c r="AQ39" s="45">
        <f t="shared" ca="1" si="38"/>
        <v>24.356548542031213</v>
      </c>
      <c r="AR39" s="48">
        <f t="shared" ca="1" si="39"/>
        <v>7.3333194953611375E-2</v>
      </c>
      <c r="AT39" s="39">
        <f t="shared" ca="1" si="59"/>
        <v>27911.3</v>
      </c>
      <c r="AU39" s="39">
        <f t="shared" ca="1" si="59"/>
        <v>268631</v>
      </c>
      <c r="AV39" s="39">
        <f t="shared" ca="1" si="59"/>
        <v>86904.2</v>
      </c>
      <c r="AX39" s="55">
        <f t="shared" ca="1" si="50"/>
        <v>38162.514698241677</v>
      </c>
      <c r="AY39" s="55">
        <f t="shared" ca="1" si="51"/>
        <v>367293.33588558616</v>
      </c>
      <c r="AZ39" s="55">
        <f t="shared" ca="1" si="52"/>
        <v>118822.22647597692</v>
      </c>
      <c r="BB39" s="39">
        <f t="shared" ca="1" si="60"/>
        <v>21002157</v>
      </c>
      <c r="BC39" s="39">
        <f t="shared" ca="1" si="60"/>
        <v>35674458</v>
      </c>
      <c r="BD39" s="39">
        <f t="shared" ca="1" si="60"/>
        <v>23262444</v>
      </c>
      <c r="BE39" s="39">
        <f t="shared" ca="1" si="60"/>
        <v>7012355</v>
      </c>
      <c r="BG39" s="56">
        <f t="shared" ca="1" si="43"/>
        <v>383446.5</v>
      </c>
      <c r="BH39" s="51">
        <f t="shared" ca="1" si="44"/>
        <v>0.68436794398072864</v>
      </c>
      <c r="BI39" s="56">
        <f t="shared" ca="1" si="45"/>
        <v>79939059</v>
      </c>
      <c r="BJ39" s="58">
        <f t="shared" ca="1" si="53"/>
        <v>4.7967352230153222E-3</v>
      </c>
      <c r="BK39" s="58">
        <f t="shared" ca="1" si="54"/>
        <v>6.5584719612449369</v>
      </c>
      <c r="BL39" s="58"/>
      <c r="BM39" s="60">
        <f t="shared" ca="1" si="55"/>
        <v>0.30144532534930552</v>
      </c>
      <c r="BO39">
        <f t="shared" ca="1" si="56"/>
        <v>4.7496810395015542E-2</v>
      </c>
    </row>
    <row r="40" spans="1:67" ht="21" customHeight="1" x14ac:dyDescent="0.2">
      <c r="A40" s="22">
        <f t="shared" si="57"/>
        <v>1997</v>
      </c>
      <c r="B40" s="39">
        <f t="shared" ca="1" si="46"/>
        <v>8577.6</v>
      </c>
      <c r="C40" s="39">
        <f t="shared" ca="1" si="46"/>
        <v>11529.2</v>
      </c>
      <c r="D40" s="45">
        <f t="shared" ca="1" si="46"/>
        <v>0.74399000000000004</v>
      </c>
      <c r="E40" s="46"/>
      <c r="F40" s="39">
        <f t="shared" ca="1" si="47"/>
        <v>64329701</v>
      </c>
      <c r="G40" s="39">
        <f t="shared" ca="1" si="47"/>
        <v>567961.80000000005</v>
      </c>
      <c r="H40" s="46">
        <f t="shared" ca="1" si="47"/>
        <v>8.83</v>
      </c>
      <c r="I40" s="47">
        <f t="shared" ca="1" si="48"/>
        <v>1.2229665797937263E-4</v>
      </c>
      <c r="J40" s="39">
        <f t="shared" ca="1" si="17"/>
        <v>763399.77687872155</v>
      </c>
      <c r="K40" s="45">
        <f t="shared" ca="1" si="18"/>
        <v>11.868439091923278</v>
      </c>
      <c r="L40" s="48">
        <f t="shared" ca="1" si="19"/>
        <v>6.6214535534415225E-2</v>
      </c>
      <c r="M40" s="46"/>
      <c r="N40" s="39">
        <f t="shared" ca="1" si="49"/>
        <v>2540739</v>
      </c>
      <c r="O40" s="39">
        <f t="shared" ca="1" si="49"/>
        <v>19330583</v>
      </c>
      <c r="P40" s="39">
        <f t="shared" ca="1" si="49"/>
        <v>35246250</v>
      </c>
      <c r="Q40" s="39">
        <f t="shared" ca="1" si="49"/>
        <v>10732823</v>
      </c>
      <c r="R40" s="46"/>
      <c r="S40" s="46">
        <f t="shared" ca="1" si="58"/>
        <v>1.58</v>
      </c>
      <c r="T40" s="46">
        <f t="shared" ca="1" si="58"/>
        <v>4.96</v>
      </c>
      <c r="U40" s="46">
        <f t="shared" ca="1" si="58"/>
        <v>8.07</v>
      </c>
      <c r="V40" s="46">
        <f t="shared" ca="1" si="58"/>
        <v>20.13</v>
      </c>
      <c r="W40" s="46"/>
      <c r="X40" s="45">
        <f t="shared" ca="1" si="22"/>
        <v>2.123684458124437</v>
      </c>
      <c r="Y40" s="45">
        <f t="shared" ca="1" si="23"/>
        <v>6.6667562736058272</v>
      </c>
      <c r="Z40" s="45">
        <f t="shared" ca="1" si="24"/>
        <v>10.846919985483675</v>
      </c>
      <c r="AA40" s="45">
        <f t="shared" ca="1" si="25"/>
        <v>27.056815279775265</v>
      </c>
      <c r="AB40" s="46"/>
      <c r="AC40" s="48">
        <f t="shared" ca="1" si="26"/>
        <v>7.8489816194734219E-2</v>
      </c>
      <c r="AD40" s="48">
        <f t="shared" ca="1" si="27"/>
        <v>0.24639841033283655</v>
      </c>
      <c r="AE40" s="48">
        <f t="shared" ca="1" si="28"/>
        <v>0.40089418777943364</v>
      </c>
      <c r="AF40" s="48">
        <f t="shared" ca="1" si="29"/>
        <v>1</v>
      </c>
      <c r="AG40" s="46"/>
      <c r="AH40" s="49">
        <f t="shared" ca="1" si="30"/>
        <v>275986.80278188345</v>
      </c>
      <c r="AI40" s="39">
        <f t="shared" ca="1" si="31"/>
        <v>4758054.1539554391</v>
      </c>
      <c r="AJ40" s="39">
        <f t="shared" ca="1" si="32"/>
        <v>17799359.380078852</v>
      </c>
      <c r="AK40" s="39">
        <f t="shared" ca="1" si="33"/>
        <v>10732823</v>
      </c>
      <c r="AL40" s="46"/>
      <c r="AM40" s="39">
        <f t="shared" ca="1" si="34"/>
        <v>33566223.336816177</v>
      </c>
      <c r="AN40" s="39">
        <f t="shared" ca="1" si="35"/>
        <v>600383023.78999996</v>
      </c>
      <c r="AO40" s="48">
        <f t="shared" ca="1" si="36"/>
        <v>5.7083458412167783E-2</v>
      </c>
      <c r="AP40" s="39">
        <f t="shared" ca="1" si="37"/>
        <v>806977276.29403615</v>
      </c>
      <c r="AQ40" s="45">
        <f t="shared" ca="1" si="38"/>
        <v>24.041348596072933</v>
      </c>
      <c r="AR40" s="48">
        <f t="shared" ca="1" si="39"/>
        <v>6.9994290219875008E-2</v>
      </c>
      <c r="AT40" s="39">
        <f t="shared" ca="1" si="59"/>
        <v>28163.1</v>
      </c>
      <c r="AU40" s="39">
        <f t="shared" ca="1" si="59"/>
        <v>268570.40000000002</v>
      </c>
      <c r="AV40" s="39">
        <f t="shared" ca="1" si="59"/>
        <v>93381.9</v>
      </c>
      <c r="AX40" s="55">
        <f t="shared" ca="1" si="50"/>
        <v>37854.137824433121</v>
      </c>
      <c r="AY40" s="55">
        <f t="shared" ca="1" si="51"/>
        <v>360986.57240016665</v>
      </c>
      <c r="AZ40" s="55">
        <f t="shared" ca="1" si="52"/>
        <v>125514.99348109517</v>
      </c>
      <c r="BB40" s="39">
        <f t="shared" ca="1" si="60"/>
        <v>21443603</v>
      </c>
      <c r="BC40" s="39">
        <f t="shared" ca="1" si="60"/>
        <v>36172956</v>
      </c>
      <c r="BD40" s="39">
        <f t="shared" ca="1" si="60"/>
        <v>23477148</v>
      </c>
      <c r="BE40" s="39">
        <f t="shared" ca="1" si="60"/>
        <v>7011598</v>
      </c>
      <c r="BG40" s="56">
        <f t="shared" ca="1" si="43"/>
        <v>390115.4</v>
      </c>
      <c r="BH40" s="51">
        <f t="shared" ca="1" si="44"/>
        <v>0.68686908168824024</v>
      </c>
      <c r="BI40" s="56">
        <f t="shared" ca="1" si="45"/>
        <v>81093707</v>
      </c>
      <c r="BJ40" s="58">
        <f t="shared" ca="1" si="53"/>
        <v>4.8106741500915729E-3</v>
      </c>
      <c r="BK40" s="58">
        <f t="shared" ca="1" si="54"/>
        <v>6.4660467883863664</v>
      </c>
      <c r="BL40" s="58"/>
      <c r="BM40" s="60">
        <f t="shared" ca="1" si="55"/>
        <v>0.29865629334534161</v>
      </c>
      <c r="BO40">
        <f t="shared" ca="1" si="56"/>
        <v>4.5480717216937139E-2</v>
      </c>
    </row>
    <row r="41" spans="1:67" ht="21" customHeight="1" x14ac:dyDescent="0.2">
      <c r="A41" s="22">
        <f t="shared" si="57"/>
        <v>1998</v>
      </c>
      <c r="B41" s="39">
        <f t="shared" ca="1" si="46"/>
        <v>9062.7999999999993</v>
      </c>
      <c r="C41" s="39">
        <f t="shared" ca="1" si="46"/>
        <v>12045.8</v>
      </c>
      <c r="D41" s="45">
        <f t="shared" ca="1" si="46"/>
        <v>0.75236000000000003</v>
      </c>
      <c r="E41" s="46"/>
      <c r="F41" s="39">
        <f t="shared" ca="1" si="47"/>
        <v>64022260</v>
      </c>
      <c r="G41" s="39">
        <f t="shared" ca="1" si="47"/>
        <v>526282.6</v>
      </c>
      <c r="H41" s="46">
        <f t="shared" ca="1" si="47"/>
        <v>8.2200000000000006</v>
      </c>
      <c r="I41" s="47">
        <f t="shared" ca="1" si="48"/>
        <v>3.7285671234229494E-5</v>
      </c>
      <c r="J41" s="39">
        <f t="shared" ca="1" si="17"/>
        <v>699509.01164336212</v>
      </c>
      <c r="K41" s="45">
        <f t="shared" ca="1" si="18"/>
        <v>10.925620713488224</v>
      </c>
      <c r="L41" s="48">
        <f t="shared" ca="1" si="19"/>
        <v>5.8070640420179197E-2</v>
      </c>
      <c r="M41" s="46"/>
      <c r="N41" s="39">
        <f t="shared" ca="1" si="49"/>
        <v>2367516</v>
      </c>
      <c r="O41" s="39">
        <f t="shared" ca="1" si="49"/>
        <v>18318105</v>
      </c>
      <c r="P41" s="39">
        <f t="shared" ca="1" si="49"/>
        <v>35532594</v>
      </c>
      <c r="Q41" s="39">
        <f t="shared" ca="1" si="49"/>
        <v>11137555</v>
      </c>
      <c r="R41" s="46"/>
      <c r="S41" s="46">
        <f t="shared" ca="1" si="58"/>
        <v>1.54</v>
      </c>
      <c r="T41" s="46">
        <f t="shared" ca="1" si="58"/>
        <v>4.6399999999999997</v>
      </c>
      <c r="U41" s="46">
        <f t="shared" ca="1" si="58"/>
        <v>6.86</v>
      </c>
      <c r="V41" s="46">
        <f t="shared" ca="1" si="58"/>
        <v>19.8</v>
      </c>
      <c r="W41" s="46"/>
      <c r="X41" s="45">
        <f t="shared" ca="1" si="22"/>
        <v>2.0468924451060664</v>
      </c>
      <c r="Y41" s="45">
        <f t="shared" ca="1" si="23"/>
        <v>6.1672603540858093</v>
      </c>
      <c r="Z41" s="45">
        <f t="shared" ca="1" si="24"/>
        <v>9.1179754372906583</v>
      </c>
      <c r="AA41" s="45">
        <f t="shared" ca="1" si="25"/>
        <v>26.317188579935138</v>
      </c>
      <c r="AB41" s="46"/>
      <c r="AC41" s="48">
        <f t="shared" ca="1" si="26"/>
        <v>7.7777777777777779E-2</v>
      </c>
      <c r="AD41" s="48">
        <f t="shared" ca="1" si="27"/>
        <v>0.23434343434343433</v>
      </c>
      <c r="AE41" s="48">
        <f t="shared" ca="1" si="28"/>
        <v>0.34646464646464642</v>
      </c>
      <c r="AF41" s="48">
        <f t="shared" ca="1" si="29"/>
        <v>1</v>
      </c>
      <c r="AG41" s="46"/>
      <c r="AH41" s="49">
        <f t="shared" ca="1" si="30"/>
        <v>257170.52061425973</v>
      </c>
      <c r="AI41" s="39">
        <f t="shared" ca="1" si="31"/>
        <v>4508841.5381906433</v>
      </c>
      <c r="AJ41" s="39">
        <f t="shared" ca="1" si="32"/>
        <v>17943963.125507921</v>
      </c>
      <c r="AK41" s="39">
        <f t="shared" ca="1" si="33"/>
        <v>11137555</v>
      </c>
      <c r="AL41" s="46"/>
      <c r="AM41" s="39">
        <f t="shared" ca="1" si="34"/>
        <v>33847530.18431282</v>
      </c>
      <c r="AN41" s="39">
        <f t="shared" ca="1" si="35"/>
        <v>552919165.68000007</v>
      </c>
      <c r="AO41" s="48">
        <f t="shared" ca="1" si="36"/>
        <v>5.0612666426745091E-2</v>
      </c>
      <c r="AP41" s="39">
        <f t="shared" ca="1" si="37"/>
        <v>734913027.91216969</v>
      </c>
      <c r="AQ41" s="45">
        <f t="shared" ca="1" si="38"/>
        <v>21.712456534059815</v>
      </c>
      <c r="AR41" s="48">
        <f t="shared" ca="1" si="39"/>
        <v>6.1009750372953184E-2</v>
      </c>
      <c r="AT41" s="39">
        <f t="shared" ca="1" si="59"/>
        <v>27775</v>
      </c>
      <c r="AU41" s="39">
        <f t="shared" ca="1" si="59"/>
        <v>232556.3</v>
      </c>
      <c r="AV41" s="39">
        <f t="shared" ca="1" si="59"/>
        <v>83620.399999999994</v>
      </c>
      <c r="AX41" s="55">
        <f t="shared" ca="1" si="50"/>
        <v>36917.16731352012</v>
      </c>
      <c r="AY41" s="55">
        <f t="shared" ca="1" si="51"/>
        <v>309102.42437131156</v>
      </c>
      <c r="AZ41" s="55">
        <f t="shared" ca="1" si="52"/>
        <v>111144.13312775797</v>
      </c>
      <c r="BB41" s="39">
        <f t="shared" ca="1" si="60"/>
        <v>21583324</v>
      </c>
      <c r="BC41" s="39">
        <f t="shared" ca="1" si="60"/>
        <v>36838689</v>
      </c>
      <c r="BD41" s="39">
        <f t="shared" ca="1" si="60"/>
        <v>23015631</v>
      </c>
      <c r="BE41" s="39">
        <f t="shared" ca="1" si="60"/>
        <v>6491277</v>
      </c>
      <c r="BG41" s="56">
        <f t="shared" ca="1" si="43"/>
        <v>343951.69999999995</v>
      </c>
      <c r="BH41" s="51">
        <f t="shared" ca="1" si="44"/>
        <v>0.65354944282786465</v>
      </c>
      <c r="BI41" s="56">
        <f t="shared" ca="1" si="45"/>
        <v>81437644</v>
      </c>
      <c r="BJ41" s="58">
        <f t="shared" ca="1" si="53"/>
        <v>4.2234976738767145E-3</v>
      </c>
      <c r="BK41" s="58">
        <f t="shared" ca="1" si="54"/>
        <v>5.6136658964813586</v>
      </c>
      <c r="BL41" s="58"/>
      <c r="BM41" s="60">
        <f t="shared" ca="1" si="55"/>
        <v>0.28203775946877147</v>
      </c>
      <c r="BO41">
        <f t="shared" ca="1" si="56"/>
        <v>3.7952034691265388E-2</v>
      </c>
    </row>
    <row r="42" spans="1:67" ht="21" customHeight="1" x14ac:dyDescent="0.2">
      <c r="A42" s="22">
        <f t="shared" si="57"/>
        <v>1999</v>
      </c>
      <c r="B42" s="39">
        <f t="shared" ca="1" si="46"/>
        <v>9631.2000000000007</v>
      </c>
      <c r="C42" s="39">
        <f t="shared" ca="1" si="46"/>
        <v>12623.4</v>
      </c>
      <c r="D42" s="45">
        <f t="shared" ca="1" si="46"/>
        <v>0.76295999999999997</v>
      </c>
      <c r="E42" s="46"/>
      <c r="F42" s="39">
        <f t="shared" ca="1" si="47"/>
        <v>65119360</v>
      </c>
      <c r="G42" s="39">
        <f t="shared" ca="1" si="47"/>
        <v>558626.69999999995</v>
      </c>
      <c r="H42" s="46">
        <f t="shared" ca="1" si="47"/>
        <v>8.58</v>
      </c>
      <c r="I42" s="47">
        <f t="shared" ca="1" si="48"/>
        <v>1.7437190166523658E-4</v>
      </c>
      <c r="J42" s="39">
        <f t="shared" ca="1" si="17"/>
        <v>732183.46964454232</v>
      </c>
      <c r="K42" s="45">
        <f t="shared" ca="1" si="18"/>
        <v>11.24567474048443</v>
      </c>
      <c r="L42" s="48">
        <f t="shared" ca="1" si="19"/>
        <v>5.8001775479690994E-2</v>
      </c>
      <c r="M42" s="46"/>
      <c r="N42" s="39">
        <f t="shared" ca="1" si="49"/>
        <v>2303040</v>
      </c>
      <c r="O42" s="39">
        <f t="shared" ca="1" si="49"/>
        <v>18102146</v>
      </c>
      <c r="P42" s="39">
        <f t="shared" ca="1" si="49"/>
        <v>36644774</v>
      </c>
      <c r="Q42" s="39">
        <f t="shared" ca="1" si="49"/>
        <v>11300841</v>
      </c>
      <c r="R42" s="46"/>
      <c r="S42" s="46">
        <f t="shared" ca="1" si="58"/>
        <v>1.53</v>
      </c>
      <c r="T42" s="46">
        <f t="shared" ca="1" si="58"/>
        <v>4.6500000000000004</v>
      </c>
      <c r="U42" s="46">
        <f t="shared" ca="1" si="58"/>
        <v>7.59</v>
      </c>
      <c r="V42" s="46">
        <f t="shared" ca="1" si="58"/>
        <v>19.52</v>
      </c>
      <c r="W42" s="46"/>
      <c r="X42" s="45">
        <f t="shared" ca="1" si="22"/>
        <v>2.0053475935828877</v>
      </c>
      <c r="Y42" s="45">
        <f t="shared" ca="1" si="23"/>
        <v>6.0946838628499531</v>
      </c>
      <c r="Z42" s="45">
        <f t="shared" ca="1" si="24"/>
        <v>9.9480968858131487</v>
      </c>
      <c r="AA42" s="45">
        <f t="shared" ca="1" si="25"/>
        <v>25.58456537695292</v>
      </c>
      <c r="AB42" s="46"/>
      <c r="AC42" s="48">
        <f t="shared" ca="1" si="26"/>
        <v>7.8381147540983603E-2</v>
      </c>
      <c r="AD42" s="48">
        <f t="shared" ca="1" si="27"/>
        <v>0.23821721311475411</v>
      </c>
      <c r="AE42" s="48">
        <f t="shared" ca="1" si="28"/>
        <v>0.38883196721311475</v>
      </c>
      <c r="AF42" s="48">
        <f t="shared" ca="1" si="29"/>
        <v>1</v>
      </c>
      <c r="AG42" s="46"/>
      <c r="AH42" s="49">
        <f t="shared" ca="1" si="30"/>
        <v>250166.83975756224</v>
      </c>
      <c r="AI42" s="39">
        <f t="shared" ca="1" si="31"/>
        <v>4455685.1167296832</v>
      </c>
      <c r="AJ42" s="39">
        <f t="shared" ca="1" si="32"/>
        <v>18505614.124276191</v>
      </c>
      <c r="AK42" s="39">
        <f t="shared" ca="1" si="33"/>
        <v>11300841</v>
      </c>
      <c r="AL42" s="46"/>
      <c r="AM42" s="39">
        <f t="shared" ca="1" si="34"/>
        <v>34512307.080763437</v>
      </c>
      <c r="AN42" s="39">
        <f t="shared" ca="1" si="35"/>
        <v>586424881.07999992</v>
      </c>
      <c r="AO42" s="48">
        <f t="shared" ca="1" si="36"/>
        <v>4.9761640609014952E-2</v>
      </c>
      <c r="AP42" s="39">
        <f t="shared" ca="1" si="37"/>
        <v>768618120.32085562</v>
      </c>
      <c r="AQ42" s="45">
        <f t="shared" ca="1" si="38"/>
        <v>22.27084148626129</v>
      </c>
      <c r="AR42" s="48">
        <f t="shared" ca="1" si="39"/>
        <v>6.0888038985796152E-2</v>
      </c>
      <c r="AT42" s="39">
        <f t="shared" ca="1" si="59"/>
        <v>27194.1</v>
      </c>
      <c r="AU42" s="39">
        <f t="shared" ca="1" si="59"/>
        <v>265038.5</v>
      </c>
      <c r="AV42" s="39">
        <f t="shared" ca="1" si="59"/>
        <v>84960.2</v>
      </c>
      <c r="AX42" s="55">
        <f t="shared" ca="1" si="50"/>
        <v>35642.890846178045</v>
      </c>
      <c r="AY42" s="55">
        <f t="shared" ca="1" si="51"/>
        <v>347381.90730837791</v>
      </c>
      <c r="AZ42" s="55">
        <f t="shared" ca="1" si="52"/>
        <v>111356.03439236658</v>
      </c>
      <c r="BB42" s="39">
        <f t="shared" ca="1" si="60"/>
        <v>21582103</v>
      </c>
      <c r="BC42" s="39">
        <f t="shared" ca="1" si="60"/>
        <v>37855980</v>
      </c>
      <c r="BD42" s="39">
        <f t="shared" ca="1" si="60"/>
        <v>23025697</v>
      </c>
      <c r="BE42" s="39">
        <f t="shared" ca="1" si="60"/>
        <v>6514657</v>
      </c>
      <c r="BG42" s="56">
        <f t="shared" ca="1" si="43"/>
        <v>377192.8</v>
      </c>
      <c r="BH42" s="51">
        <f t="shared" ca="1" si="44"/>
        <v>0.67521441420540773</v>
      </c>
      <c r="BI42" s="56">
        <f t="shared" ca="1" si="45"/>
        <v>82463780</v>
      </c>
      <c r="BJ42" s="58">
        <f t="shared" ca="1" si="53"/>
        <v>4.5740420824754817E-3</v>
      </c>
      <c r="BK42" s="58">
        <f t="shared" ca="1" si="54"/>
        <v>5.9951269823784754</v>
      </c>
      <c r="BL42" s="58"/>
      <c r="BM42" s="60">
        <f t="shared" ca="1" si="55"/>
        <v>0.28292985007142235</v>
      </c>
      <c r="BO42">
        <f t="shared" ca="1" si="56"/>
        <v>3.9163634853393137E-2</v>
      </c>
    </row>
    <row r="43" spans="1:67" ht="21" customHeight="1" x14ac:dyDescent="0.2">
      <c r="A43" s="22">
        <f t="shared" si="57"/>
        <v>2000</v>
      </c>
      <c r="B43" s="39">
        <f t="shared" ca="1" si="46"/>
        <v>10251</v>
      </c>
      <c r="C43" s="39">
        <f t="shared" ca="1" si="46"/>
        <v>13138</v>
      </c>
      <c r="D43" s="45">
        <f t="shared" ca="1" si="46"/>
        <v>0.78025</v>
      </c>
      <c r="E43" s="46"/>
      <c r="F43" s="39">
        <f t="shared" ca="1" si="47"/>
        <v>66606327</v>
      </c>
      <c r="G43" s="39">
        <f t="shared" ca="1" si="47"/>
        <v>687710.9</v>
      </c>
      <c r="H43" s="46">
        <f t="shared" ca="1" si="47"/>
        <v>10.33</v>
      </c>
      <c r="I43" s="47">
        <f t="shared" ca="1" si="48"/>
        <v>4.8342684404158398E-4</v>
      </c>
      <c r="J43" s="39">
        <f t="shared" ca="1" si="17"/>
        <v>881398.14162127522</v>
      </c>
      <c r="K43" s="45">
        <f t="shared" ca="1" si="18"/>
        <v>13.239346363345081</v>
      </c>
      <c r="L43" s="48">
        <f t="shared" ca="1" si="19"/>
        <v>6.7087201248658676E-2</v>
      </c>
      <c r="M43" s="46"/>
      <c r="N43" s="39">
        <f t="shared" ca="1" si="49"/>
        <v>2355741</v>
      </c>
      <c r="O43" s="39">
        <f t="shared" ca="1" si="49"/>
        <v>18589549</v>
      </c>
      <c r="P43" s="39">
        <f t="shared" ca="1" si="49"/>
        <v>37149075</v>
      </c>
      <c r="Q43" s="39">
        <f t="shared" ca="1" si="49"/>
        <v>11673865</v>
      </c>
      <c r="R43" s="46"/>
      <c r="S43" s="46">
        <f t="shared" ca="1" si="58"/>
        <v>1.5</v>
      </c>
      <c r="T43" s="46">
        <f t="shared" ca="1" si="58"/>
        <v>5.97</v>
      </c>
      <c r="U43" s="46">
        <f t="shared" ca="1" si="58"/>
        <v>10.09</v>
      </c>
      <c r="V43" s="46">
        <f t="shared" ca="1" si="58"/>
        <v>20.03</v>
      </c>
      <c r="W43" s="46"/>
      <c r="X43" s="45">
        <f t="shared" ca="1" si="22"/>
        <v>1.9224607497596924</v>
      </c>
      <c r="Y43" s="45">
        <f t="shared" ca="1" si="23"/>
        <v>7.6513937840435755</v>
      </c>
      <c r="Z43" s="45">
        <f t="shared" ca="1" si="24"/>
        <v>12.931752643383531</v>
      </c>
      <c r="AA43" s="45">
        <f t="shared" ca="1" si="25"/>
        <v>25.671259211791096</v>
      </c>
      <c r="AB43" s="46"/>
      <c r="AC43" s="48">
        <f t="shared" ca="1" si="26"/>
        <v>7.4887668497254103E-2</v>
      </c>
      <c r="AD43" s="48">
        <f t="shared" ca="1" si="27"/>
        <v>0.29805292061907135</v>
      </c>
      <c r="AE43" s="48">
        <f t="shared" ca="1" si="28"/>
        <v>0.50374438342486261</v>
      </c>
      <c r="AF43" s="48">
        <f t="shared" ca="1" si="29"/>
        <v>1</v>
      </c>
      <c r="AG43" s="46"/>
      <c r="AH43" s="49">
        <f t="shared" ca="1" si="30"/>
        <v>255891.4657397698</v>
      </c>
      <c r="AI43" s="39">
        <f t="shared" ca="1" si="31"/>
        <v>4575655.1077434225</v>
      </c>
      <c r="AJ43" s="39">
        <f t="shared" ca="1" si="32"/>
        <v>18760286.174061149</v>
      </c>
      <c r="AK43" s="39">
        <f t="shared" ca="1" si="33"/>
        <v>11673865</v>
      </c>
      <c r="AL43" s="46"/>
      <c r="AM43" s="39">
        <f t="shared" ca="1" si="34"/>
        <v>35265697.747544341</v>
      </c>
      <c r="AN43" s="39">
        <f t="shared" ca="1" si="35"/>
        <v>723174901.73000002</v>
      </c>
      <c r="AO43" s="48">
        <f t="shared" ca="1" si="36"/>
        <v>5.1568183272942186E-2</v>
      </c>
      <c r="AP43" s="39">
        <f t="shared" ca="1" si="37"/>
        <v>926850242.52483177</v>
      </c>
      <c r="AQ43" s="45">
        <f t="shared" ca="1" si="38"/>
        <v>26.281919874656989</v>
      </c>
      <c r="AR43" s="48">
        <f t="shared" ca="1" si="39"/>
        <v>7.0546766337918246E-2</v>
      </c>
      <c r="AT43" s="39">
        <f t="shared" ca="1" si="59"/>
        <v>27959.1</v>
      </c>
      <c r="AU43" s="39">
        <f t="shared" ca="1" si="59"/>
        <v>359403</v>
      </c>
      <c r="AV43" s="39">
        <f t="shared" ca="1" si="59"/>
        <v>119093.6</v>
      </c>
      <c r="AX43" s="55">
        <f t="shared" ca="1" si="50"/>
        <v>35833.514899070811</v>
      </c>
      <c r="AY43" s="55">
        <f t="shared" ca="1" si="51"/>
        <v>460625.44056392182</v>
      </c>
      <c r="AZ43" s="55">
        <f t="shared" ca="1" si="52"/>
        <v>152635.1810317206</v>
      </c>
      <c r="BB43" s="39">
        <f t="shared" ca="1" si="60"/>
        <v>22575538</v>
      </c>
      <c r="BC43" s="39">
        <f t="shared" ca="1" si="60"/>
        <v>38293215</v>
      </c>
      <c r="BD43" s="39">
        <f t="shared" ca="1" si="60"/>
        <v>23907237</v>
      </c>
      <c r="BE43" s="39">
        <f t="shared" ca="1" si="60"/>
        <v>6104207</v>
      </c>
      <c r="BG43" s="56">
        <f t="shared" ca="1" si="43"/>
        <v>506455.69999999995</v>
      </c>
      <c r="BH43" s="51">
        <f t="shared" ca="1" si="44"/>
        <v>0.73643692429478713</v>
      </c>
      <c r="BI43" s="56">
        <f t="shared" ca="1" si="45"/>
        <v>84775990</v>
      </c>
      <c r="BJ43" s="58">
        <f t="shared" ca="1" si="53"/>
        <v>5.974046425172976E-3</v>
      </c>
      <c r="BK43" s="58">
        <f t="shared" ca="1" si="54"/>
        <v>7.6565798464248331</v>
      </c>
      <c r="BL43" s="58"/>
      <c r="BM43" s="60">
        <f t="shared" ca="1" si="55"/>
        <v>0.2553288362013561</v>
      </c>
      <c r="BO43">
        <f t="shared" ca="1" si="56"/>
        <v>4.9405492147107592E-2</v>
      </c>
    </row>
    <row r="44" spans="1:67" ht="21" customHeight="1" x14ac:dyDescent="0.2">
      <c r="A44" s="22">
        <f t="shared" si="57"/>
        <v>2001</v>
      </c>
      <c r="B44" s="39">
        <f t="shared" ca="1" si="46"/>
        <v>10581.9</v>
      </c>
      <c r="C44" s="39">
        <f t="shared" ca="1" si="46"/>
        <v>13263.4</v>
      </c>
      <c r="D44" s="45">
        <f t="shared" ca="1" si="46"/>
        <v>0.79783000000000004</v>
      </c>
      <c r="E44" s="46"/>
      <c r="F44" s="39">
        <f t="shared" ca="1" si="47"/>
        <v>64610945</v>
      </c>
      <c r="G44" s="39">
        <f t="shared" ca="1" si="47"/>
        <v>696242.1</v>
      </c>
      <c r="H44" s="46">
        <f t="shared" ca="1" si="47"/>
        <v>10.78</v>
      </c>
      <c r="I44" s="47">
        <f t="shared" ca="1" si="48"/>
        <v>3.7901629332660929E-4</v>
      </c>
      <c r="J44" s="39">
        <f t="shared" ca="1" si="17"/>
        <v>872669.74167429144</v>
      </c>
      <c r="K44" s="45">
        <f t="shared" ca="1" si="18"/>
        <v>13.511650351578655</v>
      </c>
      <c r="L44" s="48">
        <f t="shared" ca="1" si="19"/>
        <v>6.5795566013664833E-2</v>
      </c>
      <c r="M44" s="46"/>
      <c r="N44" s="39">
        <f t="shared" ca="1" si="49"/>
        <v>2292780</v>
      </c>
      <c r="O44" s="39">
        <f t="shared" ca="1" si="49"/>
        <v>17339705</v>
      </c>
      <c r="P44" s="39">
        <f t="shared" ca="1" si="49"/>
        <v>36954996</v>
      </c>
      <c r="Q44" s="39">
        <f t="shared" ca="1" si="49"/>
        <v>11581891</v>
      </c>
      <c r="R44" s="46"/>
      <c r="S44" s="46">
        <f t="shared" ca="1" si="58"/>
        <v>1.59</v>
      </c>
      <c r="T44" s="46">
        <f t="shared" ca="1" si="58"/>
        <v>7.49</v>
      </c>
      <c r="U44" s="46">
        <f t="shared" ca="1" si="58"/>
        <v>9.6</v>
      </c>
      <c r="V44" s="46">
        <f t="shared" ca="1" si="58"/>
        <v>21.41</v>
      </c>
      <c r="W44" s="46"/>
      <c r="X44" s="45">
        <f t="shared" ca="1" si="22"/>
        <v>1.9929057568654978</v>
      </c>
      <c r="Y44" s="45">
        <f t="shared" ca="1" si="23"/>
        <v>9.3879648546682883</v>
      </c>
      <c r="Z44" s="45">
        <f t="shared" ca="1" si="24"/>
        <v>12.032638532018098</v>
      </c>
      <c r="AA44" s="45">
        <f t="shared" ca="1" si="25"/>
        <v>26.835290726094531</v>
      </c>
      <c r="AB44" s="46"/>
      <c r="AC44" s="48">
        <f t="shared" ca="1" si="26"/>
        <v>7.4264362447454463E-2</v>
      </c>
      <c r="AD44" s="48">
        <f t="shared" ca="1" si="27"/>
        <v>0.34983652498832324</v>
      </c>
      <c r="AE44" s="48">
        <f t="shared" ca="1" si="28"/>
        <v>0.44838860345632875</v>
      </c>
      <c r="AF44" s="48">
        <f t="shared" ca="1" si="29"/>
        <v>1</v>
      </c>
      <c r="AG44" s="46"/>
      <c r="AH44" s="49">
        <f t="shared" ca="1" si="30"/>
        <v>249052.35117902578</v>
      </c>
      <c r="AI44" s="39">
        <f t="shared" ca="1" si="31"/>
        <v>4268016.9244565405</v>
      </c>
      <c r="AJ44" s="39">
        <f t="shared" ca="1" si="32"/>
        <v>18662276.26182577</v>
      </c>
      <c r="AK44" s="39">
        <f t="shared" ca="1" si="33"/>
        <v>11581891</v>
      </c>
      <c r="AL44" s="46"/>
      <c r="AM44" s="39">
        <f t="shared" ca="1" si="34"/>
        <v>34761236.53746134</v>
      </c>
      <c r="AN44" s="39">
        <f t="shared" ca="1" si="35"/>
        <v>736256158.55999994</v>
      </c>
      <c r="AO44" s="48">
        <f t="shared" ca="1" si="36"/>
        <v>5.7471472293904549E-2</v>
      </c>
      <c r="AP44" s="39">
        <f t="shared" ca="1" si="37"/>
        <v>922823356.55465436</v>
      </c>
      <c r="AQ44" s="45">
        <f t="shared" ca="1" si="38"/>
        <v>26.547483590238514</v>
      </c>
      <c r="AR44" s="48">
        <f t="shared" ca="1" si="39"/>
        <v>6.9576934062880957E-2</v>
      </c>
      <c r="AT44" s="39">
        <f t="shared" ca="1" si="59"/>
        <v>28095.5</v>
      </c>
      <c r="AU44" s="39">
        <f t="shared" ca="1" si="59"/>
        <v>338158.9</v>
      </c>
      <c r="AV44" s="39">
        <f t="shared" ca="1" si="59"/>
        <v>139387.9</v>
      </c>
      <c r="AX44" s="55">
        <f t="shared" ca="1" si="50"/>
        <v>35214.895403782757</v>
      </c>
      <c r="AY44" s="55">
        <f t="shared" ca="1" si="51"/>
        <v>423848.31355050573</v>
      </c>
      <c r="AZ44" s="55">
        <f t="shared" ca="1" si="52"/>
        <v>174708.77254552973</v>
      </c>
      <c r="BB44" s="39">
        <f t="shared" ca="1" si="60"/>
        <v>21906355</v>
      </c>
      <c r="BC44" s="39">
        <f t="shared" ca="1" si="60"/>
        <v>38231372</v>
      </c>
      <c r="BD44" s="39">
        <f t="shared" ca="1" si="60"/>
        <v>22835551</v>
      </c>
      <c r="BE44" s="39">
        <f t="shared" ca="1" si="60"/>
        <v>5164253</v>
      </c>
      <c r="BG44" s="56">
        <f t="shared" ca="1" si="43"/>
        <v>505642.30000000005</v>
      </c>
      <c r="BH44" s="51">
        <f t="shared" ca="1" si="44"/>
        <v>0.72624493692639391</v>
      </c>
      <c r="BI44" s="56">
        <f t="shared" ca="1" si="45"/>
        <v>82973278</v>
      </c>
      <c r="BJ44" s="58">
        <f t="shared" ca="1" si="53"/>
        <v>6.0940378901265064E-3</v>
      </c>
      <c r="BK44" s="58">
        <f t="shared" ca="1" si="54"/>
        <v>7.6382661596160917</v>
      </c>
      <c r="BL44" s="58"/>
      <c r="BM44" s="60">
        <f t="shared" ca="1" si="55"/>
        <v>0.22614969965033907</v>
      </c>
      <c r="BO44">
        <f t="shared" ca="1" si="56"/>
        <v>4.7783696689630409E-2</v>
      </c>
    </row>
    <row r="45" spans="1:67" ht="21" customHeight="1" x14ac:dyDescent="0.2">
      <c r="A45" s="22">
        <f t="shared" si="57"/>
        <v>2002</v>
      </c>
      <c r="B45" s="39">
        <f t="shared" ca="1" si="46"/>
        <v>10929.1</v>
      </c>
      <c r="C45" s="39">
        <f t="shared" ca="1" si="46"/>
        <v>13488.4</v>
      </c>
      <c r="D45" s="45">
        <f t="shared" ca="1" si="46"/>
        <v>0.81025999999999998</v>
      </c>
      <c r="E45" s="46"/>
      <c r="F45" s="39">
        <f t="shared" ca="1" si="47"/>
        <v>65733381</v>
      </c>
      <c r="G45" s="39">
        <f t="shared" ca="1" si="47"/>
        <v>663964.4</v>
      </c>
      <c r="H45" s="46">
        <f t="shared" ca="1" si="47"/>
        <v>10.1</v>
      </c>
      <c r="I45" s="47">
        <f t="shared" ca="1" si="48"/>
        <v>8.6227363997274609E-5</v>
      </c>
      <c r="J45" s="39">
        <f t="shared" ref="J45:J64" ca="1" si="61">G45/D45</f>
        <v>819446.10371979373</v>
      </c>
      <c r="K45" s="45">
        <f t="shared" ref="K45:K64" ca="1" si="62">H45/D45</f>
        <v>12.465134648137635</v>
      </c>
      <c r="L45" s="48">
        <f t="shared" ref="L45:L64" ca="1" si="63">G45/1000/B45</f>
        <v>6.0751974087527798E-2</v>
      </c>
      <c r="M45" s="46"/>
      <c r="N45" s="39">
        <f t="shared" ca="1" si="49"/>
        <v>2119908</v>
      </c>
      <c r="O45" s="39">
        <f t="shared" ca="1" si="49"/>
        <v>17792903</v>
      </c>
      <c r="P45" s="39">
        <f t="shared" ca="1" si="49"/>
        <v>37332151</v>
      </c>
      <c r="Q45" s="39">
        <f t="shared" ca="1" si="49"/>
        <v>11824170</v>
      </c>
      <c r="R45" s="46"/>
      <c r="S45" s="46">
        <f t="shared" ca="1" si="58"/>
        <v>1.69</v>
      </c>
      <c r="T45" s="46">
        <f t="shared" ca="1" si="58"/>
        <v>5.97</v>
      </c>
      <c r="U45" s="46">
        <f t="shared" ca="1" si="58"/>
        <v>9.0500000000000007</v>
      </c>
      <c r="V45" s="46">
        <f t="shared" ca="1" si="58"/>
        <v>21.15</v>
      </c>
      <c r="W45" s="46"/>
      <c r="X45" s="45">
        <f t="shared" ref="X45:X64" ca="1" si="64">IF(ISERROR(S45/$D45),"",S45/$D45)</f>
        <v>2.0857502530052083</v>
      </c>
      <c r="Y45" s="45">
        <f t="shared" ref="Y45:Y64" ca="1" si="65">IF(ISERROR(T45/$D45),"",T45/$D45)</f>
        <v>7.3680053316219487</v>
      </c>
      <c r="Z45" s="45">
        <f t="shared" ref="Z45:Z64" ca="1" si="66">IF(ISERROR(U45/$D45),"",U45/$D45)</f>
        <v>11.169254313430258</v>
      </c>
      <c r="AA45" s="45">
        <f t="shared" ref="AA45:AA64" ca="1" si="67">IF(ISERROR(V45/$D45),"",V45/$D45)</f>
        <v>26.10273245624861</v>
      </c>
      <c r="AB45" s="46"/>
      <c r="AC45" s="48">
        <f t="shared" ref="AC45:AC64" ca="1" si="68">IF(ISERROR(X45/$AA45),"",X45/$AA45)</f>
        <v>7.9905437352245867E-2</v>
      </c>
      <c r="AD45" s="48">
        <f t="shared" ref="AD45:AD64" ca="1" si="69">IF(ISERROR(Y45/$AA45),"",Y45/$AA45)</f>
        <v>0.28226950354609931</v>
      </c>
      <c r="AE45" s="48">
        <f t="shared" ref="AE45:AE64" ca="1" si="70">IF(ISERROR(Z45/$AA45),"",Z45/$AA45)</f>
        <v>0.42789598108747051</v>
      </c>
      <c r="AF45" s="48">
        <f t="shared" ref="AF45:AF64" ca="1" si="71">IF(ISERROR(AA45/$AA45),"",AA45/$AA45)</f>
        <v>1</v>
      </c>
      <c r="AG45" s="46"/>
      <c r="AH45" s="49">
        <f t="shared" ref="AH45:AH64" ca="1" si="72">IF(ISERROR(N45*AC$12),"",N45*AC$12)</f>
        <v>230274.19625224671</v>
      </c>
      <c r="AI45" s="39">
        <f t="shared" ref="AI45:AI64" ca="1" si="73">IF(ISERROR(O45*AD$12),"",O45*AD$12)</f>
        <v>4379567.6534989243</v>
      </c>
      <c r="AJ45" s="39">
        <f t="shared" ref="AJ45:AJ64" ca="1" si="74">IF(ISERROR(P45*AE$12),"",P45*AE$12)</f>
        <v>18852739.570319399</v>
      </c>
      <c r="AK45" s="39">
        <f t="shared" ref="AK45:AK64" ca="1" si="75">IF(ISERROR(Q45*AF$12),"",Q45*AF$12)</f>
        <v>11824170</v>
      </c>
      <c r="AL45" s="46"/>
      <c r="AM45" s="39">
        <f t="shared" ref="AM45:AM64" ca="1" si="76">SUM(AH45:AK45)</f>
        <v>35286751.420070574</v>
      </c>
      <c r="AN45" s="39">
        <f t="shared" ref="AN45:AN64" ca="1" si="77">SUMPRODUCT(S45:V45,N45:Q45)</f>
        <v>697743437.48000002</v>
      </c>
      <c r="AO45" s="48">
        <f t="shared" ref="AO45:AO64" ca="1" si="78">ABS(AN45/1000-G45)/G45</f>
        <v>5.0874772020909467E-2</v>
      </c>
      <c r="AP45" s="39">
        <f t="shared" ref="AP45:AP64" ca="1" si="79">SUMPRODUCT(N45:Q45,X45:AA45)</f>
        <v>861135237.42996073</v>
      </c>
      <c r="AQ45" s="45">
        <f t="shared" ref="AQ45:AQ64" ca="1" si="80">AP45/AM45</f>
        <v>24.403925064639413</v>
      </c>
      <c r="AR45" s="48">
        <f t="shared" ref="AR45:AR64" ca="1" si="81">AN45/B45/1000000</f>
        <v>6.3842716919050968E-2</v>
      </c>
      <c r="AT45" s="39">
        <f t="shared" ca="1" si="59"/>
        <v>28400.9</v>
      </c>
      <c r="AU45" s="39">
        <f t="shared" ca="1" si="59"/>
        <v>321846</v>
      </c>
      <c r="AV45" s="39">
        <f t="shared" ca="1" si="59"/>
        <v>111535.7</v>
      </c>
      <c r="AX45" s="55">
        <f t="shared" ca="1" si="50"/>
        <v>35051.588379038832</v>
      </c>
      <c r="AY45" s="55">
        <f t="shared" ca="1" si="51"/>
        <v>397213.24019450549</v>
      </c>
      <c r="AZ45" s="55">
        <f t="shared" ca="1" si="52"/>
        <v>137654.20975983018</v>
      </c>
      <c r="BB45" s="39">
        <f t="shared" ca="1" si="60"/>
        <v>21902852</v>
      </c>
      <c r="BC45" s="39">
        <f t="shared" ca="1" si="60"/>
        <v>38293336</v>
      </c>
      <c r="BD45" s="39">
        <f t="shared" ca="1" si="60"/>
        <v>23582195</v>
      </c>
      <c r="BE45" s="39">
        <f t="shared" ca="1" si="60"/>
        <v>5726026</v>
      </c>
      <c r="BG45" s="56">
        <f t="shared" ref="BG45:BG64" ca="1" si="82">SUM(AT45:AV45)</f>
        <v>461782.60000000003</v>
      </c>
      <c r="BH45" s="51">
        <f t="shared" ref="BH45:BH64" ca="1" si="83">BG45/G45</f>
        <v>0.69549301137229647</v>
      </c>
      <c r="BI45" s="56">
        <f t="shared" ref="BI45:BI64" ca="1" si="84">SUM(BB45:BD45)</f>
        <v>83778383</v>
      </c>
      <c r="BJ45" s="58">
        <f t="shared" ca="1" si="53"/>
        <v>5.5119540800877007E-3</v>
      </c>
      <c r="BK45" s="58">
        <f t="shared" ca="1" si="54"/>
        <v>6.8026979982816638</v>
      </c>
      <c r="BL45" s="58"/>
      <c r="BM45" s="60">
        <f t="shared" ca="1" si="55"/>
        <v>0.24281140920088229</v>
      </c>
      <c r="BO45">
        <f t="shared" ca="1" si="56"/>
        <v>4.2252573404946432E-2</v>
      </c>
    </row>
    <row r="46" spans="1:67" ht="21" customHeight="1" x14ac:dyDescent="0.2">
      <c r="A46" s="22">
        <f t="shared" si="57"/>
        <v>2003</v>
      </c>
      <c r="B46" s="39">
        <f t="shared" ref="B46:D64" ca="1" si="85">IF(ISERROR(VLOOKUP($A46,INDIRECT(B$1),MATCH(B$2,INDIRECT(B$1&amp;"_col"),),)),"",VLOOKUP($A46,INDIRECT(B$1),MATCH(B$2,INDIRECT(B$1&amp;"_col"),),))</f>
        <v>11456.5</v>
      </c>
      <c r="C46" s="39">
        <f t="shared" ca="1" si="85"/>
        <v>13865.5</v>
      </c>
      <c r="D46" s="45">
        <f t="shared" ca="1" si="85"/>
        <v>0.82625000000000004</v>
      </c>
      <c r="E46" s="46"/>
      <c r="F46" s="39">
        <f t="shared" ca="1" si="47"/>
        <v>66011835</v>
      </c>
      <c r="G46" s="39">
        <f t="shared" ca="1" si="47"/>
        <v>755070.3</v>
      </c>
      <c r="H46" s="46">
        <f t="shared" ca="1" si="47"/>
        <v>11.44</v>
      </c>
      <c r="I46" s="47">
        <f t="shared" ca="1" si="48"/>
        <v>1.391822721671942E-4</v>
      </c>
      <c r="J46" s="39">
        <f t="shared" ca="1" si="61"/>
        <v>913852.10287443269</v>
      </c>
      <c r="K46" s="45">
        <f t="shared" ca="1" si="62"/>
        <v>13.845688350983357</v>
      </c>
      <c r="L46" s="48">
        <f t="shared" ca="1" si="63"/>
        <v>6.5907589577968842E-2</v>
      </c>
      <c r="M46" s="46"/>
      <c r="N46" s="39">
        <f t="shared" ref="N46:Q64" ca="1" si="86">IF(ISERROR(VLOOKUP(N$2,INDIRECT(N$1),MATCH($A46,INDIRECT(N$1&amp;"_col"),),)),"",VLOOKUP(N$2,INDIRECT(N$1),MATCH($A46,INDIRECT(N$1&amp;"_col"),),))</f>
        <v>2139297</v>
      </c>
      <c r="O46" s="39">
        <f t="shared" ca="1" si="86"/>
        <v>17632225</v>
      </c>
      <c r="P46" s="39">
        <f t="shared" ca="1" si="86"/>
        <v>37742001</v>
      </c>
      <c r="Q46" s="39">
        <f t="shared" ca="1" si="86"/>
        <v>11920869</v>
      </c>
      <c r="R46" s="46"/>
      <c r="S46" s="46">
        <f t="shared" ca="1" si="58"/>
        <v>1.67</v>
      </c>
      <c r="T46" s="46">
        <f t="shared" ca="1" si="58"/>
        <v>7.65</v>
      </c>
      <c r="U46" s="46">
        <f t="shared" ca="1" si="58"/>
        <v>10.56</v>
      </c>
      <c r="V46" s="46">
        <f t="shared" ca="1" si="58"/>
        <v>21.85</v>
      </c>
      <c r="W46" s="46"/>
      <c r="X46" s="45">
        <f t="shared" ca="1" si="64"/>
        <v>2.0211800302571858</v>
      </c>
      <c r="Y46" s="45">
        <f t="shared" ca="1" si="65"/>
        <v>9.258698940998487</v>
      </c>
      <c r="Z46" s="45">
        <f t="shared" ca="1" si="66"/>
        <v>12.780635400907716</v>
      </c>
      <c r="AA46" s="45">
        <f t="shared" ca="1" si="67"/>
        <v>26.444780635400907</v>
      </c>
      <c r="AB46" s="46"/>
      <c r="AC46" s="48">
        <f t="shared" ca="1" si="68"/>
        <v>7.6430205949656743E-2</v>
      </c>
      <c r="AD46" s="48">
        <f t="shared" ca="1" si="69"/>
        <v>0.35011441647597252</v>
      </c>
      <c r="AE46" s="48">
        <f t="shared" ca="1" si="70"/>
        <v>0.48329519450800917</v>
      </c>
      <c r="AF46" s="48">
        <f t="shared" ca="1" si="71"/>
        <v>1</v>
      </c>
      <c r="AG46" s="46"/>
      <c r="AH46" s="49">
        <f t="shared" ca="1" si="72"/>
        <v>232380.3189665979</v>
      </c>
      <c r="AI46" s="39">
        <f t="shared" ca="1" si="73"/>
        <v>4340018.1673117122</v>
      </c>
      <c r="AJ46" s="39">
        <f t="shared" ca="1" si="74"/>
        <v>19059713.856716543</v>
      </c>
      <c r="AK46" s="39">
        <f t="shared" ca="1" si="75"/>
        <v>11920869</v>
      </c>
      <c r="AL46" s="46"/>
      <c r="AM46" s="39">
        <f t="shared" ca="1" si="76"/>
        <v>35552981.342994854</v>
      </c>
      <c r="AN46" s="39">
        <f t="shared" ca="1" si="77"/>
        <v>797485665.44999993</v>
      </c>
      <c r="AO46" s="48">
        <f t="shared" ca="1" si="78"/>
        <v>5.6174061474805623E-2</v>
      </c>
      <c r="AP46" s="39">
        <f t="shared" ca="1" si="79"/>
        <v>965186887.0801816</v>
      </c>
      <c r="AQ46" s="45">
        <f t="shared" ca="1" si="80"/>
        <v>27.147846695853996</v>
      </c>
      <c r="AR46" s="48">
        <f t="shared" ca="1" si="81"/>
        <v>6.9609886566577919E-2</v>
      </c>
      <c r="AT46" s="39">
        <f t="shared" ca="1" si="59"/>
        <v>29253.599999999999</v>
      </c>
      <c r="AU46" s="39">
        <f t="shared" ca="1" si="59"/>
        <v>379507.7</v>
      </c>
      <c r="AV46" s="39">
        <f t="shared" ca="1" si="59"/>
        <v>144488.79999999999</v>
      </c>
      <c r="AX46" s="55">
        <f t="shared" ca="1" si="50"/>
        <v>35405.264750378214</v>
      </c>
      <c r="AY46" s="55">
        <f t="shared" ca="1" si="51"/>
        <v>459313.40393343417</v>
      </c>
      <c r="AZ46" s="55">
        <f t="shared" ca="1" si="52"/>
        <v>174872.98033282903</v>
      </c>
      <c r="BB46" s="39">
        <f t="shared" ca="1" si="60"/>
        <v>22322634</v>
      </c>
      <c r="BC46" s="39">
        <f t="shared" ca="1" si="60"/>
        <v>38946820</v>
      </c>
      <c r="BD46" s="39">
        <f t="shared" ca="1" si="60"/>
        <v>22891393</v>
      </c>
      <c r="BE46" s="39">
        <f t="shared" ca="1" si="60"/>
        <v>5944059</v>
      </c>
      <c r="BG46" s="56">
        <f t="shared" ca="1" si="82"/>
        <v>553250.1</v>
      </c>
      <c r="BH46" s="51">
        <f t="shared" ca="1" si="83"/>
        <v>0.73271336457015979</v>
      </c>
      <c r="BI46" s="56">
        <f t="shared" ca="1" si="84"/>
        <v>84160847</v>
      </c>
      <c r="BJ46" s="58">
        <f t="shared" ca="1" si="53"/>
        <v>6.5737230520030287E-3</v>
      </c>
      <c r="BK46" s="58">
        <f t="shared" ca="1" si="54"/>
        <v>7.956094465359187</v>
      </c>
      <c r="BL46" s="58"/>
      <c r="BM46" s="60">
        <f t="shared" ca="1" si="55"/>
        <v>0.25966349011613227</v>
      </c>
      <c r="BO46">
        <f t="shared" ca="1" si="56"/>
        <v>4.8291371710382745E-2</v>
      </c>
    </row>
    <row r="47" spans="1:67" ht="21" customHeight="1" x14ac:dyDescent="0.2">
      <c r="A47" s="22">
        <f t="shared" si="57"/>
        <v>2004</v>
      </c>
      <c r="B47" s="39">
        <f t="shared" ca="1" si="85"/>
        <v>12217.2</v>
      </c>
      <c r="C47" s="39">
        <f t="shared" ca="1" si="85"/>
        <v>14399.7</v>
      </c>
      <c r="D47" s="45">
        <f t="shared" ca="1" si="85"/>
        <v>0.84843000000000002</v>
      </c>
      <c r="E47" s="46"/>
      <c r="F47" s="39">
        <f t="shared" ca="1" si="47"/>
        <v>67509570</v>
      </c>
      <c r="G47" s="39">
        <f t="shared" ca="1" si="47"/>
        <v>871210.2</v>
      </c>
      <c r="H47" s="46">
        <f t="shared" ca="1" si="47"/>
        <v>12.9</v>
      </c>
      <c r="I47" s="47">
        <f t="shared" ca="1" si="48"/>
        <v>3.8652784368224105E-4</v>
      </c>
      <c r="J47" s="39">
        <f t="shared" ca="1" si="61"/>
        <v>1026849.8285067712</v>
      </c>
      <c r="K47" s="45">
        <f t="shared" ca="1" si="62"/>
        <v>15.204554294402602</v>
      </c>
      <c r="L47" s="48">
        <f t="shared" ca="1" si="63"/>
        <v>7.13101365288282E-2</v>
      </c>
      <c r="M47" s="46"/>
      <c r="N47" s="39">
        <f t="shared" ca="1" si="86"/>
        <v>2160590</v>
      </c>
      <c r="O47" s="39">
        <f t="shared" ca="1" si="86"/>
        <v>17379678</v>
      </c>
      <c r="P47" s="39">
        <f t="shared" ca="1" si="86"/>
        <v>39240693</v>
      </c>
      <c r="Q47" s="39">
        <f t="shared" ca="1" si="86"/>
        <v>12104000</v>
      </c>
      <c r="R47" s="46"/>
      <c r="S47" s="46">
        <f t="shared" ca="1" si="58"/>
        <v>1.92</v>
      </c>
      <c r="T47" s="46">
        <f t="shared" ca="1" si="58"/>
        <v>8.64</v>
      </c>
      <c r="U47" s="46">
        <f t="shared" ca="1" si="58"/>
        <v>12.6</v>
      </c>
      <c r="V47" s="46">
        <f t="shared" ca="1" si="58"/>
        <v>22.38</v>
      </c>
      <c r="W47" s="46"/>
      <c r="X47" s="45">
        <f t="shared" ca="1" si="64"/>
        <v>2.2630034298645731</v>
      </c>
      <c r="Y47" s="45">
        <f t="shared" ca="1" si="65"/>
        <v>10.18351543439058</v>
      </c>
      <c r="Z47" s="45">
        <f t="shared" ca="1" si="66"/>
        <v>14.850960008486263</v>
      </c>
      <c r="AA47" s="45">
        <f t="shared" ca="1" si="67"/>
        <v>26.378133729358932</v>
      </c>
      <c r="AB47" s="46"/>
      <c r="AC47" s="48">
        <f t="shared" ca="1" si="68"/>
        <v>8.5790884718498647E-2</v>
      </c>
      <c r="AD47" s="48">
        <f t="shared" ca="1" si="69"/>
        <v>0.386058981233244</v>
      </c>
      <c r="AE47" s="48">
        <f t="shared" ca="1" si="70"/>
        <v>0.5630026809651475</v>
      </c>
      <c r="AF47" s="48">
        <f t="shared" ca="1" si="71"/>
        <v>1</v>
      </c>
      <c r="AG47" s="46"/>
      <c r="AH47" s="49">
        <f t="shared" ca="1" si="72"/>
        <v>234693.26295322331</v>
      </c>
      <c r="AI47" s="39">
        <f t="shared" ca="1" si="73"/>
        <v>4277855.9292447595</v>
      </c>
      <c r="AJ47" s="39">
        <f t="shared" ca="1" si="74"/>
        <v>19816553.449809402</v>
      </c>
      <c r="AK47" s="39">
        <f t="shared" ca="1" si="75"/>
        <v>12104000</v>
      </c>
      <c r="AL47" s="46"/>
      <c r="AM47" s="39">
        <f t="shared" ca="1" si="76"/>
        <v>36433102.642007381</v>
      </c>
      <c r="AN47" s="39">
        <f t="shared" ca="1" si="77"/>
        <v>919629002.51999998</v>
      </c>
      <c r="AO47" s="48">
        <f t="shared" ca="1" si="78"/>
        <v>5.5576487189888307E-2</v>
      </c>
      <c r="AP47" s="39">
        <f t="shared" ca="1" si="79"/>
        <v>1083918534.8467169</v>
      </c>
      <c r="AQ47" s="45">
        <f t="shared" ca="1" si="80"/>
        <v>29.750925840638079</v>
      </c>
      <c r="AR47" s="48">
        <f t="shared" ca="1" si="81"/>
        <v>7.5273303418131807E-2</v>
      </c>
      <c r="AT47" s="39">
        <f t="shared" ca="1" si="59"/>
        <v>31627.3</v>
      </c>
      <c r="AU47" s="39">
        <f t="shared" ca="1" si="59"/>
        <v>470430.4</v>
      </c>
      <c r="AV47" s="39">
        <f t="shared" ca="1" si="59"/>
        <v>162842.5</v>
      </c>
      <c r="AX47" s="55">
        <f t="shared" ca="1" si="50"/>
        <v>37277.441863206157</v>
      </c>
      <c r="AY47" s="55">
        <f t="shared" ca="1" si="51"/>
        <v>554471.67120445997</v>
      </c>
      <c r="AZ47" s="55">
        <f t="shared" ca="1" si="52"/>
        <v>191933.92501443843</v>
      </c>
      <c r="BB47" s="39">
        <f t="shared" ca="1" si="60"/>
        <v>22464302</v>
      </c>
      <c r="BC47" s="39">
        <f t="shared" ca="1" si="60"/>
        <v>40441691</v>
      </c>
      <c r="BD47" s="39">
        <f t="shared" ca="1" si="60"/>
        <v>22988315</v>
      </c>
      <c r="BE47" s="39">
        <f t="shared" ca="1" si="60"/>
        <v>6074599</v>
      </c>
      <c r="BG47" s="56">
        <f t="shared" ca="1" si="82"/>
        <v>664900.19999999995</v>
      </c>
      <c r="BH47" s="51">
        <f t="shared" ca="1" si="83"/>
        <v>0.76319147778572838</v>
      </c>
      <c r="BI47" s="56">
        <f t="shared" ca="1" si="84"/>
        <v>85894308</v>
      </c>
      <c r="BJ47" s="58">
        <f t="shared" ca="1" si="53"/>
        <v>7.7409110741074941E-3</v>
      </c>
      <c r="BK47" s="58">
        <f t="shared" ca="1" si="54"/>
        <v>9.1238064119697491</v>
      </c>
      <c r="BL47" s="58"/>
      <c r="BM47" s="60">
        <f t="shared" ca="1" si="55"/>
        <v>0.26424724909154934</v>
      </c>
      <c r="BO47">
        <f t="shared" ca="1" si="56"/>
        <v>5.4423288478538445E-2</v>
      </c>
    </row>
    <row r="48" spans="1:67" ht="21" customHeight="1" x14ac:dyDescent="0.2">
      <c r="A48" s="22">
        <f t="shared" si="57"/>
        <v>2005</v>
      </c>
      <c r="B48" s="39">
        <f t="shared" ca="1" si="85"/>
        <v>13039.2</v>
      </c>
      <c r="C48" s="39">
        <f t="shared" ca="1" si="85"/>
        <v>14901.3</v>
      </c>
      <c r="D48" s="45">
        <f t="shared" ca="1" si="85"/>
        <v>0.87504000000000004</v>
      </c>
      <c r="E48" s="46"/>
      <c r="F48" s="39">
        <f t="shared" ca="1" si="47"/>
        <v>67162318</v>
      </c>
      <c r="G48" s="39">
        <f t="shared" ca="1" si="47"/>
        <v>1045730.4</v>
      </c>
      <c r="H48" s="46">
        <f t="shared" ca="1" si="47"/>
        <v>15.57</v>
      </c>
      <c r="I48" s="47">
        <f t="shared" ca="1" si="48"/>
        <v>1.2535487158118613E-5</v>
      </c>
      <c r="J48" s="39">
        <f t="shared" ca="1" si="61"/>
        <v>1195065.8255622599</v>
      </c>
      <c r="K48" s="45">
        <f t="shared" ca="1" si="62"/>
        <v>17.793472298409217</v>
      </c>
      <c r="L48" s="48">
        <f t="shared" ca="1" si="63"/>
        <v>8.0198969261917899E-2</v>
      </c>
      <c r="M48" s="46"/>
      <c r="N48" s="39">
        <f t="shared" ca="1" si="86"/>
        <v>2058023</v>
      </c>
      <c r="O48" s="39">
        <f t="shared" ca="1" si="86"/>
        <v>16595994</v>
      </c>
      <c r="P48" s="39">
        <f t="shared" ca="1" si="86"/>
        <v>39340360</v>
      </c>
      <c r="Q48" s="39">
        <f t="shared" ca="1" si="86"/>
        <v>12491225</v>
      </c>
      <c r="R48" s="46"/>
      <c r="S48" s="46">
        <f t="shared" ca="1" si="58"/>
        <v>2.46</v>
      </c>
      <c r="T48" s="46">
        <f t="shared" ca="1" si="58"/>
        <v>10.64</v>
      </c>
      <c r="U48" s="46">
        <f t="shared" ca="1" si="58"/>
        <v>15.9</v>
      </c>
      <c r="V48" s="46">
        <f t="shared" ca="1" si="58"/>
        <v>23.92</v>
      </c>
      <c r="W48" s="46"/>
      <c r="X48" s="45">
        <f t="shared" ca="1" si="64"/>
        <v>2.8113000548546352</v>
      </c>
      <c r="Y48" s="45">
        <f t="shared" ca="1" si="65"/>
        <v>12.159444139696472</v>
      </c>
      <c r="Z48" s="45">
        <f t="shared" ca="1" si="66"/>
        <v>18.17059791552386</v>
      </c>
      <c r="AA48" s="45">
        <f t="shared" ca="1" si="67"/>
        <v>27.335893216310112</v>
      </c>
      <c r="AB48" s="46"/>
      <c r="AC48" s="48">
        <f t="shared" ca="1" si="68"/>
        <v>0.1028428093645485</v>
      </c>
      <c r="AD48" s="48">
        <f t="shared" ca="1" si="69"/>
        <v>0.44481605351170572</v>
      </c>
      <c r="AE48" s="48">
        <f t="shared" ca="1" si="70"/>
        <v>0.6647157190635451</v>
      </c>
      <c r="AF48" s="48">
        <f t="shared" ca="1" si="71"/>
        <v>1</v>
      </c>
      <c r="AG48" s="46"/>
      <c r="AH48" s="49">
        <f t="shared" ca="1" si="72"/>
        <v>223551.96178024588</v>
      </c>
      <c r="AI48" s="39">
        <f t="shared" ca="1" si="73"/>
        <v>4084958.9580779606</v>
      </c>
      <c r="AJ48" s="39">
        <f t="shared" ca="1" si="74"/>
        <v>19866885.293660428</v>
      </c>
      <c r="AK48" s="39">
        <f t="shared" ca="1" si="75"/>
        <v>12491225</v>
      </c>
      <c r="AL48" s="46"/>
      <c r="AM48" s="39">
        <f t="shared" ca="1" si="76"/>
        <v>36666621.213518634</v>
      </c>
      <c r="AN48" s="39">
        <f t="shared" ca="1" si="77"/>
        <v>1105945938.74</v>
      </c>
      <c r="AO48" s="48">
        <f t="shared" ca="1" si="78"/>
        <v>5.7582278128282274E-2</v>
      </c>
      <c r="AP48" s="39">
        <f t="shared" ca="1" si="79"/>
        <v>1263880438.3113914</v>
      </c>
      <c r="AQ48" s="45">
        <f t="shared" ca="1" si="80"/>
        <v>34.469509228884462</v>
      </c>
      <c r="AR48" s="48">
        <f t="shared" ca="1" si="81"/>
        <v>8.4817008615559228E-2</v>
      </c>
      <c r="AT48" s="39">
        <f t="shared" ca="1" si="59"/>
        <v>36742.400000000001</v>
      </c>
      <c r="AU48" s="39">
        <f t="shared" ca="1" si="59"/>
        <v>596286.9</v>
      </c>
      <c r="AV48" s="39">
        <f t="shared" ca="1" si="59"/>
        <v>200355.5</v>
      </c>
      <c r="AX48" s="55">
        <f t="shared" ca="1" si="50"/>
        <v>41989.394770524777</v>
      </c>
      <c r="AY48" s="55">
        <f t="shared" ca="1" si="51"/>
        <v>681439.59133296763</v>
      </c>
      <c r="AZ48" s="55">
        <f t="shared" ca="1" si="52"/>
        <v>228967.24721155604</v>
      </c>
      <c r="BB48" s="39">
        <f t="shared" ca="1" si="60"/>
        <v>22793450</v>
      </c>
      <c r="BC48" s="39">
        <f t="shared" ca="1" si="60"/>
        <v>40562424</v>
      </c>
      <c r="BD48" s="39">
        <f t="shared" ca="1" si="60"/>
        <v>22631800</v>
      </c>
      <c r="BE48" s="39">
        <f t="shared" ca="1" si="60"/>
        <v>6231821</v>
      </c>
      <c r="BG48" s="56">
        <f t="shared" ca="1" si="82"/>
        <v>833384.8</v>
      </c>
      <c r="BH48" s="51">
        <f t="shared" ca="1" si="83"/>
        <v>0.79694039687475859</v>
      </c>
      <c r="BI48" s="56">
        <f t="shared" ca="1" si="84"/>
        <v>85987674</v>
      </c>
      <c r="BJ48" s="58">
        <f t="shared" ca="1" si="53"/>
        <v>9.6919100288722776E-3</v>
      </c>
      <c r="BK48" s="58">
        <f t="shared" ca="1" si="54"/>
        <v>11.075962274721473</v>
      </c>
      <c r="BL48" s="58"/>
      <c r="BM48" s="60">
        <f t="shared" ca="1" si="55"/>
        <v>0.27535684302618441</v>
      </c>
      <c r="BO48">
        <f t="shared" ca="1" si="56"/>
        <v>6.3913798392539425E-2</v>
      </c>
    </row>
    <row r="49" spans="1:67" ht="21" customHeight="1" x14ac:dyDescent="0.2">
      <c r="A49" s="22">
        <f t="shared" si="57"/>
        <v>2006</v>
      </c>
      <c r="B49" s="39">
        <f t="shared" ca="1" si="85"/>
        <v>13815.6</v>
      </c>
      <c r="C49" s="39">
        <f t="shared" ca="1" si="85"/>
        <v>15315.9</v>
      </c>
      <c r="D49" s="45">
        <f t="shared" ca="1" si="85"/>
        <v>0.90203999999999995</v>
      </c>
      <c r="E49" s="46"/>
      <c r="F49" s="39">
        <f t="shared" ca="1" si="47"/>
        <v>66584075</v>
      </c>
      <c r="G49" s="39">
        <f t="shared" ca="1" si="47"/>
        <v>1158820.6000000001</v>
      </c>
      <c r="H49" s="46">
        <f t="shared" ca="1" si="47"/>
        <v>17.399999999999999</v>
      </c>
      <c r="I49" s="47">
        <f t="shared" ca="1" si="48"/>
        <v>2.2237695809003151E-4</v>
      </c>
      <c r="J49" s="39">
        <f t="shared" ca="1" si="61"/>
        <v>1284666.5336348722</v>
      </c>
      <c r="K49" s="45">
        <f t="shared" ca="1" si="62"/>
        <v>19.289610216841826</v>
      </c>
      <c r="L49" s="48">
        <f t="shared" ca="1" si="63"/>
        <v>8.3877688989258514E-2</v>
      </c>
      <c r="M49" s="46"/>
      <c r="N49" s="39">
        <f t="shared" ca="1" si="86"/>
        <v>1984225</v>
      </c>
      <c r="O49" s="39">
        <f t="shared" ca="1" si="86"/>
        <v>15898831</v>
      </c>
      <c r="P49" s="39">
        <f t="shared" ca="1" si="86"/>
        <v>39558991</v>
      </c>
      <c r="Q49" s="39">
        <f t="shared" ca="1" si="86"/>
        <v>12521763</v>
      </c>
      <c r="R49" s="46"/>
      <c r="S49" s="46">
        <f t="shared" ca="1" si="58"/>
        <v>2.71</v>
      </c>
      <c r="T49" s="46">
        <f t="shared" ca="1" si="58"/>
        <v>10.92</v>
      </c>
      <c r="U49" s="46">
        <f t="shared" ca="1" si="58"/>
        <v>18.21</v>
      </c>
      <c r="V49" s="46">
        <f t="shared" ca="1" si="58"/>
        <v>26.15</v>
      </c>
      <c r="W49" s="46"/>
      <c r="X49" s="45">
        <f t="shared" ca="1" si="64"/>
        <v>3.004301361358698</v>
      </c>
      <c r="Y49" s="45">
        <f t="shared" ca="1" si="65"/>
        <v>12.105893308500733</v>
      </c>
      <c r="Z49" s="45">
        <f t="shared" ca="1" si="66"/>
        <v>20.187574830384463</v>
      </c>
      <c r="AA49" s="45">
        <f t="shared" ca="1" si="67"/>
        <v>28.989845239678949</v>
      </c>
      <c r="AB49" s="46"/>
      <c r="AC49" s="48">
        <f t="shared" ca="1" si="68"/>
        <v>0.10363288718929255</v>
      </c>
      <c r="AD49" s="48">
        <f t="shared" ca="1" si="69"/>
        <v>0.41759082217973237</v>
      </c>
      <c r="AE49" s="48">
        <f t="shared" ca="1" si="70"/>
        <v>0.69636711281070751</v>
      </c>
      <c r="AF49" s="48">
        <f t="shared" ca="1" si="71"/>
        <v>1</v>
      </c>
      <c r="AG49" s="46"/>
      <c r="AH49" s="49">
        <f t="shared" ca="1" si="72"/>
        <v>215535.6822365</v>
      </c>
      <c r="AI49" s="39">
        <f t="shared" ca="1" si="73"/>
        <v>3913358.3753053648</v>
      </c>
      <c r="AJ49" s="39">
        <f t="shared" ca="1" si="74"/>
        <v>19977293.968076177</v>
      </c>
      <c r="AK49" s="39">
        <f t="shared" ca="1" si="75"/>
        <v>12521763</v>
      </c>
      <c r="AL49" s="46"/>
      <c r="AM49" s="39">
        <f t="shared" ca="1" si="76"/>
        <v>36627951.025618047</v>
      </c>
      <c r="AN49" s="39">
        <f t="shared" ca="1" si="77"/>
        <v>1226805812.8299999</v>
      </c>
      <c r="AO49" s="48">
        <f t="shared" ca="1" si="78"/>
        <v>5.8667590850559483E-2</v>
      </c>
      <c r="AP49" s="39">
        <f t="shared" ca="1" si="79"/>
        <v>1360034824.2095695</v>
      </c>
      <c r="AQ49" s="45">
        <f t="shared" ca="1" si="80"/>
        <v>37.131064832382904</v>
      </c>
      <c r="AR49" s="48">
        <f t="shared" ca="1" si="81"/>
        <v>8.8798590928370821E-2</v>
      </c>
      <c r="AT49" s="39">
        <f t="shared" ca="1" si="59"/>
        <v>39794.300000000003</v>
      </c>
      <c r="AU49" s="39">
        <f t="shared" ca="1" si="59"/>
        <v>681784.8</v>
      </c>
      <c r="AV49" s="39">
        <f t="shared" ca="1" si="59"/>
        <v>190589.2</v>
      </c>
      <c r="AX49" s="55">
        <f t="shared" ca="1" si="50"/>
        <v>44115.892865061425</v>
      </c>
      <c r="AY49" s="55">
        <f t="shared" ca="1" si="51"/>
        <v>755825.46228548628</v>
      </c>
      <c r="AZ49" s="55">
        <f t="shared" ca="1" si="52"/>
        <v>211286.86089308679</v>
      </c>
      <c r="BB49" s="39">
        <f t="shared" ca="1" si="60"/>
        <v>22444214</v>
      </c>
      <c r="BC49" s="39">
        <f t="shared" ca="1" si="60"/>
        <v>40195949</v>
      </c>
      <c r="BD49" s="39">
        <f t="shared" ca="1" si="60"/>
        <v>22292657</v>
      </c>
      <c r="BE49" s="39">
        <f t="shared" ca="1" si="60"/>
        <v>6636591</v>
      </c>
      <c r="BG49" s="56">
        <f t="shared" ca="1" si="82"/>
        <v>912168.3</v>
      </c>
      <c r="BH49" s="51">
        <f t="shared" ca="1" si="83"/>
        <v>0.78715229950175203</v>
      </c>
      <c r="BI49" s="56">
        <f t="shared" ca="1" si="84"/>
        <v>84932820</v>
      </c>
      <c r="BJ49" s="58">
        <f t="shared" ca="1" si="53"/>
        <v>1.0739880060499581E-2</v>
      </c>
      <c r="BK49" s="58">
        <f t="shared" ca="1" si="54"/>
        <v>11.906212651877503</v>
      </c>
      <c r="BL49" s="58"/>
      <c r="BM49" s="60">
        <f t="shared" ca="1" si="55"/>
        <v>0.29770300597187677</v>
      </c>
      <c r="BO49">
        <f t="shared" ca="1" si="56"/>
        <v>6.6024515764787642E-2</v>
      </c>
    </row>
    <row r="50" spans="1:67" ht="21" customHeight="1" x14ac:dyDescent="0.2">
      <c r="A50" s="22">
        <f t="shared" si="57"/>
        <v>2007</v>
      </c>
      <c r="B50" s="39">
        <f t="shared" ca="1" si="85"/>
        <v>14474.2</v>
      </c>
      <c r="C50" s="39">
        <f t="shared" ca="1" si="85"/>
        <v>15623.9</v>
      </c>
      <c r="D50" s="45">
        <f t="shared" ca="1" si="85"/>
        <v>0.92642000000000002</v>
      </c>
      <c r="E50" s="46"/>
      <c r="F50" s="39">
        <f t="shared" ca="1" si="47"/>
        <v>67261459</v>
      </c>
      <c r="G50" s="39">
        <f t="shared" ca="1" si="47"/>
        <v>1233868.7</v>
      </c>
      <c r="H50" s="46">
        <f t="shared" ca="1" si="47"/>
        <v>18.34</v>
      </c>
      <c r="I50" s="47">
        <f t="shared" ca="1" si="48"/>
        <v>2.3790370887916051E-4</v>
      </c>
      <c r="J50" s="39">
        <f t="shared" ca="1" si="61"/>
        <v>1331867.5114958656</v>
      </c>
      <c r="K50" s="45">
        <f t="shared" ca="1" si="62"/>
        <v>19.796636514755725</v>
      </c>
      <c r="L50" s="48">
        <f t="shared" ca="1" si="63"/>
        <v>8.524607232178634E-2</v>
      </c>
      <c r="M50" s="46"/>
      <c r="N50" s="39">
        <f t="shared" ca="1" si="86"/>
        <v>1942665</v>
      </c>
      <c r="O50" s="39">
        <f t="shared" ca="1" si="86"/>
        <v>16706794</v>
      </c>
      <c r="P50" s="39">
        <f t="shared" ca="1" si="86"/>
        <v>39304542</v>
      </c>
      <c r="Q50" s="39">
        <f t="shared" ca="1" si="86"/>
        <v>12844681</v>
      </c>
      <c r="R50" s="46"/>
      <c r="S50" s="46">
        <f t="shared" ca="1" si="58"/>
        <v>2.81</v>
      </c>
      <c r="T50" s="46">
        <f t="shared" ca="1" si="58"/>
        <v>10.4</v>
      </c>
      <c r="U50" s="46">
        <f t="shared" ca="1" si="58"/>
        <v>19.89</v>
      </c>
      <c r="V50" s="46">
        <f t="shared" ca="1" si="58"/>
        <v>26.84</v>
      </c>
      <c r="W50" s="46"/>
      <c r="X50" s="45">
        <f t="shared" ca="1" si="64"/>
        <v>3.0331814943546123</v>
      </c>
      <c r="Y50" s="45">
        <f t="shared" ca="1" si="65"/>
        <v>11.226009801170095</v>
      </c>
      <c r="Z50" s="45">
        <f t="shared" ca="1" si="66"/>
        <v>21.469743744737809</v>
      </c>
      <c r="AA50" s="45">
        <f t="shared" ca="1" si="67"/>
        <v>28.971740679173593</v>
      </c>
      <c r="AB50" s="46"/>
      <c r="AC50" s="48">
        <f t="shared" ca="1" si="68"/>
        <v>0.10469448584202683</v>
      </c>
      <c r="AD50" s="48">
        <f t="shared" ca="1" si="69"/>
        <v>0.38748137108792846</v>
      </c>
      <c r="AE50" s="48">
        <f t="shared" ca="1" si="70"/>
        <v>0.74105812220566325</v>
      </c>
      <c r="AF50" s="48">
        <f t="shared" ca="1" si="71"/>
        <v>1</v>
      </c>
      <c r="AG50" s="46"/>
      <c r="AH50" s="49">
        <f t="shared" ca="1" si="72"/>
        <v>211021.24312110283</v>
      </c>
      <c r="AI50" s="39">
        <f t="shared" ca="1" si="73"/>
        <v>4112231.4102465403</v>
      </c>
      <c r="AJ50" s="39">
        <f t="shared" ca="1" si="74"/>
        <v>19848797.200479575</v>
      </c>
      <c r="AK50" s="39">
        <f t="shared" ca="1" si="75"/>
        <v>12844681</v>
      </c>
      <c r="AL50" s="46"/>
      <c r="AM50" s="39">
        <f t="shared" ca="1" si="76"/>
        <v>37016730.853847221</v>
      </c>
      <c r="AN50" s="39">
        <f t="shared" ca="1" si="77"/>
        <v>1305728124.6700001</v>
      </c>
      <c r="AO50" s="48">
        <f t="shared" ca="1" si="78"/>
        <v>5.8239117881829804E-2</v>
      </c>
      <c r="AP50" s="39">
        <f t="shared" ca="1" si="79"/>
        <v>1409434300.5008528</v>
      </c>
      <c r="AQ50" s="45">
        <f t="shared" ca="1" si="80"/>
        <v>38.075601707393012</v>
      </c>
      <c r="AR50" s="48">
        <f t="shared" ca="1" si="81"/>
        <v>9.0210728376697857E-2</v>
      </c>
      <c r="AT50" s="39">
        <f t="shared" ca="1" si="59"/>
        <v>42519.9</v>
      </c>
      <c r="AU50" s="39">
        <f t="shared" ca="1" si="59"/>
        <v>740325</v>
      </c>
      <c r="AV50" s="39">
        <f t="shared" ca="1" si="59"/>
        <v>196957.1</v>
      </c>
      <c r="AX50" s="55">
        <f t="shared" ca="1" si="50"/>
        <v>45897.001360074268</v>
      </c>
      <c r="AY50" s="55">
        <f t="shared" ca="1" si="51"/>
        <v>799124.58712031262</v>
      </c>
      <c r="AZ50" s="55">
        <f t="shared" ca="1" si="52"/>
        <v>212600.22452019603</v>
      </c>
      <c r="BB50" s="39">
        <f t="shared" ca="1" si="60"/>
        <v>22747914</v>
      </c>
      <c r="BC50" s="39">
        <f t="shared" ca="1" si="60"/>
        <v>39952373</v>
      </c>
      <c r="BD50" s="39">
        <f t="shared" ca="1" si="60"/>
        <v>23735125</v>
      </c>
      <c r="BE50" s="39">
        <f t="shared" ca="1" si="60"/>
        <v>6522719</v>
      </c>
      <c r="BG50" s="56">
        <f t="shared" ca="1" si="82"/>
        <v>979802</v>
      </c>
      <c r="BH50" s="51">
        <f t="shared" ca="1" si="83"/>
        <v>0.79408935488840915</v>
      </c>
      <c r="BI50" s="56">
        <f t="shared" ca="1" si="84"/>
        <v>86435412</v>
      </c>
      <c r="BJ50" s="58">
        <f t="shared" ca="1" si="53"/>
        <v>1.1335654881820891E-2</v>
      </c>
      <c r="BK50" s="58">
        <f t="shared" ca="1" si="54"/>
        <v>12.235978154423361</v>
      </c>
      <c r="BL50" s="58"/>
      <c r="BM50" s="60">
        <f t="shared" ca="1" si="55"/>
        <v>0.27481291967074117</v>
      </c>
      <c r="BO50">
        <f t="shared" ca="1" si="56"/>
        <v>6.7692998576777977E-2</v>
      </c>
    </row>
    <row r="51" spans="1:67" ht="21" customHeight="1" x14ac:dyDescent="0.2">
      <c r="A51" s="22">
        <f t="shared" si="57"/>
        <v>2008</v>
      </c>
      <c r="B51" s="39">
        <f t="shared" ca="1" si="85"/>
        <v>14769.9</v>
      </c>
      <c r="C51" s="39">
        <f t="shared" ca="1" si="85"/>
        <v>15643</v>
      </c>
      <c r="D51" s="45">
        <f t="shared" ca="1" si="85"/>
        <v>0.94418999999999997</v>
      </c>
      <c r="E51" s="46"/>
      <c r="F51" s="39">
        <f t="shared" ca="1" si="47"/>
        <v>65419649</v>
      </c>
      <c r="G51" s="39">
        <f t="shared" ca="1" si="47"/>
        <v>1408759.3</v>
      </c>
      <c r="H51" s="46">
        <f t="shared" ca="1" si="47"/>
        <v>21.53</v>
      </c>
      <c r="I51" s="47">
        <f t="shared" ca="1" si="48"/>
        <v>1.9467983636379816E-4</v>
      </c>
      <c r="J51" s="39">
        <f t="shared" ca="1" si="61"/>
        <v>1492029.4644086466</v>
      </c>
      <c r="K51" s="45">
        <f t="shared" ca="1" si="62"/>
        <v>22.802613880680799</v>
      </c>
      <c r="L51" s="48">
        <f t="shared" ca="1" si="63"/>
        <v>9.5380422345445803E-2</v>
      </c>
      <c r="M51" s="46"/>
      <c r="N51" s="39">
        <f t="shared" ca="1" si="86"/>
        <v>1872217</v>
      </c>
      <c r="O51" s="39">
        <f t="shared" ca="1" si="86"/>
        <v>17048807</v>
      </c>
      <c r="P51" s="39">
        <f t="shared" ca="1" si="86"/>
        <v>37131896</v>
      </c>
      <c r="Q51" s="39">
        <f t="shared" ca="1" si="86"/>
        <v>12740287</v>
      </c>
      <c r="R51" s="46"/>
      <c r="S51" s="46">
        <f t="shared" ca="1" si="58"/>
        <v>3.39</v>
      </c>
      <c r="T51" s="46">
        <f t="shared" ca="1" si="58"/>
        <v>11.68</v>
      </c>
      <c r="U51" s="46">
        <f t="shared" ca="1" si="58"/>
        <v>24.72</v>
      </c>
      <c r="V51" s="46">
        <f t="shared" ca="1" si="58"/>
        <v>28.62</v>
      </c>
      <c r="W51" s="46"/>
      <c r="X51" s="45">
        <f t="shared" ca="1" si="64"/>
        <v>3.5903790550630701</v>
      </c>
      <c r="Y51" s="45">
        <f t="shared" ca="1" si="65"/>
        <v>12.370391552547687</v>
      </c>
      <c r="Z51" s="45">
        <f t="shared" ca="1" si="66"/>
        <v>26.181171162583802</v>
      </c>
      <c r="AA51" s="45">
        <f t="shared" ca="1" si="67"/>
        <v>30.311695739205035</v>
      </c>
      <c r="AB51" s="46"/>
      <c r="AC51" s="48">
        <f t="shared" ca="1" si="68"/>
        <v>0.11844863731656184</v>
      </c>
      <c r="AD51" s="48">
        <f t="shared" ca="1" si="69"/>
        <v>0.40810621942697412</v>
      </c>
      <c r="AE51" s="48">
        <f t="shared" ca="1" si="70"/>
        <v>0.86373165618448633</v>
      </c>
      <c r="AF51" s="48">
        <f t="shared" ca="1" si="71"/>
        <v>1</v>
      </c>
      <c r="AG51" s="46"/>
      <c r="AH51" s="49">
        <f t="shared" ca="1" si="72"/>
        <v>203368.85604695702</v>
      </c>
      <c r="AI51" s="39">
        <f t="shared" ca="1" si="73"/>
        <v>4196414.9227332957</v>
      </c>
      <c r="AJ51" s="39">
        <f t="shared" ca="1" si="74"/>
        <v>18751610.77753555</v>
      </c>
      <c r="AK51" s="39">
        <f t="shared" ca="1" si="75"/>
        <v>12740287</v>
      </c>
      <c r="AL51" s="46"/>
      <c r="AM51" s="39">
        <f t="shared" ca="1" si="76"/>
        <v>35891681.556315802</v>
      </c>
      <c r="AN51" s="39">
        <f t="shared" ca="1" si="77"/>
        <v>1488004364.45</v>
      </c>
      <c r="AO51" s="48">
        <f t="shared" ca="1" si="78"/>
        <v>5.6251670849661789E-2</v>
      </c>
      <c r="AP51" s="39">
        <f t="shared" ca="1" si="79"/>
        <v>1575958614.738559</v>
      </c>
      <c r="AQ51" s="45">
        <f t="shared" ca="1" si="80"/>
        <v>43.908742817351786</v>
      </c>
      <c r="AR51" s="48">
        <f t="shared" ca="1" si="81"/>
        <v>0.10074573046872357</v>
      </c>
      <c r="AT51" s="39">
        <f t="shared" ca="1" si="59"/>
        <v>49252.5</v>
      </c>
      <c r="AU51" s="39">
        <f t="shared" ca="1" si="59"/>
        <v>871081.1</v>
      </c>
      <c r="AV51" s="39">
        <f t="shared" ca="1" si="59"/>
        <v>230465.4</v>
      </c>
      <c r="AX51" s="55">
        <f t="shared" ca="1" si="50"/>
        <v>52163.759412830048</v>
      </c>
      <c r="AY51" s="55">
        <f t="shared" ca="1" si="51"/>
        <v>922569.71584109135</v>
      </c>
      <c r="AZ51" s="55">
        <f t="shared" ca="1" si="52"/>
        <v>244087.94840021606</v>
      </c>
      <c r="BB51" s="39">
        <f t="shared" ca="1" si="60"/>
        <v>22382816</v>
      </c>
      <c r="BC51" s="39">
        <f t="shared" ca="1" si="60"/>
        <v>37591231</v>
      </c>
      <c r="BD51" s="39">
        <f t="shared" ca="1" si="60"/>
        <v>23898175</v>
      </c>
      <c r="BE51" s="39">
        <f t="shared" ca="1" si="60"/>
        <v>7174060</v>
      </c>
      <c r="BG51" s="56">
        <f t="shared" ca="1" si="82"/>
        <v>1150799</v>
      </c>
      <c r="BH51" s="51">
        <f t="shared" ca="1" si="83"/>
        <v>0.81688830732120099</v>
      </c>
      <c r="BI51" s="56">
        <f t="shared" ca="1" si="84"/>
        <v>83872222</v>
      </c>
      <c r="BJ51" s="58">
        <f t="shared" ca="1" si="53"/>
        <v>1.3720859809818797E-2</v>
      </c>
      <c r="BK51" s="58">
        <f t="shared" ca="1" si="54"/>
        <v>14.531884270982323</v>
      </c>
      <c r="BL51" s="58"/>
      <c r="BM51" s="60">
        <f t="shared" ca="1" si="55"/>
        <v>0.30019279714873626</v>
      </c>
      <c r="BO51">
        <f t="shared" ca="1" si="56"/>
        <v>7.7915151761352469E-2</v>
      </c>
    </row>
    <row r="52" spans="1:67" ht="21" customHeight="1" x14ac:dyDescent="0.2">
      <c r="A52" s="22">
        <f t="shared" si="57"/>
        <v>2009</v>
      </c>
      <c r="B52" s="39">
        <f t="shared" ca="1" si="85"/>
        <v>14478.1</v>
      </c>
      <c r="C52" s="39">
        <f t="shared" ca="1" si="85"/>
        <v>15236.3</v>
      </c>
      <c r="D52" s="45">
        <f t="shared" ca="1" si="85"/>
        <v>0.95023999999999997</v>
      </c>
      <c r="E52" s="46"/>
      <c r="F52" s="39">
        <f t="shared" ca="1" si="47"/>
        <v>61791400</v>
      </c>
      <c r="G52" s="39">
        <f t="shared" ca="1" si="47"/>
        <v>1066528.3999999999</v>
      </c>
      <c r="H52" s="46">
        <f t="shared" ca="1" si="47"/>
        <v>17.260000000000002</v>
      </c>
      <c r="I52" s="47">
        <f t="shared" ca="1" si="48"/>
        <v>8.2848239202011223E-6</v>
      </c>
      <c r="J52" s="39">
        <f t="shared" ca="1" si="61"/>
        <v>1122377.9255766964</v>
      </c>
      <c r="K52" s="45">
        <f t="shared" ca="1" si="62"/>
        <v>18.16383229499916</v>
      </c>
      <c r="L52" s="48">
        <f t="shared" ca="1" si="63"/>
        <v>7.3664942223081745E-2</v>
      </c>
      <c r="M52" s="46"/>
      <c r="N52" s="39">
        <f t="shared" ca="1" si="86"/>
        <v>1467575</v>
      </c>
      <c r="O52" s="39">
        <f t="shared" ca="1" si="86"/>
        <v>16443373</v>
      </c>
      <c r="P52" s="39">
        <f t="shared" ca="1" si="86"/>
        <v>35369513</v>
      </c>
      <c r="Q52" s="39">
        <f t="shared" ca="1" si="86"/>
        <v>12272265</v>
      </c>
      <c r="R52" s="46"/>
      <c r="S52" s="46">
        <f t="shared" ca="1" si="58"/>
        <v>3.71</v>
      </c>
      <c r="T52" s="46">
        <f t="shared" ca="1" si="58"/>
        <v>9.1199999999999992</v>
      </c>
      <c r="U52" s="46">
        <f t="shared" ca="1" si="58"/>
        <v>17.43</v>
      </c>
      <c r="V52" s="46">
        <f t="shared" ca="1" si="58"/>
        <v>28.9</v>
      </c>
      <c r="W52" s="46"/>
      <c r="X52" s="45">
        <f t="shared" ca="1" si="64"/>
        <v>3.9042768142784983</v>
      </c>
      <c r="Y52" s="45">
        <f t="shared" ca="1" si="65"/>
        <v>9.5975753493854175</v>
      </c>
      <c r="Z52" s="45">
        <f t="shared" ca="1" si="66"/>
        <v>18.342734467082</v>
      </c>
      <c r="AA52" s="45">
        <f t="shared" ca="1" si="67"/>
        <v>30.413369254083179</v>
      </c>
      <c r="AB52" s="46"/>
      <c r="AC52" s="48">
        <f t="shared" ca="1" si="68"/>
        <v>0.12837370242214532</v>
      </c>
      <c r="AD52" s="48">
        <f t="shared" ca="1" si="69"/>
        <v>0.31557093425605531</v>
      </c>
      <c r="AE52" s="48">
        <f t="shared" ca="1" si="70"/>
        <v>0.6031141868512111</v>
      </c>
      <c r="AF52" s="48">
        <f t="shared" ca="1" si="71"/>
        <v>1</v>
      </c>
      <c r="AG52" s="46"/>
      <c r="AH52" s="49">
        <f t="shared" ca="1" si="72"/>
        <v>159414.77345474</v>
      </c>
      <c r="AI52" s="39">
        <f t="shared" ca="1" si="73"/>
        <v>4047392.6320633325</v>
      </c>
      <c r="AJ52" s="39">
        <f t="shared" ca="1" si="74"/>
        <v>17861607.206025347</v>
      </c>
      <c r="AK52" s="39">
        <f t="shared" ca="1" si="75"/>
        <v>12272265</v>
      </c>
      <c r="AL52" s="46"/>
      <c r="AM52" s="39">
        <f t="shared" ca="1" si="76"/>
        <v>34340679.611543417</v>
      </c>
      <c r="AN52" s="39">
        <f t="shared" ca="1" si="77"/>
        <v>1126567335.0999999</v>
      </c>
      <c r="AO52" s="48">
        <f t="shared" ca="1" si="78"/>
        <v>5.6293798739911562E-2</v>
      </c>
      <c r="AP52" s="39">
        <f t="shared" ca="1" si="79"/>
        <v>1185560842.6292305</v>
      </c>
      <c r="AQ52" s="45">
        <f t="shared" ca="1" si="80"/>
        <v>34.523511358543736</v>
      </c>
      <c r="AR52" s="48">
        <f t="shared" ca="1" si="81"/>
        <v>7.781182165477514E-2</v>
      </c>
      <c r="AT52" s="39">
        <f t="shared" ca="1" si="59"/>
        <v>45642</v>
      </c>
      <c r="AU52" s="39">
        <f t="shared" ca="1" si="59"/>
        <v>583735.5</v>
      </c>
      <c r="AV52" s="39">
        <f t="shared" ca="1" si="59"/>
        <v>159364.5</v>
      </c>
      <c r="AX52" s="55">
        <f t="shared" ca="1" si="50"/>
        <v>48032.076107088738</v>
      </c>
      <c r="AY52" s="55">
        <f t="shared" ca="1" si="51"/>
        <v>614303.22865802329</v>
      </c>
      <c r="AZ52" s="55">
        <f t="shared" ca="1" si="52"/>
        <v>167709.73648762418</v>
      </c>
      <c r="BB52" s="39">
        <f t="shared" ca="1" si="60"/>
        <v>19691342</v>
      </c>
      <c r="BC52" s="39">
        <f t="shared" ca="1" si="60"/>
        <v>35751836</v>
      </c>
      <c r="BD52" s="39">
        <f t="shared" ca="1" si="60"/>
        <v>23487297</v>
      </c>
      <c r="BE52" s="39">
        <f t="shared" ca="1" si="60"/>
        <v>7607468</v>
      </c>
      <c r="BG52" s="56">
        <f t="shared" ca="1" si="82"/>
        <v>788742</v>
      </c>
      <c r="BH52" s="51">
        <f t="shared" ca="1" si="83"/>
        <v>0.73954148806539055</v>
      </c>
      <c r="BI52" s="56">
        <f t="shared" ca="1" si="84"/>
        <v>78930475</v>
      </c>
      <c r="BJ52" s="58">
        <f t="shared" ca="1" si="53"/>
        <v>9.9928703076980086E-3</v>
      </c>
      <c r="BK52" s="58">
        <f t="shared" ca="1" si="54"/>
        <v>10.516154137584198</v>
      </c>
      <c r="BL52" s="58"/>
      <c r="BM52" s="60">
        <f t="shared" ca="1" si="55"/>
        <v>0.3238971261784615</v>
      </c>
      <c r="BO52">
        <f t="shared" ca="1" si="56"/>
        <v>5.4478280989908895E-2</v>
      </c>
    </row>
    <row r="53" spans="1:67" ht="21" customHeight="1" x14ac:dyDescent="0.2">
      <c r="A53" s="22">
        <f t="shared" si="57"/>
        <v>2010</v>
      </c>
      <c r="B53" s="39">
        <f t="shared" ca="1" si="85"/>
        <v>15049</v>
      </c>
      <c r="C53" s="39">
        <f t="shared" ca="1" si="85"/>
        <v>15649</v>
      </c>
      <c r="D53" s="45">
        <f t="shared" ca="1" si="85"/>
        <v>0.96165999999999996</v>
      </c>
      <c r="E53" s="46"/>
      <c r="F53" s="39">
        <f t="shared" ca="1" si="47"/>
        <v>64164431</v>
      </c>
      <c r="G53" s="39">
        <f t="shared" ca="1" si="47"/>
        <v>1214277.5</v>
      </c>
      <c r="H53" s="46">
        <f t="shared" ca="1" si="47"/>
        <v>18.920000000000002</v>
      </c>
      <c r="I53" s="47">
        <f t="shared" ca="1" si="48"/>
        <v>2.3591434412626491E-4</v>
      </c>
      <c r="J53" s="39">
        <f t="shared" ca="1" si="61"/>
        <v>1262688.9961108917</v>
      </c>
      <c r="K53" s="45">
        <f t="shared" ca="1" si="62"/>
        <v>19.674313166815718</v>
      </c>
      <c r="L53" s="48">
        <f t="shared" ca="1" si="63"/>
        <v>8.0688251711077144E-2</v>
      </c>
      <c r="M53" s="46"/>
      <c r="N53" s="39">
        <f t="shared" ca="1" si="86"/>
        <v>1695016</v>
      </c>
      <c r="O53" s="39">
        <f t="shared" ca="1" si="86"/>
        <v>17083214</v>
      </c>
      <c r="P53" s="39">
        <f t="shared" ca="1" si="86"/>
        <v>36056480</v>
      </c>
      <c r="Q53" s="39">
        <f t="shared" ca="1" si="86"/>
        <v>12811519</v>
      </c>
      <c r="R53" s="46"/>
      <c r="S53" s="46">
        <f t="shared" ca="1" si="58"/>
        <v>3.92</v>
      </c>
      <c r="T53" s="46">
        <f t="shared" ca="1" si="58"/>
        <v>8.5399999999999991</v>
      </c>
      <c r="U53" s="46">
        <f t="shared" ca="1" si="58"/>
        <v>20.98</v>
      </c>
      <c r="V53" s="46">
        <f t="shared" ca="1" si="58"/>
        <v>28.92</v>
      </c>
      <c r="W53" s="46"/>
      <c r="X53" s="45">
        <f t="shared" ca="1" si="64"/>
        <v>4.076284757606639</v>
      </c>
      <c r="Y53" s="45">
        <f t="shared" ca="1" si="65"/>
        <v>8.8804775076430342</v>
      </c>
      <c r="Z53" s="45">
        <f t="shared" ca="1" si="66"/>
        <v>21.81644240168043</v>
      </c>
      <c r="AA53" s="45">
        <f t="shared" ca="1" si="67"/>
        <v>30.072998772955103</v>
      </c>
      <c r="AB53" s="46"/>
      <c r="AC53" s="48">
        <f t="shared" ca="1" si="68"/>
        <v>0.13554633471645919</v>
      </c>
      <c r="AD53" s="48">
        <f t="shared" ca="1" si="69"/>
        <v>0.29529737206085749</v>
      </c>
      <c r="AE53" s="48">
        <f t="shared" ca="1" si="70"/>
        <v>0.72544951590594742</v>
      </c>
      <c r="AF53" s="48">
        <f t="shared" ca="1" si="71"/>
        <v>1</v>
      </c>
      <c r="AG53" s="46"/>
      <c r="AH53" s="49">
        <f t="shared" ca="1" si="72"/>
        <v>184120.46514976036</v>
      </c>
      <c r="AI53" s="39">
        <f t="shared" ca="1" si="73"/>
        <v>4204883.9052401939</v>
      </c>
      <c r="AJ53" s="39">
        <f t="shared" ca="1" si="74"/>
        <v>18208525.602032147</v>
      </c>
      <c r="AK53" s="39">
        <f t="shared" ca="1" si="75"/>
        <v>12811519</v>
      </c>
      <c r="AL53" s="46"/>
      <c r="AM53" s="39">
        <f t="shared" ca="1" si="76"/>
        <v>35409048.972422101</v>
      </c>
      <c r="AN53" s="39">
        <f t="shared" ca="1" si="77"/>
        <v>1279509190.1599998</v>
      </c>
      <c r="AO53" s="48">
        <f t="shared" ca="1" si="78"/>
        <v>5.372057882979777E-2</v>
      </c>
      <c r="AP53" s="39">
        <f t="shared" ca="1" si="79"/>
        <v>1330521379.8639853</v>
      </c>
      <c r="AQ53" s="45">
        <f t="shared" ca="1" si="80"/>
        <v>37.575744575920282</v>
      </c>
      <c r="AR53" s="48">
        <f t="shared" ca="1" si="81"/>
        <v>8.5022871297760635E-2</v>
      </c>
      <c r="AT53" s="39">
        <f t="shared" ca="1" si="59"/>
        <v>50244.6</v>
      </c>
      <c r="AU53" s="39">
        <f t="shared" ca="1" si="59"/>
        <v>717097.3</v>
      </c>
      <c r="AV53" s="39">
        <f t="shared" ca="1" si="59"/>
        <v>161302.79999999999</v>
      </c>
      <c r="AX53" s="55">
        <f t="shared" ca="1" si="50"/>
        <v>52247.779880623093</v>
      </c>
      <c r="AY53" s="55">
        <f t="shared" ca="1" si="51"/>
        <v>745686.93717114162</v>
      </c>
      <c r="AZ53" s="55">
        <f t="shared" ca="1" si="52"/>
        <v>167733.71045899799</v>
      </c>
      <c r="BB53" s="39">
        <f t="shared" ca="1" si="60"/>
        <v>20828382</v>
      </c>
      <c r="BC53" s="39">
        <f t="shared" ca="1" si="60"/>
        <v>36426764</v>
      </c>
      <c r="BD53" s="39">
        <f t="shared" ca="1" si="60"/>
        <v>24633507</v>
      </c>
      <c r="BE53" s="39">
        <f t="shared" ca="1" si="60"/>
        <v>8265583</v>
      </c>
      <c r="BG53" s="56">
        <f t="shared" ca="1" si="82"/>
        <v>928644.7</v>
      </c>
      <c r="BH53" s="51">
        <f t="shared" ca="1" si="83"/>
        <v>0.76477139698297958</v>
      </c>
      <c r="BI53" s="56">
        <f t="shared" ca="1" si="84"/>
        <v>81888653</v>
      </c>
      <c r="BJ53" s="58">
        <f t="shared" ca="1" si="53"/>
        <v>1.1340334295155642E-2</v>
      </c>
      <c r="BK53" s="58">
        <f t="shared" ca="1" si="54"/>
        <v>11.792457100384379</v>
      </c>
      <c r="BL53" s="58"/>
      <c r="BM53" s="60">
        <f t="shared" ca="1" si="55"/>
        <v>0.33554227581156026</v>
      </c>
      <c r="BO53">
        <f t="shared" ca="1" si="56"/>
        <v>6.1708066981194763E-2</v>
      </c>
    </row>
    <row r="54" spans="1:67" ht="21" customHeight="1" x14ac:dyDescent="0.2">
      <c r="A54" s="22">
        <f t="shared" si="57"/>
        <v>2011</v>
      </c>
      <c r="B54" s="39">
        <f t="shared" ca="1" si="85"/>
        <v>15599.7</v>
      </c>
      <c r="C54" s="39">
        <f t="shared" ca="1" si="85"/>
        <v>15891.5</v>
      </c>
      <c r="D54" s="45">
        <f t="shared" ca="1" si="85"/>
        <v>0.98163999999999996</v>
      </c>
      <c r="E54" s="46"/>
      <c r="F54" s="39">
        <f t="shared" ca="1" si="47"/>
        <v>63672457</v>
      </c>
      <c r="G54" s="39">
        <f t="shared" ca="1" si="47"/>
        <v>1392467.9</v>
      </c>
      <c r="H54" s="46">
        <f t="shared" ca="1" si="47"/>
        <v>21.87</v>
      </c>
      <c r="I54" s="47">
        <f t="shared" ca="1" si="48"/>
        <v>3.4998717026252554E-5</v>
      </c>
      <c r="J54" s="39">
        <f t="shared" ca="1" si="61"/>
        <v>1418511.7762112382</v>
      </c>
      <c r="K54" s="45">
        <f t="shared" ca="1" si="62"/>
        <v>22.279043233772057</v>
      </c>
      <c r="L54" s="48">
        <f t="shared" ca="1" si="63"/>
        <v>8.9262479406655243E-2</v>
      </c>
      <c r="M54" s="46"/>
      <c r="N54" s="39">
        <f t="shared" ca="1" si="86"/>
        <v>1628442</v>
      </c>
      <c r="O54" s="39">
        <f t="shared" ca="1" si="86"/>
        <v>17281359</v>
      </c>
      <c r="P54" s="39">
        <f t="shared" ca="1" si="86"/>
        <v>35521192</v>
      </c>
      <c r="Q54" s="39">
        <f t="shared" ca="1" si="86"/>
        <v>12794475</v>
      </c>
      <c r="R54" s="46"/>
      <c r="S54" s="46">
        <f t="shared" ca="1" si="58"/>
        <v>4.53</v>
      </c>
      <c r="T54" s="46">
        <f t="shared" ca="1" si="58"/>
        <v>8.2100000000000009</v>
      </c>
      <c r="U54" s="46">
        <f t="shared" ca="1" si="58"/>
        <v>26.67</v>
      </c>
      <c r="V54" s="46">
        <f t="shared" ca="1" si="58"/>
        <v>29.12</v>
      </c>
      <c r="W54" s="46"/>
      <c r="X54" s="45">
        <f t="shared" ca="1" si="64"/>
        <v>4.614726376268286</v>
      </c>
      <c r="Y54" s="45">
        <f t="shared" ca="1" si="65"/>
        <v>8.3635548673648188</v>
      </c>
      <c r="Z54" s="45">
        <f t="shared" ca="1" si="66"/>
        <v>27.168819526506667</v>
      </c>
      <c r="AA54" s="45">
        <f t="shared" ca="1" si="67"/>
        <v>29.664642842589952</v>
      </c>
      <c r="AB54" s="46"/>
      <c r="AC54" s="48">
        <f t="shared" ca="1" si="68"/>
        <v>0.15556318681318682</v>
      </c>
      <c r="AD54" s="48">
        <f t="shared" ca="1" si="69"/>
        <v>0.28193681318681318</v>
      </c>
      <c r="AE54" s="48">
        <f t="shared" ca="1" si="70"/>
        <v>0.91586538461538469</v>
      </c>
      <c r="AF54" s="48">
        <f t="shared" ca="1" si="71"/>
        <v>1</v>
      </c>
      <c r="AG54" s="46"/>
      <c r="AH54" s="49">
        <f t="shared" ca="1" si="72"/>
        <v>176888.88984493719</v>
      </c>
      <c r="AI54" s="39">
        <f t="shared" ca="1" si="73"/>
        <v>4253655.5662053861</v>
      </c>
      <c r="AJ54" s="39">
        <f t="shared" ca="1" si="74"/>
        <v>17938205.114495356</v>
      </c>
      <c r="AK54" s="39">
        <f t="shared" ca="1" si="75"/>
        <v>12794475</v>
      </c>
      <c r="AL54" s="46"/>
      <c r="AM54" s="39">
        <f t="shared" ca="1" si="76"/>
        <v>35163224.570545681</v>
      </c>
      <c r="AN54" s="39">
        <f t="shared" ca="1" si="77"/>
        <v>1469182102.2900002</v>
      </c>
      <c r="AO54" s="48">
        <f t="shared" ca="1" si="78"/>
        <v>5.5092259067516317E-2</v>
      </c>
      <c r="AP54" s="39">
        <f t="shared" ca="1" si="79"/>
        <v>1496660794.4765904</v>
      </c>
      <c r="AQ54" s="45">
        <f t="shared" ca="1" si="80"/>
        <v>42.563240793629085</v>
      </c>
      <c r="AR54" s="48">
        <f t="shared" ca="1" si="81"/>
        <v>9.4180151047135535E-2</v>
      </c>
      <c r="AT54" s="39">
        <f t="shared" ca="1" si="59"/>
        <v>50233.4</v>
      </c>
      <c r="AU54" s="39">
        <f t="shared" ca="1" si="59"/>
        <v>895465.9</v>
      </c>
      <c r="AV54" s="39">
        <f t="shared" ca="1" si="59"/>
        <v>155943.5</v>
      </c>
      <c r="AX54" s="55">
        <f t="shared" ca="1" si="50"/>
        <v>51172.935088219718</v>
      </c>
      <c r="AY54" s="55">
        <f t="shared" ca="1" si="51"/>
        <v>912214.15182755399</v>
      </c>
      <c r="AZ54" s="55">
        <f t="shared" ca="1" si="52"/>
        <v>158860.17277209568</v>
      </c>
      <c r="BB54" s="39">
        <f t="shared" ca="1" si="60"/>
        <v>19663856</v>
      </c>
      <c r="BC54" s="39">
        <f t="shared" ca="1" si="60"/>
        <v>35816167</v>
      </c>
      <c r="BD54" s="39">
        <f t="shared" ca="1" si="60"/>
        <v>25014983</v>
      </c>
      <c r="BE54" s="39">
        <f t="shared" ca="1" si="60"/>
        <v>9209646</v>
      </c>
      <c r="BG54" s="56">
        <f t="shared" ca="1" si="82"/>
        <v>1101642.8</v>
      </c>
      <c r="BH54" s="51">
        <f t="shared" ca="1" si="83"/>
        <v>0.7911441261949379</v>
      </c>
      <c r="BI54" s="56">
        <f t="shared" ca="1" si="84"/>
        <v>80495006</v>
      </c>
      <c r="BJ54" s="58">
        <f t="shared" ca="1" si="53"/>
        <v>1.3685852759610951E-2</v>
      </c>
      <c r="BK54" s="58">
        <f t="shared" ca="1" si="54"/>
        <v>13.941824660375444</v>
      </c>
      <c r="BL54" s="58"/>
      <c r="BM54" s="60">
        <f t="shared" ca="1" si="55"/>
        <v>0.36816519123758751</v>
      </c>
      <c r="BO54">
        <f t="shared" ca="1" si="56"/>
        <v>7.0619486272171891E-2</v>
      </c>
    </row>
    <row r="55" spans="1:67" ht="21" customHeight="1" x14ac:dyDescent="0.2">
      <c r="A55" s="22">
        <f t="shared" si="57"/>
        <v>2012</v>
      </c>
      <c r="B55" s="39">
        <f t="shared" ca="1" si="85"/>
        <v>16254</v>
      </c>
      <c r="C55" s="39">
        <f t="shared" ca="1" si="85"/>
        <v>16254</v>
      </c>
      <c r="D55" s="45">
        <f t="shared" ca="1" si="85"/>
        <v>1</v>
      </c>
      <c r="E55" s="46"/>
      <c r="F55" s="39">
        <f t="shared" ca="1" si="47"/>
        <v>62054854</v>
      </c>
      <c r="G55" s="39">
        <f t="shared" ca="1" si="47"/>
        <v>1355174.7</v>
      </c>
      <c r="H55" s="46">
        <f t="shared" ca="1" si="47"/>
        <v>21.84</v>
      </c>
      <c r="I55" s="47">
        <f t="shared" ca="1" si="48"/>
        <v>7.6234717191764434E-5</v>
      </c>
      <c r="J55" s="39">
        <f t="shared" ca="1" si="61"/>
        <v>1355174.7</v>
      </c>
      <c r="K55" s="45">
        <f t="shared" ca="1" si="62"/>
        <v>21.84</v>
      </c>
      <c r="L55" s="48">
        <f t="shared" ca="1" si="63"/>
        <v>8.3374843115540789E-2</v>
      </c>
      <c r="M55" s="46"/>
      <c r="N55" s="39">
        <f t="shared" ca="1" si="86"/>
        <v>1559666</v>
      </c>
      <c r="O55" s="39">
        <f t="shared" ca="1" si="86"/>
        <v>16825543</v>
      </c>
      <c r="P55" s="39">
        <f t="shared" ca="1" si="86"/>
        <v>34797651</v>
      </c>
      <c r="Q55" s="39">
        <f t="shared" ca="1" si="86"/>
        <v>12606145</v>
      </c>
      <c r="R55" s="46"/>
      <c r="S55" s="46">
        <f t="shared" ca="1" si="58"/>
        <v>4.59</v>
      </c>
      <c r="T55" s="46">
        <f t="shared" ca="1" si="58"/>
        <v>7.28</v>
      </c>
      <c r="U55" s="46">
        <f t="shared" ca="1" si="58"/>
        <v>26.92</v>
      </c>
      <c r="V55" s="46">
        <f t="shared" ca="1" si="58"/>
        <v>28.98</v>
      </c>
      <c r="W55" s="46"/>
      <c r="X55" s="45">
        <f t="shared" ca="1" si="64"/>
        <v>4.59</v>
      </c>
      <c r="Y55" s="45">
        <f t="shared" ca="1" si="65"/>
        <v>7.28</v>
      </c>
      <c r="Z55" s="45">
        <f t="shared" ca="1" si="66"/>
        <v>26.92</v>
      </c>
      <c r="AA55" s="45">
        <f t="shared" ca="1" si="67"/>
        <v>28.98</v>
      </c>
      <c r="AB55" s="46"/>
      <c r="AC55" s="48">
        <f t="shared" ca="1" si="68"/>
        <v>0.15838509316770186</v>
      </c>
      <c r="AD55" s="48">
        <f t="shared" ca="1" si="69"/>
        <v>0.25120772946859904</v>
      </c>
      <c r="AE55" s="48">
        <f t="shared" ca="1" si="70"/>
        <v>0.92891649413388544</v>
      </c>
      <c r="AF55" s="48">
        <f t="shared" ca="1" si="71"/>
        <v>1</v>
      </c>
      <c r="AG55" s="46"/>
      <c r="AH55" s="49">
        <f t="shared" ca="1" si="72"/>
        <v>169418.12313173807</v>
      </c>
      <c r="AI55" s="39">
        <f t="shared" ca="1" si="73"/>
        <v>4141460.4393310775</v>
      </c>
      <c r="AJ55" s="39">
        <f t="shared" ca="1" si="74"/>
        <v>17572816.845240567</v>
      </c>
      <c r="AK55" s="39">
        <f t="shared" ca="1" si="75"/>
        <v>12606145</v>
      </c>
      <c r="AL55" s="46"/>
      <c r="AM55" s="39">
        <f t="shared" ca="1" si="76"/>
        <v>34489840.407703385</v>
      </c>
      <c r="AN55" s="39">
        <f t="shared" ca="1" si="77"/>
        <v>1431727667</v>
      </c>
      <c r="AO55" s="48">
        <f t="shared" ca="1" si="78"/>
        <v>5.6489371444139229E-2</v>
      </c>
      <c r="AP55" s="39">
        <f t="shared" ca="1" si="79"/>
        <v>1431727667</v>
      </c>
      <c r="AQ55" s="45">
        <f t="shared" ca="1" si="80"/>
        <v>41.511577034732241</v>
      </c>
      <c r="AR55" s="48">
        <f t="shared" ca="1" si="81"/>
        <v>8.8084635597391422E-2</v>
      </c>
      <c r="AT55" s="39">
        <f t="shared" ca="1" si="59"/>
        <v>44964.4</v>
      </c>
      <c r="AU55" s="39">
        <f t="shared" ca="1" si="59"/>
        <v>883490.1</v>
      </c>
      <c r="AV55" s="39">
        <f t="shared" ca="1" si="59"/>
        <v>132829.6</v>
      </c>
      <c r="AX55" s="55">
        <f t="shared" ca="1" si="50"/>
        <v>44964.4</v>
      </c>
      <c r="AY55" s="55">
        <f t="shared" ca="1" si="51"/>
        <v>883490.1</v>
      </c>
      <c r="AZ55" s="55">
        <f t="shared" ca="1" si="52"/>
        <v>132829.6</v>
      </c>
      <c r="BB55" s="39">
        <f t="shared" ca="1" si="60"/>
        <v>17380923</v>
      </c>
      <c r="BC55" s="39">
        <f t="shared" ca="1" si="60"/>
        <v>35011792</v>
      </c>
      <c r="BD55" s="39">
        <f t="shared" ca="1" si="60"/>
        <v>26138351</v>
      </c>
      <c r="BE55" s="39">
        <f t="shared" ca="1" si="60"/>
        <v>8852895</v>
      </c>
      <c r="BG55" s="56">
        <f t="shared" ca="1" si="82"/>
        <v>1061284.1000000001</v>
      </c>
      <c r="BH55" s="51">
        <f t="shared" ca="1" si="83"/>
        <v>0.78313452870688938</v>
      </c>
      <c r="BI55" s="56">
        <f t="shared" ca="1" si="84"/>
        <v>78531066</v>
      </c>
      <c r="BJ55" s="58">
        <f t="shared" ca="1" si="53"/>
        <v>1.3514194497245205E-2</v>
      </c>
      <c r="BK55" s="58">
        <f t="shared" ca="1" si="54"/>
        <v>13.514194497245205</v>
      </c>
      <c r="BL55" s="58"/>
      <c r="BM55" s="60">
        <f t="shared" ca="1" si="55"/>
        <v>0.33869370718910308</v>
      </c>
      <c r="BO55">
        <f t="shared" ca="1" si="56"/>
        <v>6.5293718469299877E-2</v>
      </c>
    </row>
    <row r="56" spans="1:67" ht="21" customHeight="1" x14ac:dyDescent="0.2">
      <c r="A56" s="22">
        <f t="shared" si="57"/>
        <v>2013</v>
      </c>
      <c r="B56" s="39">
        <f t="shared" ca="1" si="85"/>
        <v>16843.2</v>
      </c>
      <c r="C56" s="39">
        <f t="shared" ca="1" si="85"/>
        <v>16553.3</v>
      </c>
      <c r="D56" s="45">
        <f t="shared" ca="1" si="85"/>
        <v>1.0175099999999999</v>
      </c>
      <c r="E56" s="46"/>
      <c r="F56" s="39">
        <f t="shared" ca="1" si="47"/>
        <v>64254435</v>
      </c>
      <c r="G56" s="39">
        <f t="shared" ca="1" si="47"/>
        <v>1376402.2</v>
      </c>
      <c r="H56" s="46">
        <f t="shared" ca="1" si="47"/>
        <v>21.42</v>
      </c>
      <c r="I56" s="47">
        <f t="shared" ca="1" si="48"/>
        <v>5.2457268667548247E-5</v>
      </c>
      <c r="J56" s="39">
        <f t="shared" ca="1" si="61"/>
        <v>1352716.1403819127</v>
      </c>
      <c r="K56" s="45">
        <f t="shared" ca="1" si="62"/>
        <v>21.051390158327685</v>
      </c>
      <c r="L56" s="48">
        <f t="shared" ca="1" si="63"/>
        <v>8.1718568918020318E-2</v>
      </c>
      <c r="M56" s="46"/>
      <c r="N56" s="39">
        <f t="shared" ca="1" si="86"/>
        <v>1588340</v>
      </c>
      <c r="O56" s="39">
        <f t="shared" ca="1" si="86"/>
        <v>18447301</v>
      </c>
      <c r="P56" s="39">
        <f t="shared" ca="1" si="86"/>
        <v>35447977</v>
      </c>
      <c r="Q56" s="39">
        <f t="shared" ca="1" si="86"/>
        <v>12709249</v>
      </c>
      <c r="R56" s="46"/>
      <c r="S56" s="46">
        <f t="shared" ca="1" si="58"/>
        <v>4.0999999999999996</v>
      </c>
      <c r="T56" s="46">
        <f t="shared" ca="1" si="58"/>
        <v>7.57</v>
      </c>
      <c r="U56" s="46">
        <f t="shared" ca="1" si="58"/>
        <v>26.28</v>
      </c>
      <c r="V56" s="46">
        <f t="shared" ca="1" si="58"/>
        <v>29.64</v>
      </c>
      <c r="W56" s="46"/>
      <c r="X56" s="45">
        <f t="shared" ca="1" si="64"/>
        <v>4.0294444280645889</v>
      </c>
      <c r="Y56" s="45">
        <f t="shared" ca="1" si="65"/>
        <v>7.4397303220607176</v>
      </c>
      <c r="Z56" s="45">
        <f t="shared" ca="1" si="66"/>
        <v>25.827755992570101</v>
      </c>
      <c r="AA56" s="45">
        <f t="shared" ca="1" si="67"/>
        <v>29.129934840935228</v>
      </c>
      <c r="AB56" s="46"/>
      <c r="AC56" s="48">
        <f t="shared" ca="1" si="68"/>
        <v>0.13832658569500672</v>
      </c>
      <c r="AD56" s="48">
        <f t="shared" ca="1" si="69"/>
        <v>0.25539811066126855</v>
      </c>
      <c r="AE56" s="48">
        <f t="shared" ca="1" si="70"/>
        <v>0.88663967611336036</v>
      </c>
      <c r="AF56" s="48">
        <f t="shared" ca="1" si="71"/>
        <v>1</v>
      </c>
      <c r="AG56" s="46"/>
      <c r="AH56" s="49">
        <f t="shared" ca="1" si="72"/>
        <v>172532.82542227942</v>
      </c>
      <c r="AI56" s="39">
        <f t="shared" ca="1" si="73"/>
        <v>4540642.0050712554</v>
      </c>
      <c r="AJ56" s="39">
        <f t="shared" ca="1" si="74"/>
        <v>17901231.532993425</v>
      </c>
      <c r="AK56" s="39">
        <f t="shared" ca="1" si="75"/>
        <v>12709249</v>
      </c>
      <c r="AL56" s="46"/>
      <c r="AM56" s="39">
        <f t="shared" ca="1" si="76"/>
        <v>35323655.363486961</v>
      </c>
      <c r="AN56" s="39">
        <f t="shared" ca="1" si="77"/>
        <v>1454433238.4900002</v>
      </c>
      <c r="AO56" s="48">
        <f t="shared" ca="1" si="78"/>
        <v>5.669203267039255E-2</v>
      </c>
      <c r="AP56" s="39">
        <f t="shared" ca="1" si="79"/>
        <v>1429404368.0062115</v>
      </c>
      <c r="AQ56" s="45">
        <f t="shared" ca="1" si="80"/>
        <v>40.465924415165297</v>
      </c>
      <c r="AR56" s="48">
        <f t="shared" ca="1" si="81"/>
        <v>8.6351360696898471E-2</v>
      </c>
      <c r="AT56" s="39">
        <f t="shared" ca="1" si="59"/>
        <v>45260.3</v>
      </c>
      <c r="AU56" s="39">
        <f t="shared" ca="1" si="59"/>
        <v>879499.2</v>
      </c>
      <c r="AV56" s="39">
        <f t="shared" ca="1" si="59"/>
        <v>151671.6</v>
      </c>
      <c r="AX56" s="55">
        <f t="shared" ca="1" si="50"/>
        <v>44481.43015793457</v>
      </c>
      <c r="AY56" s="55">
        <f t="shared" ca="1" si="51"/>
        <v>864364.18315299111</v>
      </c>
      <c r="AZ56" s="55">
        <f t="shared" ca="1" si="52"/>
        <v>149061.53256479054</v>
      </c>
      <c r="BB56" s="39">
        <f t="shared" ca="1" si="60"/>
        <v>18038771</v>
      </c>
      <c r="BC56" s="39">
        <f t="shared" ca="1" si="60"/>
        <v>35703034</v>
      </c>
      <c r="BD56" s="39">
        <f t="shared" ca="1" si="60"/>
        <v>26844986</v>
      </c>
      <c r="BE56" s="39">
        <f t="shared" ca="1" si="60"/>
        <v>9464268</v>
      </c>
      <c r="BG56" s="56">
        <f t="shared" ca="1" si="82"/>
        <v>1076431.1000000001</v>
      </c>
      <c r="BH56" s="51">
        <f t="shared" ca="1" si="83"/>
        <v>0.78206144977100456</v>
      </c>
      <c r="BI56" s="56">
        <f t="shared" ca="1" si="84"/>
        <v>80586791</v>
      </c>
      <c r="BJ56" s="58">
        <f t="shared" ca="1" si="53"/>
        <v>1.3357413623778618E-2</v>
      </c>
      <c r="BK56" s="58">
        <f t="shared" ca="1" si="54"/>
        <v>13.127550219436289</v>
      </c>
      <c r="BL56" s="58"/>
      <c r="BM56" s="60">
        <f t="shared" ca="1" si="55"/>
        <v>0.35255253997897412</v>
      </c>
      <c r="BO56">
        <f t="shared" ca="1" si="56"/>
        <v>6.3908942481238726E-2</v>
      </c>
    </row>
    <row r="57" spans="1:67" ht="21" customHeight="1" x14ac:dyDescent="0.2">
      <c r="A57" s="22">
        <f t="shared" si="57"/>
        <v>2014</v>
      </c>
      <c r="B57" s="39">
        <f t="shared" ca="1" si="85"/>
        <v>17550.7</v>
      </c>
      <c r="C57" s="39">
        <f t="shared" ca="1" si="85"/>
        <v>16932.099999999999</v>
      </c>
      <c r="D57" s="45">
        <f t="shared" ca="1" si="85"/>
        <v>1.03654</v>
      </c>
      <c r="E57" s="46"/>
      <c r="F57" s="39">
        <f t="shared" ca="1" si="47"/>
        <v>65412636</v>
      </c>
      <c r="G57" s="39">
        <f t="shared" ca="1" si="47"/>
        <v>1395430.3999999999</v>
      </c>
      <c r="H57" s="46">
        <f t="shared" ca="1" si="47"/>
        <v>21.33</v>
      </c>
      <c r="I57" s="47">
        <f t="shared" ca="1" si="48"/>
        <v>1.2818562645621834E-4</v>
      </c>
      <c r="J57" s="39">
        <f t="shared" ca="1" si="61"/>
        <v>1346238.8330406931</v>
      </c>
      <c r="K57" s="45">
        <f t="shared" ca="1" si="62"/>
        <v>20.578077064078567</v>
      </c>
      <c r="L57" s="48">
        <f t="shared" ca="1" si="63"/>
        <v>7.9508532423208184E-2</v>
      </c>
      <c r="M57" s="46"/>
      <c r="N57" s="39">
        <f t="shared" ca="1" si="86"/>
        <v>1569345</v>
      </c>
      <c r="O57" s="39">
        <f t="shared" ca="1" si="86"/>
        <v>19054137</v>
      </c>
      <c r="P57" s="39">
        <f t="shared" ca="1" si="86"/>
        <v>35683657</v>
      </c>
      <c r="Q57" s="39">
        <f t="shared" ca="1" si="86"/>
        <v>12845157</v>
      </c>
      <c r="R57" s="46"/>
      <c r="S57" s="46">
        <f t="shared" ca="1" si="58"/>
        <v>3.75</v>
      </c>
      <c r="T57" s="46">
        <f t="shared" ca="1" si="58"/>
        <v>8.33</v>
      </c>
      <c r="U57" s="46">
        <f t="shared" ca="1" si="58"/>
        <v>25.53</v>
      </c>
      <c r="V57" s="46">
        <f t="shared" ca="1" si="58"/>
        <v>30.74</v>
      </c>
      <c r="W57" s="46"/>
      <c r="X57" s="45">
        <f t="shared" ca="1" si="64"/>
        <v>3.6178053910124066</v>
      </c>
      <c r="Y57" s="45">
        <f t="shared" ca="1" si="65"/>
        <v>8.0363517085688922</v>
      </c>
      <c r="Z57" s="45">
        <f t="shared" ca="1" si="66"/>
        <v>24.630019102012465</v>
      </c>
      <c r="AA57" s="45">
        <f t="shared" ca="1" si="67"/>
        <v>29.656356725259034</v>
      </c>
      <c r="AB57" s="46"/>
      <c r="AC57" s="48">
        <f t="shared" ca="1" si="68"/>
        <v>0.12199089134677944</v>
      </c>
      <c r="AD57" s="48">
        <f t="shared" ca="1" si="69"/>
        <v>0.27098243331164606</v>
      </c>
      <c r="AE57" s="48">
        <f t="shared" ca="1" si="70"/>
        <v>0.83051398828887446</v>
      </c>
      <c r="AF57" s="48">
        <f t="shared" ca="1" si="71"/>
        <v>1</v>
      </c>
      <c r="AG57" s="46"/>
      <c r="AH57" s="49">
        <f t="shared" ca="1" si="72"/>
        <v>170469.5008073379</v>
      </c>
      <c r="AI57" s="39">
        <f t="shared" ca="1" si="73"/>
        <v>4690009.3857948324</v>
      </c>
      <c r="AJ57" s="39">
        <f t="shared" ca="1" si="74"/>
        <v>18020249.953923225</v>
      </c>
      <c r="AK57" s="39">
        <f t="shared" ca="1" si="75"/>
        <v>12845157</v>
      </c>
      <c r="AL57" s="46"/>
      <c r="AM57" s="39">
        <f t="shared" ca="1" si="76"/>
        <v>35725885.840525396</v>
      </c>
      <c r="AN57" s="39">
        <f t="shared" ca="1" si="77"/>
        <v>1470469894.3500001</v>
      </c>
      <c r="AO57" s="48">
        <f t="shared" ca="1" si="78"/>
        <v>5.3775160946759E-2</v>
      </c>
      <c r="AP57" s="39">
        <f t="shared" ca="1" si="79"/>
        <v>1418633042.9602332</v>
      </c>
      <c r="AQ57" s="45">
        <f t="shared" ca="1" si="80"/>
        <v>39.708827635311344</v>
      </c>
      <c r="AR57" s="48">
        <f t="shared" ca="1" si="81"/>
        <v>8.3784116550906812E-2</v>
      </c>
      <c r="AT57" s="39">
        <f t="shared" ca="1" si="59"/>
        <v>44872.6</v>
      </c>
      <c r="AU57" s="39">
        <f t="shared" ca="1" si="59"/>
        <v>864034.8</v>
      </c>
      <c r="AV57" s="39">
        <f t="shared" ca="1" si="59"/>
        <v>174398</v>
      </c>
      <c r="AX57" s="55">
        <f t="shared" ca="1" si="50"/>
        <v>43290.755783664885</v>
      </c>
      <c r="AY57" s="55">
        <f t="shared" ca="1" si="51"/>
        <v>833575.93532328715</v>
      </c>
      <c r="AZ57" s="55">
        <f t="shared" ca="1" si="52"/>
        <v>168250.13988847513</v>
      </c>
      <c r="BB57" s="39">
        <f t="shared" ca="1" si="60"/>
        <v>17996577</v>
      </c>
      <c r="BC57" s="39">
        <f t="shared" ca="1" si="60"/>
        <v>35978984</v>
      </c>
      <c r="BD57" s="39">
        <f t="shared" ca="1" si="60"/>
        <v>27438655</v>
      </c>
      <c r="BE57" s="39">
        <f t="shared" ca="1" si="60"/>
        <v>9761070</v>
      </c>
      <c r="BG57" s="56">
        <f t="shared" ca="1" si="82"/>
        <v>1083305.3999999999</v>
      </c>
      <c r="BH57" s="51">
        <f t="shared" ca="1" si="83"/>
        <v>0.77632349130418832</v>
      </c>
      <c r="BI57" s="56">
        <f t="shared" ca="1" si="84"/>
        <v>81414216</v>
      </c>
      <c r="BJ57" s="58">
        <f t="shared" ca="1" si="53"/>
        <v>1.3306096321065107E-2</v>
      </c>
      <c r="BK57" s="58">
        <f t="shared" ca="1" si="54"/>
        <v>12.837031200981251</v>
      </c>
      <c r="BL57" s="58"/>
      <c r="BM57" s="60">
        <f t="shared" ca="1" si="55"/>
        <v>0.35574156240530014</v>
      </c>
      <c r="BO57">
        <f t="shared" ca="1" si="56"/>
        <v>6.1724341479257226E-2</v>
      </c>
    </row>
    <row r="58" spans="1:67" ht="21" customHeight="1" x14ac:dyDescent="0.2">
      <c r="A58" s="22">
        <f t="shared" si="57"/>
        <v>2015</v>
      </c>
      <c r="B58" s="39">
        <f t="shared" ca="1" si="85"/>
        <v>18206</v>
      </c>
      <c r="C58" s="39">
        <f t="shared" ca="1" si="85"/>
        <v>17390.3</v>
      </c>
      <c r="D58" s="45">
        <f t="shared" ca="1" si="85"/>
        <v>1.04691</v>
      </c>
      <c r="E58" s="46"/>
      <c r="F58" s="39">
        <f t="shared" ca="1" si="47"/>
        <v>65193373</v>
      </c>
      <c r="G58" s="39">
        <f t="shared" ca="1" si="47"/>
        <v>1128447.3999999999</v>
      </c>
      <c r="H58" s="46">
        <f t="shared" ca="1" si="47"/>
        <v>17.309999999999999</v>
      </c>
      <c r="I58" s="47">
        <f t="shared" ca="1" si="48"/>
        <v>4.4208201463427464E-5</v>
      </c>
      <c r="J58" s="39">
        <f t="shared" ca="1" si="61"/>
        <v>1077883.8677632269</v>
      </c>
      <c r="K58" s="45">
        <f t="shared" ca="1" si="62"/>
        <v>16.534372582170384</v>
      </c>
      <c r="L58" s="48">
        <f t="shared" ca="1" si="63"/>
        <v>6.1982170712951777E-2</v>
      </c>
      <c r="M58" s="46"/>
      <c r="N58" s="39">
        <f t="shared" ca="1" si="86"/>
        <v>1410749</v>
      </c>
      <c r="O58" s="39">
        <f t="shared" ca="1" si="86"/>
        <v>18295710</v>
      </c>
      <c r="P58" s="39">
        <f t="shared" ca="1" si="86"/>
        <v>36470161</v>
      </c>
      <c r="Q58" s="39">
        <f t="shared" ca="1" si="86"/>
        <v>12825682</v>
      </c>
      <c r="R58" s="46"/>
      <c r="S58" s="46">
        <f t="shared" ca="1" si="58"/>
        <v>3.54</v>
      </c>
      <c r="T58" s="46">
        <f t="shared" ca="1" si="58"/>
        <v>7.14</v>
      </c>
      <c r="U58" s="46">
        <f t="shared" ca="1" si="58"/>
        <v>18.03</v>
      </c>
      <c r="V58" s="46">
        <f t="shared" ca="1" si="58"/>
        <v>30.66</v>
      </c>
      <c r="W58" s="46"/>
      <c r="X58" s="45">
        <f t="shared" ca="1" si="64"/>
        <v>3.3813794882081556</v>
      </c>
      <c r="Y58" s="45">
        <f t="shared" ca="1" si="65"/>
        <v>6.8200704931656011</v>
      </c>
      <c r="Z58" s="45">
        <f t="shared" ca="1" si="66"/>
        <v>17.222110783161877</v>
      </c>
      <c r="AA58" s="45">
        <f t="shared" ca="1" si="67"/>
        <v>29.286185058887582</v>
      </c>
      <c r="AB58" s="46"/>
      <c r="AC58" s="48">
        <f t="shared" ca="1" si="68"/>
        <v>0.11545988258317026</v>
      </c>
      <c r="AD58" s="48">
        <f t="shared" ca="1" si="69"/>
        <v>0.23287671232876711</v>
      </c>
      <c r="AE58" s="48">
        <f t="shared" ca="1" si="70"/>
        <v>0.5880626223091977</v>
      </c>
      <c r="AF58" s="48">
        <f t="shared" ca="1" si="71"/>
        <v>1</v>
      </c>
      <c r="AG58" s="46"/>
      <c r="AH58" s="49">
        <f t="shared" ca="1" si="72"/>
        <v>153242.07092414424</v>
      </c>
      <c r="AI58" s="39">
        <f t="shared" ca="1" si="73"/>
        <v>4503329.2045596382</v>
      </c>
      <c r="AJ58" s="39">
        <f t="shared" ca="1" si="74"/>
        <v>18417434.543769505</v>
      </c>
      <c r="AK58" s="39">
        <f t="shared" ca="1" si="75"/>
        <v>12825682</v>
      </c>
      <c r="AL58" s="46"/>
      <c r="AM58" s="39">
        <f t="shared" ca="1" si="76"/>
        <v>35899687.819253288</v>
      </c>
      <c r="AN58" s="39">
        <f t="shared" ca="1" si="77"/>
        <v>1186417833.8099999</v>
      </c>
      <c r="AO58" s="48">
        <f t="shared" ca="1" si="78"/>
        <v>5.1371852875021093E-2</v>
      </c>
      <c r="AP58" s="39">
        <f t="shared" ca="1" si="79"/>
        <v>1133256759.2343183</v>
      </c>
      <c r="AQ58" s="45">
        <f t="shared" ca="1" si="80"/>
        <v>31.567315151597047</v>
      </c>
      <c r="AR58" s="48">
        <f t="shared" ca="1" si="81"/>
        <v>6.5166309667691963E-2</v>
      </c>
      <c r="AT58" s="39">
        <f t="shared" ca="1" si="59"/>
        <v>36578.1</v>
      </c>
      <c r="AU58" s="39">
        <f t="shared" ca="1" si="59"/>
        <v>623511.69999999995</v>
      </c>
      <c r="AV58" s="39">
        <f t="shared" ca="1" si="59"/>
        <v>140294.20000000001</v>
      </c>
      <c r="AX58" s="55">
        <f t="shared" ca="1" si="50"/>
        <v>34939.10651345388</v>
      </c>
      <c r="AY58" s="55">
        <f t="shared" ca="1" si="51"/>
        <v>595573.3539654793</v>
      </c>
      <c r="AZ58" s="55">
        <f t="shared" ca="1" si="52"/>
        <v>134007.88988547248</v>
      </c>
      <c r="BB58" s="39">
        <f t="shared" ca="1" si="60"/>
        <v>15548985</v>
      </c>
      <c r="BC58" s="39">
        <f t="shared" ca="1" si="60"/>
        <v>36745991</v>
      </c>
      <c r="BD58" s="39">
        <f t="shared" ca="1" si="60"/>
        <v>28241055</v>
      </c>
      <c r="BE58" s="39">
        <f t="shared" ca="1" si="60"/>
        <v>9749471</v>
      </c>
      <c r="BG58" s="56">
        <f t="shared" ca="1" si="82"/>
        <v>800384</v>
      </c>
      <c r="BH58" s="51">
        <f t="shared" ca="1" si="83"/>
        <v>0.7092789615182773</v>
      </c>
      <c r="BI58" s="56">
        <f t="shared" ca="1" si="84"/>
        <v>80536031</v>
      </c>
      <c r="BJ58" s="58">
        <f t="shared" ca="1" si="53"/>
        <v>9.9382101409988786E-3</v>
      </c>
      <c r="BK58" s="58">
        <f t="shared" ca="1" si="54"/>
        <v>9.4928982825638109</v>
      </c>
      <c r="BL58" s="58"/>
      <c r="BM58" s="60">
        <f t="shared" ca="1" si="55"/>
        <v>0.34522332823614416</v>
      </c>
      <c r="BO58">
        <f t="shared" ca="1" si="56"/>
        <v>4.3962649675931012E-2</v>
      </c>
    </row>
    <row r="59" spans="1:67" ht="21" customHeight="1" x14ac:dyDescent="0.2">
      <c r="A59" s="22">
        <f t="shared" si="57"/>
        <v>2016</v>
      </c>
      <c r="B59" s="39">
        <f t="shared" ca="1" si="85"/>
        <v>18695.099999999999</v>
      </c>
      <c r="C59" s="39">
        <f t="shared" ca="1" si="85"/>
        <v>17680.3</v>
      </c>
      <c r="D59" s="45">
        <f t="shared" ca="1" si="85"/>
        <v>1.0573999999999999</v>
      </c>
      <c r="E59" s="46"/>
      <c r="F59" s="39">
        <f t="shared" ca="1" si="47"/>
        <v>65137464</v>
      </c>
      <c r="G59" s="39">
        <f t="shared" ca="1" si="47"/>
        <v>1038883.6</v>
      </c>
      <c r="H59" s="46">
        <f t="shared" ca="1" si="47"/>
        <v>15.95</v>
      </c>
      <c r="I59" s="47">
        <f t="shared" ca="1" si="48"/>
        <v>5.6744374441940783E-5</v>
      </c>
      <c r="J59" s="39">
        <f t="shared" ca="1" si="61"/>
        <v>982488.74598070746</v>
      </c>
      <c r="K59" s="45">
        <f t="shared" ca="1" si="62"/>
        <v>15.0841687157178</v>
      </c>
      <c r="L59" s="48">
        <f t="shared" ca="1" si="63"/>
        <v>5.5569833806719406E-2</v>
      </c>
      <c r="M59" s="46"/>
      <c r="N59" s="39">
        <f t="shared" ca="1" si="86"/>
        <v>1230490</v>
      </c>
      <c r="O59" s="39">
        <f t="shared" ca="1" si="86"/>
        <v>18127718</v>
      </c>
      <c r="P59" s="39">
        <f t="shared" ca="1" si="86"/>
        <v>36954437</v>
      </c>
      <c r="Q59" s="39">
        <f t="shared" ca="1" si="86"/>
        <v>12837519</v>
      </c>
      <c r="R59" s="46"/>
      <c r="S59" s="46">
        <f t="shared" ca="1" si="58"/>
        <v>3.18</v>
      </c>
      <c r="T59" s="46">
        <f t="shared" ca="1" si="58"/>
        <v>6.55</v>
      </c>
      <c r="U59" s="46">
        <f t="shared" ca="1" si="58"/>
        <v>15.77</v>
      </c>
      <c r="V59" s="46">
        <f t="shared" ca="1" si="58"/>
        <v>30.26</v>
      </c>
      <c r="W59" s="46"/>
      <c r="X59" s="45">
        <f t="shared" ca="1" si="64"/>
        <v>3.0073765840741444</v>
      </c>
      <c r="Y59" s="45">
        <f t="shared" ca="1" si="65"/>
        <v>6.1944391904671843</v>
      </c>
      <c r="Z59" s="45">
        <f t="shared" ca="1" si="66"/>
        <v>14.913939852468319</v>
      </c>
      <c r="AA59" s="45">
        <f t="shared" ca="1" si="67"/>
        <v>28.617363344051451</v>
      </c>
      <c r="AB59" s="46"/>
      <c r="AC59" s="48">
        <f t="shared" ca="1" si="68"/>
        <v>0.10508922670191671</v>
      </c>
      <c r="AD59" s="48">
        <f t="shared" ca="1" si="69"/>
        <v>0.21645736946463978</v>
      </c>
      <c r="AE59" s="48">
        <f t="shared" ca="1" si="70"/>
        <v>0.52115003304692653</v>
      </c>
      <c r="AF59" s="48">
        <f t="shared" ca="1" si="71"/>
        <v>1</v>
      </c>
      <c r="AG59" s="46"/>
      <c r="AH59" s="49">
        <f t="shared" ca="1" si="72"/>
        <v>133661.50594574248</v>
      </c>
      <c r="AI59" s="39">
        <f t="shared" ca="1" si="73"/>
        <v>4461979.441159782</v>
      </c>
      <c r="AJ59" s="39">
        <f t="shared" ca="1" si="74"/>
        <v>18661993.966776125</v>
      </c>
      <c r="AK59" s="39">
        <f t="shared" ca="1" si="75"/>
        <v>12837519</v>
      </c>
      <c r="AL59" s="46"/>
      <c r="AM59" s="39">
        <f t="shared" ca="1" si="76"/>
        <v>36095153.913881645</v>
      </c>
      <c r="AN59" s="39">
        <f t="shared" ca="1" si="77"/>
        <v>1093884307.53</v>
      </c>
      <c r="AO59" s="48">
        <f t="shared" ca="1" si="78"/>
        <v>5.2942127039063758E-2</v>
      </c>
      <c r="AP59" s="39">
        <f t="shared" ca="1" si="79"/>
        <v>1034503789.9848686</v>
      </c>
      <c r="AQ59" s="45">
        <f t="shared" ca="1" si="80"/>
        <v>28.660462079010951</v>
      </c>
      <c r="AR59" s="48">
        <f t="shared" ca="1" si="81"/>
        <v>5.8511819007654411E-2</v>
      </c>
      <c r="AT59" s="39">
        <f t="shared" ca="1" si="59"/>
        <v>31694.3</v>
      </c>
      <c r="AU59" s="39">
        <f t="shared" ca="1" si="59"/>
        <v>549925.5</v>
      </c>
      <c r="AV59" s="39">
        <f t="shared" ca="1" si="59"/>
        <v>127617.8</v>
      </c>
      <c r="AX59" s="55">
        <f t="shared" ca="1" si="50"/>
        <v>29973.803669377721</v>
      </c>
      <c r="AY59" s="55">
        <f t="shared" ca="1" si="51"/>
        <v>520073.292982788</v>
      </c>
      <c r="AZ59" s="55">
        <f t="shared" ca="1" si="52"/>
        <v>120690.18346888597</v>
      </c>
      <c r="BB59" s="39">
        <f t="shared" ca="1" si="60"/>
        <v>14227138</v>
      </c>
      <c r="BC59" s="39">
        <f t="shared" ca="1" si="60"/>
        <v>37198184</v>
      </c>
      <c r="BD59" s="39">
        <f t="shared" ca="1" si="60"/>
        <v>28452762</v>
      </c>
      <c r="BE59" s="39">
        <f t="shared" ca="1" si="60"/>
        <v>10408644</v>
      </c>
      <c r="BG59" s="56">
        <f t="shared" ca="1" si="82"/>
        <v>709237.60000000009</v>
      </c>
      <c r="BH59" s="51">
        <f t="shared" ca="1" si="83"/>
        <v>0.68269207445376956</v>
      </c>
      <c r="BI59" s="56">
        <f t="shared" ca="1" si="84"/>
        <v>79878084</v>
      </c>
      <c r="BJ59" s="58">
        <f t="shared" ca="1" si="53"/>
        <v>8.8790011538083472E-3</v>
      </c>
      <c r="BK59" s="58">
        <f t="shared" ca="1" si="54"/>
        <v>8.397012628908973</v>
      </c>
      <c r="BL59" s="58"/>
      <c r="BM59" s="60">
        <f t="shared" ca="1" si="55"/>
        <v>0.36582191915146939</v>
      </c>
      <c r="BO59">
        <f t="shared" ca="1" si="56"/>
        <v>3.793708511856049E-2</v>
      </c>
    </row>
    <row r="60" spans="1:67" ht="21" customHeight="1" x14ac:dyDescent="0.2">
      <c r="A60" s="22">
        <f t="shared" si="57"/>
        <v>2017</v>
      </c>
      <c r="B60" s="39">
        <f t="shared" ca="1" si="85"/>
        <v>19477.3</v>
      </c>
      <c r="C60" s="39">
        <f t="shared" ca="1" si="85"/>
        <v>18076.7</v>
      </c>
      <c r="D60" s="45">
        <f t="shared" ca="1" si="85"/>
        <v>1.0774900000000001</v>
      </c>
      <c r="E60" s="46"/>
      <c r="F60" s="39">
        <f t="shared" ca="1" si="47"/>
        <v>65592488</v>
      </c>
      <c r="G60" s="39">
        <f t="shared" ca="1" si="47"/>
        <v>1136379.3999999999</v>
      </c>
      <c r="H60" s="46">
        <f t="shared" ca="1" si="47"/>
        <v>17.32</v>
      </c>
      <c r="I60" s="47">
        <f t="shared" ca="1" si="48"/>
        <v>2.7940302332113746E-4</v>
      </c>
      <c r="J60" s="39">
        <f t="shared" ca="1" si="61"/>
        <v>1054654.2427307907</v>
      </c>
      <c r="K60" s="45">
        <f t="shared" ca="1" si="62"/>
        <v>16.074395121996492</v>
      </c>
      <c r="L60" s="48">
        <f t="shared" ca="1" si="63"/>
        <v>5.8343784816170613E-2</v>
      </c>
      <c r="M60" s="46"/>
      <c r="N60" s="39">
        <f t="shared" ca="1" si="86"/>
        <v>1217412</v>
      </c>
      <c r="O60" s="39">
        <f t="shared" ca="1" si="86"/>
        <v>18547487</v>
      </c>
      <c r="P60" s="39">
        <f t="shared" ca="1" si="86"/>
        <v>37307471</v>
      </c>
      <c r="Q60" s="39">
        <f t="shared" ca="1" si="86"/>
        <v>12704091</v>
      </c>
      <c r="R60" s="46"/>
      <c r="S60" s="46">
        <f t="shared" ca="1" si="58"/>
        <v>3.4</v>
      </c>
      <c r="T60" s="46">
        <f t="shared" ca="1" si="58"/>
        <v>7.19</v>
      </c>
      <c r="U60" s="46">
        <f t="shared" ca="1" si="58"/>
        <v>17.96</v>
      </c>
      <c r="V60" s="46">
        <f t="shared" ca="1" si="58"/>
        <v>30.88</v>
      </c>
      <c r="W60" s="46"/>
      <c r="X60" s="45">
        <f t="shared" ca="1" si="64"/>
        <v>3.155481721408087</v>
      </c>
      <c r="Y60" s="45">
        <f t="shared" ca="1" si="65"/>
        <v>6.6729157579188669</v>
      </c>
      <c r="Z60" s="45">
        <f t="shared" ca="1" si="66"/>
        <v>16.668368151908602</v>
      </c>
      <c r="AA60" s="45">
        <f t="shared" ca="1" si="67"/>
        <v>28.659198693259331</v>
      </c>
      <c r="AB60" s="46"/>
      <c r="AC60" s="48">
        <f t="shared" ca="1" si="68"/>
        <v>0.11010362694300518</v>
      </c>
      <c r="AD60" s="48">
        <f t="shared" ca="1" si="69"/>
        <v>0.23283678756476686</v>
      </c>
      <c r="AE60" s="48">
        <f t="shared" ca="1" si="70"/>
        <v>0.58160621761658038</v>
      </c>
      <c r="AF60" s="48">
        <f t="shared" ca="1" si="71"/>
        <v>1</v>
      </c>
      <c r="AG60" s="46"/>
      <c r="AH60" s="49">
        <f t="shared" ca="1" si="72"/>
        <v>132240.91319427078</v>
      </c>
      <c r="AI60" s="39">
        <f t="shared" ca="1" si="73"/>
        <v>4565301.9138524951</v>
      </c>
      <c r="AJ60" s="39">
        <f t="shared" ca="1" si="74"/>
        <v>18840276.168127667</v>
      </c>
      <c r="AK60" s="39">
        <f t="shared" ca="1" si="75"/>
        <v>12704091</v>
      </c>
      <c r="AL60" s="46"/>
      <c r="AM60" s="39">
        <f t="shared" ca="1" si="76"/>
        <v>36241909.995174438</v>
      </c>
      <c r="AN60" s="39">
        <f t="shared" ca="1" si="77"/>
        <v>1199840141.5700002</v>
      </c>
      <c r="AO60" s="48">
        <f t="shared" ca="1" si="78"/>
        <v>5.5844677904228382E-2</v>
      </c>
      <c r="AP60" s="39">
        <f t="shared" ca="1" si="79"/>
        <v>1113551069.2164197</v>
      </c>
      <c r="AQ60" s="45">
        <f t="shared" ca="1" si="80"/>
        <v>30.725507274994268</v>
      </c>
      <c r="AR60" s="48">
        <f t="shared" ca="1" si="81"/>
        <v>6.160197468694327E-2</v>
      </c>
      <c r="AT60" s="39">
        <f t="shared" ca="1" si="59"/>
        <v>30326.1</v>
      </c>
      <c r="AU60" s="39">
        <f t="shared" ca="1" si="59"/>
        <v>631907.19999999995</v>
      </c>
      <c r="AV60" s="39">
        <f t="shared" ca="1" si="59"/>
        <v>142071.5</v>
      </c>
      <c r="AX60" s="55">
        <f t="shared" ca="1" si="50"/>
        <v>28145.133597527583</v>
      </c>
      <c r="AY60" s="55">
        <f t="shared" ca="1" si="51"/>
        <v>586462.24094887183</v>
      </c>
      <c r="AZ60" s="55">
        <f t="shared" ca="1" si="52"/>
        <v>131854.123936185</v>
      </c>
      <c r="BB60" s="39">
        <f t="shared" ca="1" si="60"/>
        <v>13839632</v>
      </c>
      <c r="BC60" s="39">
        <f t="shared" ca="1" si="60"/>
        <v>37525050</v>
      </c>
      <c r="BD60" s="39">
        <f t="shared" ca="1" si="60"/>
        <v>28125807</v>
      </c>
      <c r="BE60" s="39">
        <f t="shared" ca="1" si="60"/>
        <v>11138359</v>
      </c>
      <c r="BG60" s="56">
        <f t="shared" ca="1" si="82"/>
        <v>804304.79999999993</v>
      </c>
      <c r="BH60" s="51">
        <f t="shared" ca="1" si="83"/>
        <v>0.70777840569795614</v>
      </c>
      <c r="BI60" s="56">
        <f t="shared" ca="1" si="84"/>
        <v>79490489</v>
      </c>
      <c r="BJ60" s="58">
        <f t="shared" ca="1" si="53"/>
        <v>1.0118252008740315E-2</v>
      </c>
      <c r="BK60" s="58">
        <f t="shared" ca="1" si="54"/>
        <v>9.3905762547590363</v>
      </c>
      <c r="BL60" s="58"/>
      <c r="BM60" s="60">
        <f t="shared" ca="1" si="55"/>
        <v>0.39601917911190959</v>
      </c>
      <c r="BO60">
        <f t="shared" ca="1" si="56"/>
        <v>4.1294470999573861E-2</v>
      </c>
    </row>
    <row r="61" spans="1:67" ht="21" customHeight="1" x14ac:dyDescent="0.2">
      <c r="A61" s="22">
        <f t="shared" si="57"/>
        <v>2018</v>
      </c>
      <c r="B61" s="39">
        <f t="shared" ca="1" si="85"/>
        <v>20533.099999999999</v>
      </c>
      <c r="C61" s="39">
        <f t="shared" ca="1" si="85"/>
        <v>18609.099999999999</v>
      </c>
      <c r="D61" s="45">
        <f t="shared" ca="1" si="85"/>
        <v>1.1033900000000001</v>
      </c>
      <c r="E61" s="46"/>
      <c r="F61" s="39">
        <f t="shared" ca="1" si="47"/>
        <v>68355063</v>
      </c>
      <c r="G61" s="39">
        <f t="shared" ca="1" si="47"/>
        <v>1271930.6000000001</v>
      </c>
      <c r="H61" s="46">
        <f t="shared" ca="1" si="47"/>
        <v>18.61</v>
      </c>
      <c r="I61" s="47">
        <f t="shared" ca="1" si="48"/>
        <v>1.2353066275784899E-4</v>
      </c>
      <c r="J61" s="39">
        <f t="shared" ca="1" si="61"/>
        <v>1152747.9857529975</v>
      </c>
      <c r="K61" s="45">
        <f t="shared" ca="1" si="62"/>
        <v>16.866203246358946</v>
      </c>
      <c r="L61" s="48">
        <f t="shared" ca="1" si="63"/>
        <v>6.1945376002649391E-2</v>
      </c>
      <c r="M61" s="46"/>
      <c r="N61" s="39">
        <f t="shared" ca="1" si="86"/>
        <v>1196938</v>
      </c>
      <c r="O61" s="39">
        <f t="shared" ca="1" si="86"/>
        <v>20284413</v>
      </c>
      <c r="P61" s="39">
        <f t="shared" ca="1" si="86"/>
        <v>38090904</v>
      </c>
      <c r="Q61" s="39">
        <f t="shared" ca="1" si="86"/>
        <v>13167540</v>
      </c>
      <c r="R61" s="46"/>
      <c r="S61" s="46">
        <f t="shared" ca="1" si="58"/>
        <v>3.56</v>
      </c>
      <c r="T61" s="46">
        <f t="shared" ca="1" si="58"/>
        <v>7.11</v>
      </c>
      <c r="U61" s="46">
        <f t="shared" ca="1" si="58"/>
        <v>20.61</v>
      </c>
      <c r="V61" s="46">
        <f t="shared" ca="1" si="58"/>
        <v>31.02</v>
      </c>
      <c r="W61" s="46"/>
      <c r="X61" s="45">
        <f t="shared" ca="1" si="64"/>
        <v>3.226420395327128</v>
      </c>
      <c r="Y61" s="45">
        <f t="shared" ca="1" si="65"/>
        <v>6.4437778120156972</v>
      </c>
      <c r="Z61" s="45">
        <f t="shared" ca="1" si="66"/>
        <v>18.678798974070816</v>
      </c>
      <c r="AA61" s="45">
        <f t="shared" ca="1" si="67"/>
        <v>28.113359736811098</v>
      </c>
      <c r="AB61" s="46"/>
      <c r="AC61" s="48">
        <f t="shared" ca="1" si="68"/>
        <v>0.11476466795615732</v>
      </c>
      <c r="AD61" s="48">
        <f t="shared" ca="1" si="69"/>
        <v>0.22920696324951645</v>
      </c>
      <c r="AE61" s="48">
        <f t="shared" ca="1" si="70"/>
        <v>0.66441005802707931</v>
      </c>
      <c r="AF61" s="48">
        <f t="shared" ca="1" si="71"/>
        <v>1</v>
      </c>
      <c r="AG61" s="46"/>
      <c r="AH61" s="49">
        <f t="shared" ca="1" si="72"/>
        <v>130016.93276961625</v>
      </c>
      <c r="AI61" s="39">
        <f t="shared" ca="1" si="73"/>
        <v>4992831.0768070323</v>
      </c>
      <c r="AJ61" s="39">
        <f t="shared" ca="1" si="74"/>
        <v>19235909.902701225</v>
      </c>
      <c r="AK61" s="39">
        <f t="shared" ca="1" si="75"/>
        <v>13167540</v>
      </c>
      <c r="AL61" s="46"/>
      <c r="AM61" s="39">
        <f t="shared" ca="1" si="76"/>
        <v>37526297.912277877</v>
      </c>
      <c r="AN61" s="39">
        <f t="shared" ca="1" si="77"/>
        <v>1341993897.95</v>
      </c>
      <c r="AO61" s="48">
        <f t="shared" ca="1" si="78"/>
        <v>5.5084214461072034E-2</v>
      </c>
      <c r="AP61" s="39">
        <f t="shared" ca="1" si="79"/>
        <v>1216246203.0197845</v>
      </c>
      <c r="AQ61" s="45">
        <f t="shared" ca="1" si="80"/>
        <v>32.410503318576815</v>
      </c>
      <c r="AR61" s="48">
        <f t="shared" ca="1" si="81"/>
        <v>6.5357588379251069E-2</v>
      </c>
      <c r="AT61" s="39">
        <f t="shared" ca="1" si="59"/>
        <v>29227.3</v>
      </c>
      <c r="AU61" s="39">
        <f t="shared" ca="1" si="59"/>
        <v>742609</v>
      </c>
      <c r="AV61" s="39">
        <f t="shared" ca="1" si="59"/>
        <v>157762.4</v>
      </c>
      <c r="AX61" s="55">
        <f t="shared" ca="1" si="50"/>
        <v>26488.639556276565</v>
      </c>
      <c r="AY61" s="55">
        <f t="shared" ca="1" si="51"/>
        <v>673024.95038019191</v>
      </c>
      <c r="AZ61" s="55">
        <f t="shared" ca="1" si="52"/>
        <v>142979.72611678552</v>
      </c>
      <c r="BB61" s="39">
        <f t="shared" ca="1" si="60"/>
        <v>13249958</v>
      </c>
      <c r="BC61" s="39">
        <f t="shared" ca="1" si="60"/>
        <v>38351073</v>
      </c>
      <c r="BD61" s="39">
        <f t="shared" ca="1" si="60"/>
        <v>31236226</v>
      </c>
      <c r="BE61" s="39">
        <f t="shared" ca="1" si="60"/>
        <v>11369899</v>
      </c>
      <c r="BG61" s="56">
        <f t="shared" ca="1" si="82"/>
        <v>929598.70000000007</v>
      </c>
      <c r="BH61" s="51">
        <f t="shared" ca="1" si="83"/>
        <v>0.73085646339509402</v>
      </c>
      <c r="BI61" s="56">
        <f t="shared" ca="1" si="84"/>
        <v>82837257</v>
      </c>
      <c r="BJ61" s="58">
        <f t="shared" ca="1" si="53"/>
        <v>1.1221987951629061E-2</v>
      </c>
      <c r="BK61" s="58">
        <f t="shared" ca="1" si="54"/>
        <v>10.170463708778456</v>
      </c>
      <c r="BL61" s="58"/>
      <c r="BM61" s="60">
        <f t="shared" ca="1" si="55"/>
        <v>0.36399720632063554</v>
      </c>
      <c r="BO61">
        <f t="shared" ca="1" si="56"/>
        <v>4.5273178428975665E-2</v>
      </c>
    </row>
    <row r="62" spans="1:67" ht="21" customHeight="1" x14ac:dyDescent="0.2">
      <c r="A62" s="22">
        <f t="shared" si="57"/>
        <v>2019</v>
      </c>
      <c r="B62" s="39">
        <f t="shared" ca="1" si="85"/>
        <v>21381</v>
      </c>
      <c r="C62" s="39">
        <f t="shared" ca="1" si="85"/>
        <v>19036.099999999999</v>
      </c>
      <c r="D62" s="45">
        <f t="shared" ca="1" si="85"/>
        <v>1.1231800000000001</v>
      </c>
      <c r="E62" s="46"/>
      <c r="F62" s="39">
        <f t="shared" ca="1" si="47"/>
        <v>68162443</v>
      </c>
      <c r="G62" s="39">
        <f t="shared" ca="1" si="47"/>
        <v>1223984.5</v>
      </c>
      <c r="H62" s="46">
        <f t="shared" ca="1" si="47"/>
        <v>17.96</v>
      </c>
      <c r="I62" s="47">
        <f t="shared" ca="1" si="48"/>
        <v>1.7400243222039232E-4</v>
      </c>
      <c r="J62" s="39">
        <f t="shared" ca="1" si="61"/>
        <v>1089749.1942520344</v>
      </c>
      <c r="K62" s="45">
        <f t="shared" ca="1" si="62"/>
        <v>15.990313217827953</v>
      </c>
      <c r="L62" s="48">
        <f t="shared" ca="1" si="63"/>
        <v>5.7246363593845002E-2</v>
      </c>
      <c r="M62" s="46"/>
      <c r="N62" s="39">
        <f t="shared" ca="1" si="86"/>
        <v>1133455</v>
      </c>
      <c r="O62" s="39">
        <f t="shared" ca="1" si="86"/>
        <v>20613365</v>
      </c>
      <c r="P62" s="39">
        <f t="shared" ca="1" si="86"/>
        <v>38134178</v>
      </c>
      <c r="Q62" s="39">
        <f t="shared" ca="1" si="86"/>
        <v>13003645</v>
      </c>
      <c r="R62" s="46"/>
      <c r="S62" s="46">
        <f t="shared" ca="1" si="58"/>
        <v>3.92</v>
      </c>
      <c r="T62" s="46">
        <f t="shared" ca="1" si="58"/>
        <v>6.98</v>
      </c>
      <c r="U62" s="46">
        <f t="shared" ca="1" si="58"/>
        <v>19.440000000000001</v>
      </c>
      <c r="V62" s="46">
        <f t="shared" ca="1" si="58"/>
        <v>31.05</v>
      </c>
      <c r="W62" s="46"/>
      <c r="X62" s="45">
        <f t="shared" ca="1" si="64"/>
        <v>3.490090635517014</v>
      </c>
      <c r="Y62" s="45">
        <f t="shared" ca="1" si="65"/>
        <v>6.2144981214052954</v>
      </c>
      <c r="Z62" s="45">
        <f t="shared" ca="1" si="66"/>
        <v>17.308000498584377</v>
      </c>
      <c r="AA62" s="45">
        <f t="shared" ca="1" si="67"/>
        <v>27.644723018572268</v>
      </c>
      <c r="AB62" s="46"/>
      <c r="AC62" s="48">
        <f t="shared" ca="1" si="68"/>
        <v>0.12624798711755233</v>
      </c>
      <c r="AD62" s="48">
        <f t="shared" ca="1" si="69"/>
        <v>0.2247987117552335</v>
      </c>
      <c r="AE62" s="48">
        <f t="shared" ca="1" si="70"/>
        <v>0.62608695652173918</v>
      </c>
      <c r="AF62" s="48">
        <f t="shared" ca="1" si="71"/>
        <v>1</v>
      </c>
      <c r="AG62" s="46"/>
      <c r="AH62" s="49">
        <f t="shared" ca="1" si="72"/>
        <v>123121.11615838531</v>
      </c>
      <c r="AI62" s="39">
        <f t="shared" ca="1" si="73"/>
        <v>5073799.7382308468</v>
      </c>
      <c r="AJ62" s="39">
        <f t="shared" ca="1" si="74"/>
        <v>19257763.276544217</v>
      </c>
      <c r="AK62" s="39">
        <f t="shared" ca="1" si="75"/>
        <v>13003645</v>
      </c>
      <c r="AL62" s="46"/>
      <c r="AM62" s="39">
        <f t="shared" ca="1" si="76"/>
        <v>37458329.130933449</v>
      </c>
      <c r="AN62" s="39">
        <f t="shared" ca="1" si="77"/>
        <v>1293416028.8700001</v>
      </c>
      <c r="AO62" s="48">
        <f t="shared" ca="1" si="78"/>
        <v>5.6725823627668516E-2</v>
      </c>
      <c r="AP62" s="39">
        <f t="shared" ca="1" si="79"/>
        <v>1151566114.8435693</v>
      </c>
      <c r="AQ62" s="45">
        <f t="shared" ca="1" si="80"/>
        <v>30.742591609421119</v>
      </c>
      <c r="AR62" s="48">
        <f t="shared" ca="1" si="81"/>
        <v>6.0493710718394836E-2</v>
      </c>
      <c r="AT62" s="39">
        <f t="shared" ca="1" si="59"/>
        <v>25386.799999999999</v>
      </c>
      <c r="AU62" s="39">
        <f t="shared" ca="1" si="59"/>
        <v>700468.7</v>
      </c>
      <c r="AV62" s="39">
        <f t="shared" ca="1" si="59"/>
        <v>150288</v>
      </c>
      <c r="AX62" s="55">
        <f t="shared" ca="1" si="50"/>
        <v>22602.610445342685</v>
      </c>
      <c r="AY62" s="55">
        <f t="shared" ca="1" si="51"/>
        <v>623647.76794458588</v>
      </c>
      <c r="AZ62" s="55">
        <f t="shared" ca="1" si="52"/>
        <v>133805.8013853523</v>
      </c>
      <c r="BB62" s="39">
        <f t="shared" ca="1" si="60"/>
        <v>11314925</v>
      </c>
      <c r="BC62" s="39">
        <f t="shared" ca="1" si="60"/>
        <v>38322652</v>
      </c>
      <c r="BD62" s="39">
        <f t="shared" ca="1" si="60"/>
        <v>32300451</v>
      </c>
      <c r="BE62" s="39">
        <f t="shared" ca="1" si="60"/>
        <v>11468314</v>
      </c>
      <c r="BG62" s="56">
        <f t="shared" ca="1" si="82"/>
        <v>876143.5</v>
      </c>
      <c r="BH62" s="51">
        <f t="shared" ca="1" si="83"/>
        <v>0.71581257769195605</v>
      </c>
      <c r="BI62" s="56">
        <f t="shared" ca="1" si="84"/>
        <v>81938028</v>
      </c>
      <c r="BJ62" s="58">
        <f t="shared" ca="1" si="53"/>
        <v>1.0692757946285943E-2</v>
      </c>
      <c r="BK62" s="58">
        <f t="shared" ca="1" si="54"/>
        <v>9.5200750959649767</v>
      </c>
      <c r="BL62" s="58"/>
      <c r="BM62" s="60">
        <f t="shared" ca="1" si="55"/>
        <v>0.35505120346462038</v>
      </c>
      <c r="BO62">
        <f t="shared" ca="1" si="56"/>
        <v>4.0977667087601144E-2</v>
      </c>
    </row>
    <row r="63" spans="1:67" ht="21" customHeight="1" x14ac:dyDescent="0.2">
      <c r="A63" s="22">
        <f t="shared" si="57"/>
        <v>2020</v>
      </c>
      <c r="B63" s="39">
        <f t="shared" ca="1" si="85"/>
        <v>21060.5</v>
      </c>
      <c r="C63" s="39">
        <f t="shared" ca="1" si="85"/>
        <v>18509.099999999999</v>
      </c>
      <c r="D63" s="45">
        <f t="shared" ca="1" si="85"/>
        <v>1.13784</v>
      </c>
      <c r="E63" s="46"/>
      <c r="F63" s="39">
        <f t="shared" ca="1" si="47"/>
        <v>62034110</v>
      </c>
      <c r="G63" s="39">
        <f t="shared" ca="1" si="47"/>
        <v>1007785.4</v>
      </c>
      <c r="H63" s="46">
        <f t="shared" ca="1" si="47"/>
        <v>16.25</v>
      </c>
      <c r="I63" s="47">
        <f t="shared" ca="1" si="48"/>
        <v>2.6681027528276699E-4</v>
      </c>
      <c r="J63" s="39">
        <f t="shared" ca="1" si="61"/>
        <v>885700.44997539197</v>
      </c>
      <c r="K63" s="45">
        <f t="shared" ca="1" si="62"/>
        <v>14.281445545946706</v>
      </c>
      <c r="L63" s="48">
        <f t="shared" ca="1" si="63"/>
        <v>4.7851921844210728E-2</v>
      </c>
      <c r="M63" s="46"/>
      <c r="N63" s="39">
        <f t="shared" ca="1" si="86"/>
        <v>953555</v>
      </c>
      <c r="O63" s="39">
        <f t="shared" ca="1" si="86"/>
        <v>19605680</v>
      </c>
      <c r="P63" s="39">
        <f t="shared" ca="1" si="86"/>
        <v>33453304</v>
      </c>
      <c r="Q63" s="39">
        <f t="shared" ca="1" si="86"/>
        <v>12684705</v>
      </c>
      <c r="R63" s="46"/>
      <c r="S63" s="46">
        <f t="shared" ca="1" si="58"/>
        <v>3.55</v>
      </c>
      <c r="T63" s="46">
        <f t="shared" ca="1" si="58"/>
        <v>6.75</v>
      </c>
      <c r="U63" s="46">
        <f t="shared" ca="1" si="58"/>
        <v>16.03</v>
      </c>
      <c r="V63" s="46">
        <f t="shared" ca="1" si="58"/>
        <v>31.19</v>
      </c>
      <c r="W63" s="46"/>
      <c r="X63" s="45">
        <f t="shared" ca="1" si="64"/>
        <v>3.1199465654222034</v>
      </c>
      <c r="Y63" s="45">
        <f t="shared" ca="1" si="65"/>
        <v>5.9322927652394011</v>
      </c>
      <c r="Z63" s="45">
        <f t="shared" ca="1" si="66"/>
        <v>14.088096744709276</v>
      </c>
      <c r="AA63" s="45">
        <f t="shared" ca="1" si="67"/>
        <v>27.411586866343249</v>
      </c>
      <c r="AB63" s="46"/>
      <c r="AC63" s="48">
        <f t="shared" ca="1" si="68"/>
        <v>0.1138185315806348</v>
      </c>
      <c r="AD63" s="48">
        <f t="shared" ca="1" si="69"/>
        <v>0.21641551779416479</v>
      </c>
      <c r="AE63" s="48">
        <f t="shared" ca="1" si="70"/>
        <v>0.51394677781340181</v>
      </c>
      <c r="AF63" s="48">
        <f t="shared" ca="1" si="71"/>
        <v>1</v>
      </c>
      <c r="AG63" s="46"/>
      <c r="AH63" s="49">
        <f t="shared" ca="1" si="72"/>
        <v>103579.54741777053</v>
      </c>
      <c r="AI63" s="39">
        <f t="shared" ca="1" si="73"/>
        <v>4825766.8775494806</v>
      </c>
      <c r="AJ63" s="39">
        <f t="shared" ca="1" si="74"/>
        <v>16893921.490854472</v>
      </c>
      <c r="AK63" s="39">
        <f t="shared" ca="1" si="75"/>
        <v>12684705</v>
      </c>
      <c r="AL63" s="46"/>
      <c r="AM63" s="39">
        <f t="shared" ca="1" si="76"/>
        <v>34507972.915821724</v>
      </c>
      <c r="AN63" s="39">
        <f t="shared" ca="1" si="77"/>
        <v>1067615872.3200002</v>
      </c>
      <c r="AO63" s="48">
        <f t="shared" ca="1" si="78"/>
        <v>5.9368266617079446E-2</v>
      </c>
      <c r="AP63" s="39">
        <f t="shared" ca="1" si="79"/>
        <v>938282950.43239832</v>
      </c>
      <c r="AQ63" s="45">
        <f t="shared" ca="1" si="80"/>
        <v>27.190323602062424</v>
      </c>
      <c r="AR63" s="48">
        <f t="shared" ca="1" si="81"/>
        <v>5.0692807498397482E-2</v>
      </c>
      <c r="AT63" s="39">
        <f t="shared" ca="1" si="59"/>
        <v>19549.599999999999</v>
      </c>
      <c r="AU63" s="39">
        <f t="shared" ca="1" si="59"/>
        <v>504547.8</v>
      </c>
      <c r="AV63" s="39">
        <f t="shared" ca="1" si="59"/>
        <v>134923.4</v>
      </c>
      <c r="AX63" s="55">
        <f t="shared" ca="1" si="50"/>
        <v>17181.326021233213</v>
      </c>
      <c r="AY63" s="55">
        <f t="shared" ca="1" si="51"/>
        <v>443425.96498628979</v>
      </c>
      <c r="AZ63" s="55">
        <f t="shared" ca="1" si="52"/>
        <v>118578.5347676299</v>
      </c>
      <c r="BB63" s="39">
        <f t="shared" ca="1" si="60"/>
        <v>9182696</v>
      </c>
      <c r="BC63" s="39">
        <f t="shared" ca="1" si="60"/>
        <v>33637593</v>
      </c>
      <c r="BD63" s="39">
        <f t="shared" ca="1" si="60"/>
        <v>31628748</v>
      </c>
      <c r="BE63" s="39">
        <f t="shared" ca="1" si="60"/>
        <v>11518077</v>
      </c>
      <c r="BG63" s="56">
        <f t="shared" ca="1" si="82"/>
        <v>659020.79999999993</v>
      </c>
      <c r="BH63" s="51">
        <f t="shared" ca="1" si="83"/>
        <v>0.65392969574673332</v>
      </c>
      <c r="BI63" s="56">
        <f t="shared" ca="1" si="84"/>
        <v>74449037</v>
      </c>
      <c r="BJ63" s="58">
        <f t="shared" ca="1" si="53"/>
        <v>8.851972121546715E-3</v>
      </c>
      <c r="BK63" s="58">
        <f t="shared" ca="1" si="54"/>
        <v>7.7796281740374003</v>
      </c>
      <c r="BL63" s="58"/>
      <c r="BM63" s="60">
        <f t="shared" ca="1" si="55"/>
        <v>0.36416480981163085</v>
      </c>
      <c r="BO63">
        <f t="shared" ca="1" si="56"/>
        <v>3.1291792692481182E-2</v>
      </c>
    </row>
    <row r="64" spans="1:67" ht="21" customHeight="1" x14ac:dyDescent="0.2">
      <c r="A64" s="22">
        <f t="shared" si="57"/>
        <v>2021</v>
      </c>
      <c r="B64" s="39">
        <f t="shared" ca="1" si="85"/>
        <v>23315.1</v>
      </c>
      <c r="C64" s="39">
        <f t="shared" ca="1" si="85"/>
        <v>19609.8</v>
      </c>
      <c r="D64" s="45">
        <f t="shared" ca="1" si="85"/>
        <v>1.18895</v>
      </c>
      <c r="E64" s="46"/>
      <c r="F64" s="39">
        <f t="shared" ca="1" si="47"/>
        <v>65892357</v>
      </c>
      <c r="G64" s="39">
        <f t="shared" ca="1" si="47"/>
        <v>1317098.3999999999</v>
      </c>
      <c r="H64" s="46">
        <f t="shared" ca="1" si="47"/>
        <v>19.989999999999998</v>
      </c>
      <c r="I64" s="47">
        <f t="shared" ca="1" si="48"/>
        <v>6.8192649842934903E-5</v>
      </c>
      <c r="J64" s="39">
        <f t="shared" ca="1" si="61"/>
        <v>1107782.8335926658</v>
      </c>
      <c r="K64" s="45">
        <f t="shared" ca="1" si="62"/>
        <v>16.813154464022876</v>
      </c>
      <c r="L64" s="48">
        <f t="shared" ca="1" si="63"/>
        <v>5.6491218137601808E-2</v>
      </c>
      <c r="M64" s="46"/>
      <c r="N64" s="39">
        <f t="shared" ca="1" si="86"/>
        <v>1051348</v>
      </c>
      <c r="O64" s="39">
        <f t="shared" ca="1" si="86"/>
        <v>20111830</v>
      </c>
      <c r="P64" s="39">
        <f t="shared" ca="1" si="86"/>
        <v>36578587</v>
      </c>
      <c r="Q64" s="39">
        <f t="shared" ca="1" si="86"/>
        <v>12985643</v>
      </c>
      <c r="R64" s="46"/>
      <c r="S64" s="46">
        <f t="shared" ca="1" si="58"/>
        <v>3.5</v>
      </c>
      <c r="T64" s="46">
        <f t="shared" ca="1" si="58"/>
        <v>8.3000000000000007</v>
      </c>
      <c r="U64" s="46">
        <f t="shared" ca="1" si="58"/>
        <v>21.87</v>
      </c>
      <c r="V64" s="46">
        <f t="shared" ca="1" si="58"/>
        <v>32.659999999999997</v>
      </c>
      <c r="W64" s="46"/>
      <c r="X64" s="45">
        <f t="shared" ca="1" si="64"/>
        <v>2.9437739181630853</v>
      </c>
      <c r="Y64" s="45">
        <f t="shared" ca="1" si="65"/>
        <v>6.9809495773581745</v>
      </c>
      <c r="Z64" s="45">
        <f t="shared" ca="1" si="66"/>
        <v>18.394381597207623</v>
      </c>
      <c r="AA64" s="45">
        <f t="shared" ca="1" si="67"/>
        <v>27.469616047773243</v>
      </c>
      <c r="AB64" s="46"/>
      <c r="AC64" s="48">
        <f t="shared" ca="1" si="68"/>
        <v>0.10716472749540724</v>
      </c>
      <c r="AD64" s="48">
        <f t="shared" ca="1" si="69"/>
        <v>0.25413349663196577</v>
      </c>
      <c r="AE64" s="48">
        <f t="shared" ca="1" si="70"/>
        <v>0.6696264543784447</v>
      </c>
      <c r="AF64" s="48">
        <f t="shared" ca="1" si="71"/>
        <v>1</v>
      </c>
      <c r="AG64" s="46"/>
      <c r="AH64" s="49">
        <f t="shared" ca="1" si="72"/>
        <v>114202.27466541334</v>
      </c>
      <c r="AI64" s="39">
        <f t="shared" ca="1" si="73"/>
        <v>4950351.2788592884</v>
      </c>
      <c r="AJ64" s="39">
        <f t="shared" ca="1" si="74"/>
        <v>18472189.683398388</v>
      </c>
      <c r="AK64" s="39">
        <f t="shared" ca="1" si="75"/>
        <v>12985643</v>
      </c>
      <c r="AL64" s="46"/>
      <c r="AM64" s="39">
        <f t="shared" ca="1" si="76"/>
        <v>36522386.236923091</v>
      </c>
      <c r="AN64" s="39">
        <f t="shared" ca="1" si="77"/>
        <v>1394692705.0699999</v>
      </c>
      <c r="AO64" s="48">
        <f t="shared" ca="1" si="78"/>
        <v>5.8913066077674991E-2</v>
      </c>
      <c r="AP64" s="39">
        <f t="shared" ca="1" si="79"/>
        <v>1173045716.8678248</v>
      </c>
      <c r="AQ64" s="45">
        <f t="shared" ca="1" si="80"/>
        <v>32.118539825360834</v>
      </c>
      <c r="AR64" s="48">
        <f t="shared" ca="1" si="81"/>
        <v>5.9819289004550698E-2</v>
      </c>
      <c r="AT64" s="39">
        <f t="shared" ca="1" si="59"/>
        <v>23295.8</v>
      </c>
      <c r="AU64" s="39">
        <f t="shared" ca="1" si="59"/>
        <v>758634</v>
      </c>
      <c r="AV64" s="39">
        <f t="shared" ca="1" si="59"/>
        <v>192417.6</v>
      </c>
      <c r="AX64" s="55">
        <f t="shared" ca="1" si="50"/>
        <v>19593.590983641028</v>
      </c>
      <c r="AY64" s="55">
        <f t="shared" ca="1" si="51"/>
        <v>638070.56646620971</v>
      </c>
      <c r="AZ64" s="55">
        <f t="shared" ca="1" si="52"/>
        <v>161838.2606501535</v>
      </c>
      <c r="BB64" s="39">
        <f t="shared" ca="1" si="60"/>
        <v>10547764</v>
      </c>
      <c r="BC64" s="39">
        <f t="shared" ca="1" si="60"/>
        <v>36783544</v>
      </c>
      <c r="BD64" s="39">
        <f t="shared" ca="1" si="60"/>
        <v>31725500</v>
      </c>
      <c r="BE64" s="39">
        <f t="shared" ca="1" si="60"/>
        <v>12139977</v>
      </c>
      <c r="BG64" s="56">
        <f t="shared" ca="1" si="82"/>
        <v>974347.4</v>
      </c>
      <c r="BH64" s="51">
        <f t="shared" ca="1" si="83"/>
        <v>0.73976811451596947</v>
      </c>
      <c r="BI64" s="56">
        <f t="shared" ca="1" si="84"/>
        <v>79056808</v>
      </c>
      <c r="BJ64" s="58">
        <f t="shared" ca="1" si="53"/>
        <v>1.2324648877804427E-2</v>
      </c>
      <c r="BK64" s="58">
        <f t="shared" ca="1" si="54"/>
        <v>10.365994261999603</v>
      </c>
      <c r="BL64" s="58"/>
      <c r="BM64" s="60">
        <f t="shared" ca="1" si="55"/>
        <v>0.38265675875872723</v>
      </c>
      <c r="BO64">
        <f t="shared" ca="1" si="56"/>
        <v>4.1790401928364029E-2</v>
      </c>
    </row>
    <row r="65" spans="1:51" ht="21" customHeight="1" x14ac:dyDescent="0.2">
      <c r="A65" s="22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</row>
    <row r="66" spans="1:51" ht="21" customHeight="1" x14ac:dyDescent="0.2">
      <c r="A66" s="22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</row>
    <row r="67" spans="1:51" ht="21" customHeight="1" x14ac:dyDescent="0.2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17</vt:i4>
      </vt:variant>
    </vt:vector>
  </HeadingPairs>
  <TitlesOfParts>
    <vt:vector size="31" baseType="lpstr">
      <vt:lpstr>Audit</vt:lpstr>
      <vt:lpstr>Results --&gt;</vt:lpstr>
      <vt:lpstr>Calibration</vt:lpstr>
      <vt:lpstr>Data --&gt;</vt:lpstr>
      <vt:lpstr>MER GDP Data</vt:lpstr>
      <vt:lpstr>MER Quantity Data</vt:lpstr>
      <vt:lpstr>MER Environment Data</vt:lpstr>
      <vt:lpstr>To be deleted --&gt;</vt:lpstr>
      <vt:lpstr>Carbon Intensity</vt:lpstr>
      <vt:lpstr>EIA SEDS Codes</vt:lpstr>
      <vt:lpstr>SEDS Quantities</vt:lpstr>
      <vt:lpstr>Intermediate (old)</vt:lpstr>
      <vt:lpstr>SEDS Prices and Expenditures</vt:lpstr>
      <vt:lpstr>SEDS Data Processed</vt:lpstr>
      <vt:lpstr>carbon</vt:lpstr>
      <vt:lpstr>carbon_col</vt:lpstr>
      <vt:lpstr>code</vt:lpstr>
      <vt:lpstr>code_col</vt:lpstr>
      <vt:lpstr>emissions</vt:lpstr>
      <vt:lpstr>emissions_col</vt:lpstr>
      <vt:lpstr>gdp</vt:lpstr>
      <vt:lpstr>gdp_col</vt:lpstr>
      <vt:lpstr>'Carbon Intensity'!sedsAnalysis</vt:lpstr>
      <vt:lpstr>'Intermediate (old)'!sedsAnalysis</vt:lpstr>
      <vt:lpstr>sedsAnalysis</vt:lpstr>
      <vt:lpstr>'Intermediate (old)'!sedsAnalysis_col</vt:lpstr>
      <vt:lpstr>sedsAnalysis_col</vt:lpstr>
      <vt:lpstr>sedsPE</vt:lpstr>
      <vt:lpstr>sedsPE_col</vt:lpstr>
      <vt:lpstr>sedsQ</vt:lpstr>
      <vt:lpstr>sedsQ_col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2023-08-09T00:57:31Z</cp:lastPrinted>
  <dcterms:created xsi:type="dcterms:W3CDTF">2023-07-10T16:43:43Z</dcterms:created>
  <dcterms:modified xsi:type="dcterms:W3CDTF">2023-12-07T14:49:00Z</dcterms:modified>
</cp:coreProperties>
</file>